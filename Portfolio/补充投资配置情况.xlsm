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028671AB-6A94-4D6D-B164-524B34BD5499}" xr6:coauthVersionLast="44" xr6:coauthVersionMax="44" xr10:uidLastSave="{00000000-0000-0000-0000-000000000000}"/>
  <bookViews>
    <workbookView xWindow="-120" yWindow="-120" windowWidth="38640" windowHeight="21240" xr2:uid="{00000000-000D-0000-FFFF-FFFF00000000}"/>
  </bookViews>
  <sheets>
    <sheet name="补充计划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8" i="1" l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2" i="1"/>
  <c r="M33" i="1"/>
  <c r="M7" i="1"/>
  <c r="K25" i="1"/>
  <c r="J25" i="1" s="1"/>
  <c r="L25" i="1"/>
  <c r="K29" i="1"/>
  <c r="L29" i="1"/>
  <c r="K30" i="1"/>
  <c r="L30" i="1"/>
  <c r="K32" i="1"/>
  <c r="L32" i="1"/>
  <c r="K33" i="1"/>
  <c r="L33" i="1"/>
  <c r="K8" i="1"/>
  <c r="J8" i="1" s="1"/>
  <c r="L8" i="1"/>
  <c r="K9" i="1"/>
  <c r="J9" i="1" s="1"/>
  <c r="L9" i="1"/>
  <c r="K10" i="1"/>
  <c r="L10" i="1"/>
  <c r="K11" i="1"/>
  <c r="J11" i="1" s="1"/>
  <c r="L11" i="1"/>
  <c r="K12" i="1"/>
  <c r="L12" i="1"/>
  <c r="K13" i="1"/>
  <c r="L13" i="1"/>
  <c r="K14" i="1"/>
  <c r="J14" i="1" s="1"/>
  <c r="L14" i="1"/>
  <c r="K15" i="1"/>
  <c r="J15" i="1" s="1"/>
  <c r="L15" i="1"/>
  <c r="K16" i="1"/>
  <c r="L16" i="1"/>
  <c r="K17" i="1"/>
  <c r="L17" i="1"/>
  <c r="K18" i="1"/>
  <c r="L18" i="1"/>
  <c r="K19" i="1"/>
  <c r="J19" i="1" s="1"/>
  <c r="L19" i="1"/>
  <c r="K20" i="1"/>
  <c r="J20" i="1" s="1"/>
  <c r="L20" i="1"/>
  <c r="K21" i="1"/>
  <c r="J21" i="1" s="1"/>
  <c r="L21" i="1"/>
  <c r="K22" i="1"/>
  <c r="L22" i="1"/>
  <c r="K23" i="1"/>
  <c r="J23" i="1" s="1"/>
  <c r="L23" i="1"/>
  <c r="K24" i="1"/>
  <c r="L24" i="1"/>
  <c r="K26" i="1"/>
  <c r="J26" i="1" s="1"/>
  <c r="L26" i="1"/>
  <c r="K27" i="1"/>
  <c r="J27" i="1" s="1"/>
  <c r="L27" i="1"/>
  <c r="K28" i="1"/>
  <c r="L28" i="1"/>
  <c r="K7" i="1"/>
  <c r="L7" i="1"/>
  <c r="J13" i="1" l="1"/>
  <c r="J28" i="1"/>
  <c r="J33" i="1"/>
  <c r="J24" i="1"/>
  <c r="J12" i="1"/>
  <c r="J18" i="1"/>
  <c r="J32" i="1"/>
  <c r="J30" i="1"/>
  <c r="K34" i="1"/>
  <c r="J29" i="1"/>
  <c r="J22" i="1"/>
  <c r="J16" i="1"/>
  <c r="J10" i="1"/>
  <c r="J17" i="1"/>
  <c r="M34" i="1"/>
  <c r="L34" i="1"/>
  <c r="J7" i="1"/>
  <c r="J34" i="1" l="1"/>
  <c r="H19" i="1" s="1"/>
  <c r="H13" i="1"/>
  <c r="H22" i="1"/>
  <c r="H28" i="1"/>
  <c r="H8" i="1"/>
  <c r="H31" i="1" l="1"/>
  <c r="H33" i="1"/>
</calcChain>
</file>

<file path=xl/sharedStrings.xml><?xml version="1.0" encoding="utf-8"?>
<sst xmlns="http://schemas.openxmlformats.org/spreadsheetml/2006/main" count="115" uniqueCount="56">
  <si>
    <t>2份</t>
  </si>
  <si>
    <t>1份</t>
  </si>
  <si>
    <t>建信500</t>
  </si>
  <si>
    <t>中证传媒</t>
  </si>
  <si>
    <t>德国DAX</t>
  </si>
  <si>
    <t>华宝油气</t>
  </si>
  <si>
    <t>黄金</t>
  </si>
  <si>
    <t>0.42份</t>
  </si>
  <si>
    <t>11份</t>
  </si>
  <si>
    <t>8份</t>
  </si>
  <si>
    <t>7份</t>
  </si>
  <si>
    <t>6份</t>
  </si>
  <si>
    <t>5份</t>
  </si>
  <si>
    <t>3份</t>
  </si>
  <si>
    <t>中国海外互联</t>
  </si>
  <si>
    <t>中证环保</t>
  </si>
  <si>
    <t>养老产业</t>
  </si>
  <si>
    <t>中证500</t>
  </si>
  <si>
    <t>中证红利</t>
  </si>
  <si>
    <t>广发创业板</t>
  </si>
  <si>
    <t>易方达创业板</t>
  </si>
  <si>
    <t>证券公司</t>
  </si>
  <si>
    <t>恒生指数</t>
  </si>
  <si>
    <t>补充 150 份</t>
    <phoneticPr fontId="1" type="noConversion"/>
  </si>
  <si>
    <t>S 定投</t>
    <phoneticPr fontId="1" type="noConversion"/>
  </si>
  <si>
    <t>上证50</t>
  </si>
  <si>
    <t>https://qieman.com/properties/228947/longwin/asset</t>
    <phoneticPr fontId="1" type="noConversion"/>
  </si>
  <si>
    <t>https://qieman.com/properties/177788/longwin/asset</t>
  </si>
  <si>
    <t>S 定投计划</t>
    <phoneticPr fontId="1" type="noConversion"/>
  </si>
  <si>
    <t>蛋卷基金</t>
    <phoneticPr fontId="1" type="noConversion"/>
  </si>
  <si>
    <t>大成中证红利指数A</t>
  </si>
  <si>
    <t>持有金额（元）</t>
  </si>
  <si>
    <t>华宝香港中小</t>
  </si>
  <si>
    <t>银河沪深300价值指数</t>
  </si>
  <si>
    <t>景顺长城中证500低波动</t>
  </si>
  <si>
    <t>嘉实深证基本面120联接</t>
  </si>
  <si>
    <t>建信深证基本面60ETF联接A</t>
  </si>
  <si>
    <t>华宝红利基金</t>
  </si>
  <si>
    <t>天弘中证医药100A</t>
  </si>
  <si>
    <t>华夏上证50AH优选指数</t>
  </si>
  <si>
    <t>广发中证养老</t>
  </si>
  <si>
    <t>申万菱信沪深300价值指数</t>
  </si>
  <si>
    <t>https://danjuanapp.com/position/strategy/CSI666</t>
    <phoneticPr fontId="1" type="noConversion"/>
  </si>
  <si>
    <t>大盘股</t>
    <phoneticPr fontId="1" type="noConversion"/>
  </si>
  <si>
    <t>中小盘股</t>
    <phoneticPr fontId="1" type="noConversion"/>
  </si>
  <si>
    <t>红利价值</t>
    <phoneticPr fontId="1" type="noConversion"/>
  </si>
  <si>
    <t>行业股</t>
    <phoneticPr fontId="1" type="noConversion"/>
  </si>
  <si>
    <t>海外新兴</t>
    <phoneticPr fontId="1" type="noConversion"/>
  </si>
  <si>
    <t>海外成熟</t>
    <phoneticPr fontId="1" type="noConversion"/>
  </si>
  <si>
    <t>商品</t>
    <phoneticPr fontId="1" type="noConversion"/>
  </si>
  <si>
    <t>品种</t>
    <phoneticPr fontId="1" type="noConversion"/>
  </si>
  <si>
    <t>大类</t>
    <phoneticPr fontId="1" type="noConversion"/>
  </si>
  <si>
    <t>总和</t>
    <phoneticPr fontId="1" type="noConversion"/>
  </si>
  <si>
    <t>中国海外互联</t>
    <phoneticPr fontId="1" type="noConversion"/>
  </si>
  <si>
    <t>中证环保</t>
    <phoneticPr fontId="1" type="noConversion"/>
  </si>
  <si>
    <t>总额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</si>
</sst>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3" formatCode="#,##0.00_ 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/>
  </cellStyleXfs>
  <cellXfs count="17">
    <xf numFmtId="0" fontId="0" fillId="0" borderId="0" xfId="0"/>
    <xf numFmtId="4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4" fontId="0" fillId="0" borderId="2" xfId="0" applyNumberFormat="1" applyBorder="1"/>
    <xf numFmtId="4" fontId="0" fillId="0" borderId="3" xfId="0" applyNumberFormat="1" applyBorder="1"/>
    <xf numFmtId="4" fontId="0" fillId="0" borderId="4" xfId="0" applyNumberFormat="1" applyBorder="1"/>
    <xf numFmtId="0" fontId="0" fillId="0" borderId="3" xfId="0" applyBorder="1"/>
    <xf numFmtId="0" fontId="0" fillId="0" borderId="5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/>
    <xf numFmtId="183" fontId="0" fillId="0" borderId="1" xfId="0" applyNumberFormat="1" applyBorder="1"/>
    <xf numFmtId="0" fontId="0" fillId="0" borderId="6" xfId="0" applyBorder="1" applyAlignment="1">
      <alignment horizontal="center"/>
    </xf>
    <xf numFmtId="10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0" fontId="0" fillId="0" borderId="8" xfId="1" applyNumberFormat="1" applyFont="1" applyBorder="1" applyAlignment="1">
      <alignment horizontal="center"/>
    </xf>
  </cellXfs>
  <cellStyles count="3">
    <cellStyle name="百分比" xfId="1" builtinId="5"/>
    <cellStyle name="常规" xfId="0" builtinId="0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anjuanapp.com/position/strategy/CSI666" TargetMode="External"/><Relationship Id="rId2" Type="http://schemas.openxmlformats.org/officeDocument/2006/relationships/hyperlink" Target="https://qieman.com/properties/177788/longwin/asset" TargetMode="External"/><Relationship Id="rId1" Type="http://schemas.openxmlformats.org/officeDocument/2006/relationships/hyperlink" Target="https://qieman.com/properties/228947/longwin/asset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40"/>
  <sheetViews>
    <sheetView tabSelected="1" workbookViewId="0">
      <selection activeCell="O41" sqref="O41"/>
    </sheetView>
  </sheetViews>
  <sheetFormatPr defaultRowHeight="14.25" x14ac:dyDescent="0.2"/>
  <cols>
    <col min="1" max="1" width="8.625" customWidth="1"/>
    <col min="2" max="2" width="25.625" customWidth="1"/>
    <col min="3" max="3" width="8.625" customWidth="1"/>
    <col min="4" max="4" width="25.625" customWidth="1"/>
    <col min="5" max="5" width="8.625" customWidth="1"/>
    <col min="6" max="6" width="25.625" customWidth="1"/>
    <col min="7" max="7" width="8.625" customWidth="1"/>
    <col min="8" max="8" width="10.625" customWidth="1"/>
    <col min="9" max="9" width="25.625" customWidth="1"/>
    <col min="10" max="16" width="10.625" customWidth="1"/>
  </cols>
  <sheetData>
    <row r="1" spans="2:17" x14ac:dyDescent="0.2">
      <c r="B1" s="3" t="s">
        <v>23</v>
      </c>
      <c r="C1" s="3"/>
      <c r="D1" s="3" t="s">
        <v>24</v>
      </c>
      <c r="E1" s="3"/>
      <c r="F1" s="3" t="s">
        <v>29</v>
      </c>
    </row>
    <row r="2" spans="2:17" x14ac:dyDescent="0.2">
      <c r="B2" s="1" t="s">
        <v>2</v>
      </c>
      <c r="C2" s="1"/>
      <c r="D2" s="1" t="s">
        <v>2</v>
      </c>
      <c r="F2" t="s">
        <v>30</v>
      </c>
      <c r="H2" t="s">
        <v>23</v>
      </c>
      <c r="I2" s="2" t="s">
        <v>27</v>
      </c>
    </row>
    <row r="3" spans="2:17" x14ac:dyDescent="0.2">
      <c r="B3" s="1">
        <v>7416</v>
      </c>
      <c r="C3" s="1"/>
      <c r="D3" s="1">
        <v>2035.47</v>
      </c>
      <c r="F3" s="1">
        <v>2777.05</v>
      </c>
      <c r="H3" t="s">
        <v>28</v>
      </c>
      <c r="I3" s="2" t="s">
        <v>26</v>
      </c>
    </row>
    <row r="4" spans="2:17" x14ac:dyDescent="0.2">
      <c r="B4" s="1" t="s">
        <v>8</v>
      </c>
      <c r="C4" s="1"/>
      <c r="D4" s="1" t="s">
        <v>0</v>
      </c>
      <c r="F4" s="1" t="s">
        <v>31</v>
      </c>
      <c r="H4" t="s">
        <v>29</v>
      </c>
      <c r="I4" s="2" t="s">
        <v>42</v>
      </c>
    </row>
    <row r="5" spans="2:17" x14ac:dyDescent="0.2">
      <c r="B5" s="1" t="s">
        <v>15</v>
      </c>
      <c r="C5" s="1"/>
      <c r="D5" s="1" t="s">
        <v>25</v>
      </c>
      <c r="F5" s="1" t="s">
        <v>32</v>
      </c>
    </row>
    <row r="6" spans="2:17" x14ac:dyDescent="0.2">
      <c r="B6" s="1">
        <v>5320.85</v>
      </c>
      <c r="C6" s="1"/>
      <c r="D6" s="1">
        <v>1053.8699999999999</v>
      </c>
      <c r="F6" s="1">
        <v>2710.13</v>
      </c>
      <c r="H6" s="9" t="s">
        <v>51</v>
      </c>
      <c r="I6" s="9" t="s">
        <v>50</v>
      </c>
      <c r="J6" s="9" t="s">
        <v>52</v>
      </c>
      <c r="K6" s="9" t="s">
        <v>23</v>
      </c>
      <c r="L6" s="9" t="s">
        <v>24</v>
      </c>
      <c r="M6" s="9" t="s">
        <v>29</v>
      </c>
      <c r="Q6" s="3"/>
    </row>
    <row r="7" spans="2:17" x14ac:dyDescent="0.2">
      <c r="B7" s="1" t="s">
        <v>9</v>
      </c>
      <c r="C7" s="1"/>
      <c r="D7" s="1" t="s">
        <v>1</v>
      </c>
      <c r="F7" s="1" t="s">
        <v>31</v>
      </c>
      <c r="H7" s="12" t="s">
        <v>43</v>
      </c>
      <c r="I7" s="5" t="s">
        <v>25</v>
      </c>
      <c r="J7" s="10">
        <f>SUM(K7:M7)</f>
        <v>1053.8699999999999</v>
      </c>
      <c r="K7" s="11">
        <f>IF(ISNA(INDEX(B:B,MATCH($I7,$B$1:$B$100,0)+1)),0,INDEX(B:B,MATCH($I7,$B$1:$B$100,0)+1))</f>
        <v>0</v>
      </c>
      <c r="L7" s="11">
        <f>IF(ISNA(INDEX(D:D,MATCH($I7,$D$1:$D$100,0)+1)),0,INDEX(D:D,MATCH($I7,$D$1:$D$100,0)+1))</f>
        <v>1053.8699999999999</v>
      </c>
      <c r="M7" s="11">
        <f>IF(ISNA(INDEX(F:F,MATCH($I7,$F$1:$F$100,0)+1)),0,INDEX(F:F,MATCH($I7,$F$1:$F$100,0)+1))</f>
        <v>0</v>
      </c>
    </row>
    <row r="8" spans="2:17" x14ac:dyDescent="0.2">
      <c r="B8" s="1" t="s">
        <v>16</v>
      </c>
      <c r="C8" s="1"/>
      <c r="D8" s="1" t="s">
        <v>18</v>
      </c>
      <c r="F8" s="1" t="s">
        <v>33</v>
      </c>
      <c r="H8" s="13">
        <f>SUM(J7:J11)/$J$34</f>
        <v>9.0174016417837149E-2</v>
      </c>
      <c r="I8" s="5" t="s">
        <v>39</v>
      </c>
      <c r="J8" s="10">
        <f t="shared" ref="J8:J33" si="0">SUM(K8:M8)</f>
        <v>321.04000000000002</v>
      </c>
      <c r="K8" s="11">
        <f>IF(ISNA(INDEX(B:B,MATCH($I8,$B$1:$B$100,0)+1)),0,INDEX(B:B,MATCH($I8,$B$1:$B$100,0)+1))</f>
        <v>0</v>
      </c>
      <c r="L8" s="11">
        <f>IF(ISNA(INDEX(D:D,MATCH($I8,$D$1:$D$100,0)+1)),0,INDEX(D:D,MATCH($I8,$D$1:$D$100,0)+1))</f>
        <v>0</v>
      </c>
      <c r="M8" s="11">
        <f>IF(ISNA(INDEX(F:F,MATCH($I8,$F$1:$F$100,0)+1)),0,INDEX(F:F,MATCH($I8,$F$1:$F$100,0)+1))</f>
        <v>321.04000000000002</v>
      </c>
    </row>
    <row r="9" spans="2:17" x14ac:dyDescent="0.2">
      <c r="B9" s="1">
        <v>4659.68</v>
      </c>
      <c r="C9" s="1"/>
      <c r="D9" s="1">
        <v>1012.42</v>
      </c>
      <c r="F9" s="1">
        <v>2700.18</v>
      </c>
      <c r="H9" s="14"/>
      <c r="I9" s="5" t="s">
        <v>36</v>
      </c>
      <c r="J9" s="10">
        <f t="shared" si="0"/>
        <v>1310.3900000000001</v>
      </c>
      <c r="K9" s="11">
        <f>IF(ISNA(INDEX(B:B,MATCH($I9,$B$1:$B$100,0)+1)),0,INDEX(B:B,MATCH($I9,$B$1:$B$100,0)+1))</f>
        <v>0</v>
      </c>
      <c r="L9" s="11">
        <f>IF(ISNA(INDEX(D:D,MATCH($I9,$D$1:$D$100,0)+1)),0,INDEX(D:D,MATCH($I9,$D$1:$D$100,0)+1))</f>
        <v>0</v>
      </c>
      <c r="M9" s="11">
        <f>IF(ISNA(INDEX(F:F,MATCH($I9,$F$1:$F$100,0)+1)),0,INDEX(F:F,MATCH($I9,$F$1:$F$100,0)+1))</f>
        <v>1310.3900000000001</v>
      </c>
    </row>
    <row r="10" spans="2:17" x14ac:dyDescent="0.2">
      <c r="B10" s="1" t="s">
        <v>10</v>
      </c>
      <c r="C10" s="1"/>
      <c r="D10" s="1" t="s">
        <v>1</v>
      </c>
      <c r="F10" s="1" t="s">
        <v>31</v>
      </c>
      <c r="H10" s="14"/>
      <c r="I10" s="5" t="s">
        <v>33</v>
      </c>
      <c r="J10" s="10">
        <f t="shared" si="0"/>
        <v>2700.18</v>
      </c>
      <c r="K10" s="11">
        <f>IF(ISNA(INDEX(B:B,MATCH($I10,$B$1:$B$100,0)+1)),0,INDEX(B:B,MATCH($I10,$B$1:$B$100,0)+1))</f>
        <v>0</v>
      </c>
      <c r="L10" s="11">
        <f>IF(ISNA(INDEX(D:D,MATCH($I10,$D$1:$D$100,0)+1)),0,INDEX(D:D,MATCH($I10,$D$1:$D$100,0)+1))</f>
        <v>0</v>
      </c>
      <c r="M10" s="11">
        <f>IF(ISNA(INDEX(F:F,MATCH($I10,$F$1:$F$100,0)+1)),0,INDEX(F:F,MATCH($I10,$F$1:$F$100,0)+1))</f>
        <v>2700.18</v>
      </c>
    </row>
    <row r="11" spans="2:17" x14ac:dyDescent="0.2">
      <c r="B11" s="1" t="s">
        <v>17</v>
      </c>
      <c r="C11" s="1"/>
      <c r="D11" s="1" t="s">
        <v>3</v>
      </c>
      <c r="F11" s="1" t="s">
        <v>34</v>
      </c>
      <c r="H11" s="15"/>
      <c r="I11" s="6" t="s">
        <v>41</v>
      </c>
      <c r="J11" s="10">
        <f t="shared" si="0"/>
        <v>86.53</v>
      </c>
      <c r="K11" s="11">
        <f>IF(ISNA(INDEX(B:B,MATCH($I11,$B$1:$B$100,0)+1)),0,INDEX(B:B,MATCH($I11,$B$1:$B$100,0)+1))</f>
        <v>0</v>
      </c>
      <c r="L11" s="11">
        <f>IF(ISNA(INDEX(D:D,MATCH($I11,$D$1:$D$100,0)+1)),0,INDEX(D:D,MATCH($I11,$D$1:$D$100,0)+1))</f>
        <v>0</v>
      </c>
      <c r="M11" s="11">
        <f>IF(ISNA(INDEX(F:F,MATCH($I11,$F$1:$F$100,0)+1)),0,INDEX(F:F,MATCH($I11,$F$1:$F$100,0)+1))</f>
        <v>86.53</v>
      </c>
    </row>
    <row r="12" spans="2:17" x14ac:dyDescent="0.2">
      <c r="B12" s="1">
        <v>4051.37</v>
      </c>
      <c r="C12" s="1"/>
      <c r="D12" s="1">
        <v>925.79</v>
      </c>
      <c r="F12" s="1">
        <v>2285.09</v>
      </c>
      <c r="H12" s="12" t="s">
        <v>44</v>
      </c>
      <c r="I12" s="4" t="s">
        <v>17</v>
      </c>
      <c r="J12" s="10">
        <f t="shared" si="0"/>
        <v>4051.37</v>
      </c>
      <c r="K12" s="11">
        <f>IF(ISNA(INDEX(B:B,MATCH($I12,$B$1:$B$100,0)+1)),0,INDEX(B:B,MATCH($I12,$B$1:$B$100,0)+1))</f>
        <v>4051.37</v>
      </c>
      <c r="L12" s="11">
        <f>IF(ISNA(INDEX(D:D,MATCH($I12,$D$1:$D$100,0)+1)),0,INDEX(D:D,MATCH($I12,$D$1:$D$100,0)+1))</f>
        <v>0</v>
      </c>
      <c r="M12" s="11">
        <f>IF(ISNA(INDEX(F:F,MATCH($I12,$F$1:$F$100,0)+1)),0,INDEX(F:F,MATCH($I12,$F$1:$F$100,0)+1))</f>
        <v>0</v>
      </c>
    </row>
    <row r="13" spans="2:17" x14ac:dyDescent="0.2">
      <c r="B13" s="1" t="s">
        <v>11</v>
      </c>
      <c r="C13" s="1"/>
      <c r="D13" s="1" t="s">
        <v>1</v>
      </c>
      <c r="F13" s="1" t="s">
        <v>31</v>
      </c>
      <c r="H13" s="13">
        <f>SUM(J12:J17)/$J$34</f>
        <v>0.31576898751177851</v>
      </c>
      <c r="I13" s="5" t="s">
        <v>2</v>
      </c>
      <c r="J13" s="10">
        <f t="shared" si="0"/>
        <v>9451.4699999999993</v>
      </c>
      <c r="K13" s="11">
        <f>IF(ISNA(INDEX(B:B,MATCH($I13,$B$1:$B$100,0)+1)),0,INDEX(B:B,MATCH($I13,$B$1:$B$100,0)+1))</f>
        <v>7416</v>
      </c>
      <c r="L13" s="11">
        <f>IF(ISNA(INDEX(D:D,MATCH($I13,$D$1:$D$100,0)+1)),0,INDEX(D:D,MATCH($I13,$D$1:$D$100,0)+1))</f>
        <v>2035.47</v>
      </c>
      <c r="M13" s="11">
        <f>IF(ISNA(INDEX(F:F,MATCH($I13,$F$1:$F$100,0)+1)),0,INDEX(F:F,MATCH($I13,$F$1:$F$100,0)+1))</f>
        <v>0</v>
      </c>
    </row>
    <row r="14" spans="2:17" x14ac:dyDescent="0.2">
      <c r="B14" s="1" t="s">
        <v>3</v>
      </c>
      <c r="C14" s="1"/>
      <c r="D14" s="1" t="s">
        <v>6</v>
      </c>
      <c r="F14" s="1" t="s">
        <v>35</v>
      </c>
      <c r="H14" s="14"/>
      <c r="I14" s="5" t="s">
        <v>34</v>
      </c>
      <c r="J14" s="10">
        <f t="shared" si="0"/>
        <v>2285.09</v>
      </c>
      <c r="K14" s="11">
        <f>IF(ISNA(INDEX(B:B,MATCH($I14,$B$1:$B$100,0)+1)),0,INDEX(B:B,MATCH($I14,$B$1:$B$100,0)+1))</f>
        <v>0</v>
      </c>
      <c r="L14" s="11">
        <f>IF(ISNA(INDEX(D:D,MATCH($I14,$D$1:$D$100,0)+1)),0,INDEX(D:D,MATCH($I14,$D$1:$D$100,0)+1))</f>
        <v>0</v>
      </c>
      <c r="M14" s="11">
        <f>IF(ISNA(INDEX(F:F,MATCH($I14,$F$1:$F$100,0)+1)),0,INDEX(F:F,MATCH($I14,$F$1:$F$100,0)+1))</f>
        <v>2285.09</v>
      </c>
    </row>
    <row r="15" spans="2:17" x14ac:dyDescent="0.2">
      <c r="B15" s="1">
        <v>3433.39</v>
      </c>
      <c r="C15" s="1"/>
      <c r="D15" s="1">
        <v>2313.8200000000002</v>
      </c>
      <c r="F15" s="1">
        <v>2019.61</v>
      </c>
      <c r="H15" s="14"/>
      <c r="I15" s="5" t="s">
        <v>35</v>
      </c>
      <c r="J15" s="10">
        <f t="shared" si="0"/>
        <v>2019.61</v>
      </c>
      <c r="K15" s="11">
        <f>IF(ISNA(INDEX(B:B,MATCH($I15,$B$1:$B$100,0)+1)),0,INDEX(B:B,MATCH($I15,$B$1:$B$100,0)+1))</f>
        <v>0</v>
      </c>
      <c r="L15" s="11">
        <f>IF(ISNA(INDEX(D:D,MATCH($I15,$D$1:$D$100,0)+1)),0,INDEX(D:D,MATCH($I15,$D$1:$D$100,0)+1))</f>
        <v>0</v>
      </c>
      <c r="M15" s="11">
        <f>IF(ISNA(INDEX(F:F,MATCH($I15,$F$1:$F$100,0)+1)),0,INDEX(F:F,MATCH($I15,$F$1:$F$100,0)+1))</f>
        <v>2019.61</v>
      </c>
    </row>
    <row r="16" spans="2:17" x14ac:dyDescent="0.2">
      <c r="B16" s="1" t="s">
        <v>12</v>
      </c>
      <c r="C16" s="1"/>
      <c r="D16" s="1" t="s">
        <v>0</v>
      </c>
      <c r="F16" s="1" t="s">
        <v>31</v>
      </c>
      <c r="H16" s="14"/>
      <c r="I16" s="5" t="s">
        <v>19</v>
      </c>
      <c r="J16" s="10">
        <f t="shared" si="0"/>
        <v>677.54</v>
      </c>
      <c r="K16" s="11">
        <f>IF(ISNA(INDEX(B:B,MATCH($I16,$B$1:$B$100,0)+1)),0,INDEX(B:B,MATCH($I16,$B$1:$B$100,0)+1))</f>
        <v>677.54</v>
      </c>
      <c r="L16" s="11">
        <f>IF(ISNA(INDEX(D:D,MATCH($I16,$D$1:$D$100,0)+1)),0,INDEX(D:D,MATCH($I16,$D$1:$D$100,0)+1))</f>
        <v>0</v>
      </c>
      <c r="M16" s="11">
        <f>IF(ISNA(INDEX(F:F,MATCH($I16,$F$1:$F$100,0)+1)),0,INDEX(F:F,MATCH($I16,$F$1:$F$100,0)+1))</f>
        <v>0</v>
      </c>
    </row>
    <row r="17" spans="2:13" x14ac:dyDescent="0.2">
      <c r="B17" s="1" t="s">
        <v>18</v>
      </c>
      <c r="C17" s="1"/>
      <c r="D17" s="1" t="s">
        <v>53</v>
      </c>
      <c r="F17" s="1" t="s">
        <v>36</v>
      </c>
      <c r="H17" s="15"/>
      <c r="I17" s="6" t="s">
        <v>20</v>
      </c>
      <c r="J17" s="10">
        <f t="shared" si="0"/>
        <v>676.66</v>
      </c>
      <c r="K17" s="11">
        <f>IF(ISNA(INDEX(B:B,MATCH($I17,$B$1:$B$100,0)+1)),0,INDEX(B:B,MATCH($I17,$B$1:$B$100,0)+1))</f>
        <v>676.66</v>
      </c>
      <c r="L17" s="11">
        <f>IF(ISNA(INDEX(D:D,MATCH($I17,$D$1:$D$100,0)+1)),0,INDEX(D:D,MATCH($I17,$D$1:$D$100,0)+1))</f>
        <v>0</v>
      </c>
      <c r="M17" s="11">
        <f>IF(ISNA(INDEX(F:F,MATCH($I17,$F$1:$F$100,0)+1)),0,INDEX(F:F,MATCH($I17,$F$1:$F$100,0)+1))</f>
        <v>0</v>
      </c>
    </row>
    <row r="18" spans="2:13" x14ac:dyDescent="0.2">
      <c r="B18" s="1">
        <v>3333.75</v>
      </c>
      <c r="C18" s="1"/>
      <c r="D18" s="1">
        <v>1045.5899999999999</v>
      </c>
      <c r="F18" s="1">
        <v>1310.3900000000001</v>
      </c>
      <c r="H18" s="12" t="s">
        <v>45</v>
      </c>
      <c r="I18" s="4" t="s">
        <v>18</v>
      </c>
      <c r="J18" s="10">
        <f t="shared" si="0"/>
        <v>4346.17</v>
      </c>
      <c r="K18" s="11">
        <f>IF(ISNA(INDEX(B:B,MATCH($I18,$B$1:$B$100,0)+1)),0,INDEX(B:B,MATCH($I18,$B$1:$B$100,0)+1))</f>
        <v>3333.75</v>
      </c>
      <c r="L18" s="11">
        <f>IF(ISNA(INDEX(D:D,MATCH($I18,$D$1:$D$100,0)+1)),0,INDEX(D:D,MATCH($I18,$D$1:$D$100,0)+1))</f>
        <v>1012.42</v>
      </c>
      <c r="M18" s="11">
        <f>IF(ISNA(INDEX(F:F,MATCH($I18,$F$1:$F$100,0)+1)),0,INDEX(F:F,MATCH($I18,$F$1:$F$100,0)+1))</f>
        <v>0</v>
      </c>
    </row>
    <row r="19" spans="2:13" x14ac:dyDescent="0.2">
      <c r="B19" s="1" t="s">
        <v>12</v>
      </c>
      <c r="C19" s="1"/>
      <c r="D19" s="1" t="s">
        <v>1</v>
      </c>
      <c r="F19" s="1" t="s">
        <v>31</v>
      </c>
      <c r="H19" s="13">
        <f>SUM(J18:J20)/$J$34</f>
        <v>0.12578082282980446</v>
      </c>
      <c r="I19" s="7" t="s">
        <v>30</v>
      </c>
      <c r="J19" s="10">
        <f t="shared" si="0"/>
        <v>2777.05</v>
      </c>
      <c r="K19" s="11">
        <f>IF(ISNA(INDEX(B:B,MATCH($I19,$B$1:$B$100,0)+1)),0,INDEX(B:B,MATCH($I19,$B$1:$B$100,0)+1))</f>
        <v>0</v>
      </c>
      <c r="L19" s="11">
        <f>IF(ISNA(INDEX(D:D,MATCH($I19,$D$1:$D$100,0)+1)),0,INDEX(D:D,MATCH($I19,$D$1:$D$100,0)+1))</f>
        <v>0</v>
      </c>
      <c r="M19" s="11">
        <f>IF(ISNA(INDEX(F:F,MATCH($I19,$F$1:$F$100,0)+1)),0,INDEX(F:F,MATCH($I19,$F$1:$F$100,0)+1))</f>
        <v>2777.05</v>
      </c>
    </row>
    <row r="20" spans="2:13" x14ac:dyDescent="0.2">
      <c r="B20" s="1" t="s">
        <v>19</v>
      </c>
      <c r="C20" s="1"/>
      <c r="D20" s="1" t="s">
        <v>22</v>
      </c>
      <c r="F20" s="1" t="s">
        <v>37</v>
      </c>
      <c r="H20" s="15"/>
      <c r="I20" s="6" t="s">
        <v>37</v>
      </c>
      <c r="J20" s="10">
        <f t="shared" si="0"/>
        <v>509.51</v>
      </c>
      <c r="K20" s="11">
        <f>IF(ISNA(INDEX(B:B,MATCH($I20,$B$1:$B$100,0)+1)),0,INDEX(B:B,MATCH($I20,$B$1:$B$100,0)+1))</f>
        <v>0</v>
      </c>
      <c r="L20" s="11">
        <f>IF(ISNA(INDEX(D:D,MATCH($I20,$D$1:$D$100,0)+1)),0,INDEX(D:D,MATCH($I20,$D$1:$D$100,0)+1))</f>
        <v>0</v>
      </c>
      <c r="M20" s="11">
        <f>IF(ISNA(INDEX(F:F,MATCH($I20,$F$1:$F$100,0)+1)),0,INDEX(F:F,MATCH($I20,$F$1:$F$100,0)+1))</f>
        <v>509.51</v>
      </c>
    </row>
    <row r="21" spans="2:13" x14ac:dyDescent="0.2">
      <c r="B21" s="1">
        <v>677.54</v>
      </c>
      <c r="C21" s="1"/>
      <c r="D21" s="1">
        <v>1012.38</v>
      </c>
      <c r="F21" s="1">
        <v>509.51</v>
      </c>
      <c r="H21" s="12" t="s">
        <v>46</v>
      </c>
      <c r="I21" s="4" t="s">
        <v>16</v>
      </c>
      <c r="J21" s="10">
        <f t="shared" si="0"/>
        <v>4659.68</v>
      </c>
      <c r="K21" s="11">
        <f>IF(ISNA(INDEX(B:B,MATCH($I21,$B$1:$B$100,0)+1)),0,INDEX(B:B,MATCH($I21,$B$1:$B$100,0)+1))</f>
        <v>4659.68</v>
      </c>
      <c r="L21" s="11">
        <f>IF(ISNA(INDEX(D:D,MATCH($I21,$D$1:$D$100,0)+1)),0,INDEX(D:D,MATCH($I21,$D$1:$D$100,0)+1))</f>
        <v>0</v>
      </c>
      <c r="M21" s="11">
        <f>IF(ISNA(INDEX(F:F,MATCH($I21,$F$1:$F$100,0)+1)),0,INDEX(F:F,MATCH($I21,$F$1:$F$100,0)+1))</f>
        <v>0</v>
      </c>
    </row>
    <row r="22" spans="2:13" x14ac:dyDescent="0.2">
      <c r="B22" s="1" t="s">
        <v>1</v>
      </c>
      <c r="C22" s="1"/>
      <c r="D22" s="1" t="s">
        <v>1</v>
      </c>
      <c r="F22" s="1" t="s">
        <v>31</v>
      </c>
      <c r="H22" s="13">
        <f>SUM(J21:J26)/$J$34</f>
        <v>0.25030280418926099</v>
      </c>
      <c r="I22" s="5" t="s">
        <v>40</v>
      </c>
      <c r="J22" s="10">
        <f t="shared" si="0"/>
        <v>165.11</v>
      </c>
      <c r="K22" s="11">
        <f>IF(ISNA(INDEX(B:B,MATCH($I22,$B$1:$B$100,0)+1)),0,INDEX(B:B,MATCH($I22,$B$1:$B$100,0)+1))</f>
        <v>0</v>
      </c>
      <c r="L22" s="11">
        <f>IF(ISNA(INDEX(D:D,MATCH($I22,$D$1:$D$100,0)+1)),0,INDEX(D:D,MATCH($I22,$D$1:$D$100,0)+1))</f>
        <v>0</v>
      </c>
      <c r="M22" s="11">
        <f>IF(ISNA(INDEX(F:F,MATCH($I22,$F$1:$F$100,0)+1)),0,INDEX(F:F,MATCH($I22,$F$1:$F$100,0)+1))</f>
        <v>165.11</v>
      </c>
    </row>
    <row r="23" spans="2:13" x14ac:dyDescent="0.2">
      <c r="B23" s="1" t="s">
        <v>20</v>
      </c>
      <c r="C23" s="1"/>
      <c r="D23" s="1" t="s">
        <v>4</v>
      </c>
      <c r="F23" s="1" t="s">
        <v>38</v>
      </c>
      <c r="H23" s="14"/>
      <c r="I23" s="5" t="s">
        <v>38</v>
      </c>
      <c r="J23" s="10">
        <f t="shared" si="0"/>
        <v>401.08</v>
      </c>
      <c r="K23" s="11">
        <f>IF(ISNA(INDEX(B:B,MATCH($I23,$B$1:$B$100,0)+1)),0,INDEX(B:B,MATCH($I23,$B$1:$B$100,0)+1))</f>
        <v>0</v>
      </c>
      <c r="L23" s="11">
        <f>IF(ISNA(INDEX(D:D,MATCH($I23,$D$1:$D$100,0)+1)),0,INDEX(D:D,MATCH($I23,$D$1:$D$100,0)+1))</f>
        <v>0</v>
      </c>
      <c r="M23" s="11">
        <f>IF(ISNA(INDEX(F:F,MATCH($I23,$F$1:$F$100,0)+1)),0,INDEX(F:F,MATCH($I23,$F$1:$F$100,0)+1))</f>
        <v>401.08</v>
      </c>
    </row>
    <row r="24" spans="2:13" x14ac:dyDescent="0.2">
      <c r="B24" s="1">
        <v>676.66</v>
      </c>
      <c r="C24" s="1"/>
      <c r="D24" s="1">
        <v>1081.79</v>
      </c>
      <c r="F24" s="1">
        <v>401.08</v>
      </c>
      <c r="H24" s="14"/>
      <c r="I24" s="5" t="s">
        <v>3</v>
      </c>
      <c r="J24" s="10">
        <f t="shared" si="0"/>
        <v>4359.18</v>
      </c>
      <c r="K24" s="11">
        <f>IF(ISNA(INDEX(B:B,MATCH($I24,$B$1:$B$100,0)+1)),0,INDEX(B:B,MATCH($I24,$B$1:$B$100,0)+1))</f>
        <v>3433.39</v>
      </c>
      <c r="L24" s="11">
        <f>IF(ISNA(INDEX(D:D,MATCH($I24,$D$1:$D$100,0)+1)),0,INDEX(D:D,MATCH($I24,$D$1:$D$100,0)+1))</f>
        <v>925.79</v>
      </c>
      <c r="M24" s="11">
        <f>IF(ISNA(INDEX(F:F,MATCH($I24,$F$1:$F$100,0)+1)),0,INDEX(F:F,MATCH($I24,$F$1:$F$100,0)+1))</f>
        <v>0</v>
      </c>
    </row>
    <row r="25" spans="2:13" x14ac:dyDescent="0.2">
      <c r="B25" s="1" t="s">
        <v>1</v>
      </c>
      <c r="C25" s="1"/>
      <c r="D25" s="1" t="s">
        <v>1</v>
      </c>
      <c r="F25" s="1" t="s">
        <v>31</v>
      </c>
      <c r="H25" s="14"/>
      <c r="I25" s="5" t="s">
        <v>54</v>
      </c>
      <c r="J25" s="10">
        <f t="shared" si="0"/>
        <v>5320.85</v>
      </c>
      <c r="K25" s="11">
        <f>IF(ISNA(INDEX(B:B,MATCH($I25,$B$1:$B$100,0)+1)),0,INDEX(B:B,MATCH($I25,$B$1:$B$100,0)+1))</f>
        <v>5320.85</v>
      </c>
      <c r="L25" s="11">
        <f>IF(ISNA(INDEX(D:D,MATCH($I25,$D$1:$D$100,0)+1)),0,INDEX(D:D,MATCH($I25,$D$1:$D$100,0)+1))</f>
        <v>0</v>
      </c>
      <c r="M25" s="11">
        <f>IF(ISNA(INDEX(F:F,MATCH($I25,$F$1:$F$100,0)+1)),0,INDEX(F:F,MATCH($I25,$F$1:$F$100,0)+1))</f>
        <v>0</v>
      </c>
    </row>
    <row r="26" spans="2:13" x14ac:dyDescent="0.2">
      <c r="B26" s="1" t="s">
        <v>21</v>
      </c>
      <c r="C26" s="1"/>
      <c r="D26" s="1" t="s">
        <v>5</v>
      </c>
      <c r="F26" s="1" t="s">
        <v>39</v>
      </c>
      <c r="H26" s="15"/>
      <c r="I26" s="6" t="s">
        <v>21</v>
      </c>
      <c r="J26" s="10">
        <f t="shared" si="0"/>
        <v>283.17</v>
      </c>
      <c r="K26" s="11">
        <f>IF(ISNA(INDEX(B:B,MATCH($I26,$B$1:$B$100,0)+1)),0,INDEX(B:B,MATCH($I26,$B$1:$B$100,0)+1))</f>
        <v>283.17</v>
      </c>
      <c r="L26" s="11">
        <f>IF(ISNA(INDEX(D:D,MATCH($I26,$D$1:$D$100,0)+1)),0,INDEX(D:D,MATCH($I26,$D$1:$D$100,0)+1))</f>
        <v>0</v>
      </c>
      <c r="M26" s="11">
        <f>IF(ISNA(INDEX(F:F,MATCH($I26,$F$1:$F$100,0)+1)),0,INDEX(F:F,MATCH($I26,$F$1:$F$100,0)+1))</f>
        <v>0</v>
      </c>
    </row>
    <row r="27" spans="2:13" x14ac:dyDescent="0.2">
      <c r="B27" s="1">
        <v>283.17</v>
      </c>
      <c r="C27" s="1"/>
      <c r="D27" s="1">
        <v>888.29</v>
      </c>
      <c r="F27" s="1">
        <v>321.04000000000002</v>
      </c>
      <c r="H27" s="12" t="s">
        <v>47</v>
      </c>
      <c r="I27" s="4" t="s">
        <v>22</v>
      </c>
      <c r="J27" s="10">
        <f t="shared" si="0"/>
        <v>1687.77</v>
      </c>
      <c r="K27" s="11">
        <f>IF(ISNA(INDEX(B:B,MATCH($I27,$B$1:$B$100,0)+1)),0,INDEX(B:B,MATCH($I27,$B$1:$B$100,0)+1))</f>
        <v>675.39</v>
      </c>
      <c r="L27" s="11">
        <f>IF(ISNA(INDEX(D:D,MATCH($I27,$D$1:$D$100,0)+1)),0,INDEX(D:D,MATCH($I27,$D$1:$D$100,0)+1))</f>
        <v>1012.38</v>
      </c>
      <c r="M27" s="11">
        <f>IF(ISNA(INDEX(F:F,MATCH($I27,$F$1:$F$100,0)+1)),0,INDEX(F:F,MATCH($I27,$F$1:$F$100,0)+1))</f>
        <v>0</v>
      </c>
    </row>
    <row r="28" spans="2:13" x14ac:dyDescent="0.2">
      <c r="B28" s="1" t="s">
        <v>7</v>
      </c>
      <c r="C28" s="1"/>
      <c r="D28" s="1" t="s">
        <v>1</v>
      </c>
      <c r="F28" s="1" t="s">
        <v>31</v>
      </c>
      <c r="H28" s="13">
        <f>SUM(J27:J29)/$J$34</f>
        <v>0.10074900985090005</v>
      </c>
      <c r="I28" s="5" t="s">
        <v>32</v>
      </c>
      <c r="J28" s="10">
        <f t="shared" si="0"/>
        <v>2710.13</v>
      </c>
      <c r="K28" s="11">
        <f>IF(ISNA(INDEX(B:B,MATCH($I28,$B$1:$B$100,0)+1)),0,INDEX(B:B,MATCH($I28,$B$1:$B$100,0)+1))</f>
        <v>0</v>
      </c>
      <c r="L28" s="11">
        <f>IF(ISNA(INDEX(D:D,MATCH($I28,$D$1:$D$100,0)+1)),0,INDEX(D:D,MATCH($I28,$D$1:$D$100,0)+1))</f>
        <v>0</v>
      </c>
      <c r="M28" s="11">
        <f>IF(ISNA(INDEX(F:F,MATCH($I28,$F$1:$F$100,0)+1)),0,INDEX(F:F,MATCH($I28,$F$1:$F$100,0)+1))</f>
        <v>2710.13</v>
      </c>
    </row>
    <row r="29" spans="2:13" x14ac:dyDescent="0.2">
      <c r="B29" s="1" t="s">
        <v>5</v>
      </c>
      <c r="C29" s="1"/>
      <c r="D29" s="1"/>
      <c r="F29" s="1" t="s">
        <v>40</v>
      </c>
      <c r="H29" s="15"/>
      <c r="I29" s="6" t="s">
        <v>14</v>
      </c>
      <c r="J29" s="10">
        <f t="shared" si="0"/>
        <v>1715.83</v>
      </c>
      <c r="K29" s="11">
        <f>IF(ISNA(INDEX(B:B,MATCH($I29,$B$1:$B$100,0)+1)),0,INDEX(B:B,MATCH($I29,$B$1:$B$100,0)+1))</f>
        <v>670.24</v>
      </c>
      <c r="L29" s="11">
        <f>IF(ISNA(INDEX(D:D,MATCH($I29,$D$1:$D$100,0)+1)),0,INDEX(D:D,MATCH($I29,$D$1:$D$100,0)+1))</f>
        <v>1045.5899999999999</v>
      </c>
      <c r="M29" s="11">
        <f>IF(ISNA(INDEX(F:F,MATCH($I29,$F$1:$F$100,0)+1)),0,INDEX(F:F,MATCH($I29,$F$1:$F$100,0)+1))</f>
        <v>0</v>
      </c>
    </row>
    <row r="30" spans="2:13" x14ac:dyDescent="0.2">
      <c r="B30" s="1">
        <v>2135.88</v>
      </c>
      <c r="C30" s="1"/>
      <c r="D30" s="1"/>
      <c r="F30" s="1">
        <v>165.11</v>
      </c>
      <c r="H30" s="12" t="s">
        <v>48</v>
      </c>
      <c r="I30" s="4" t="s">
        <v>4</v>
      </c>
      <c r="J30" s="10">
        <f t="shared" si="0"/>
        <v>1775.51</v>
      </c>
      <c r="K30" s="11">
        <f>IF(ISNA(INDEX(B:B,MATCH($I30,$B$1:$B$100,0)+1)),0,INDEX(B:B,MATCH($I30,$B$1:$B$100,0)+1))</f>
        <v>693.72</v>
      </c>
      <c r="L30" s="11">
        <f>IF(ISNA(INDEX(D:D,MATCH($I30,$D$1:$D$100,0)+1)),0,INDEX(D:D,MATCH($I30,$D$1:$D$100,0)+1))</f>
        <v>1081.79</v>
      </c>
      <c r="M30" s="11">
        <f>IF(ISNA(INDEX(F:F,MATCH($I30,$F$1:$F$100,0)+1)),0,INDEX(F:F,MATCH($I30,$F$1:$F$100,0)+1))</f>
        <v>0</v>
      </c>
    </row>
    <row r="31" spans="2:13" x14ac:dyDescent="0.2">
      <c r="B31" s="1" t="s">
        <v>13</v>
      </c>
      <c r="C31" s="1"/>
      <c r="D31" s="1"/>
      <c r="F31" s="1" t="s">
        <v>31</v>
      </c>
      <c r="H31" s="16">
        <f>SUM(J30:J31)/$J$34</f>
        <v>2.9258877065289367E-2</v>
      </c>
      <c r="I31" s="6"/>
      <c r="J31" s="10"/>
      <c r="K31" s="11"/>
      <c r="L31" s="11"/>
      <c r="M31" s="11"/>
    </row>
    <row r="32" spans="2:13" x14ac:dyDescent="0.2">
      <c r="B32" s="1" t="s">
        <v>22</v>
      </c>
      <c r="C32" s="1"/>
      <c r="D32" s="1"/>
      <c r="F32" s="1" t="s">
        <v>41</v>
      </c>
      <c r="H32" s="12" t="s">
        <v>49</v>
      </c>
      <c r="I32" s="4" t="s">
        <v>6</v>
      </c>
      <c r="J32" s="10">
        <f t="shared" si="0"/>
        <v>2313.8200000000002</v>
      </c>
      <c r="K32" s="11">
        <f>IF(ISNA(INDEX(B:B,MATCH($I32,$B$1:$B$100,0)+1)),0,INDEX(B:B,MATCH($I32,$B$1:$B$100,0)+1))</f>
        <v>0</v>
      </c>
      <c r="L32" s="11">
        <f>IF(ISNA(INDEX(D:D,MATCH($I32,$D$1:$D$100,0)+1)),0,INDEX(D:D,MATCH($I32,$D$1:$D$100,0)+1))</f>
        <v>2313.8200000000002</v>
      </c>
      <c r="M32" s="11">
        <f>IF(ISNA(INDEX(F:F,MATCH($I32,$F$1:$F$100,0)+1)),0,INDEX(F:F,MATCH($I32,$F$1:$F$100,0)+1))</f>
        <v>0</v>
      </c>
    </row>
    <row r="33" spans="2:13" x14ac:dyDescent="0.2">
      <c r="B33" s="1">
        <v>675.39</v>
      </c>
      <c r="C33" s="1"/>
      <c r="D33" s="1"/>
      <c r="F33" s="1">
        <v>86.53</v>
      </c>
      <c r="H33" s="13">
        <f>SUM(J32:J33)/$J$34</f>
        <v>8.7965482135129613E-2</v>
      </c>
      <c r="I33" s="5" t="s">
        <v>5</v>
      </c>
      <c r="J33" s="10">
        <f t="shared" si="0"/>
        <v>3024.17</v>
      </c>
      <c r="K33" s="11">
        <f>IF(ISNA(INDEX(B:B,MATCH($I33,$B$1:$B$100,0)+1)),0,INDEX(B:B,MATCH($I33,$B$1:$B$100,0)+1))</f>
        <v>2135.88</v>
      </c>
      <c r="L33" s="11">
        <f>IF(ISNA(INDEX(D:D,MATCH($I33,$D$1:$D$100,0)+1)),0,INDEX(D:D,MATCH($I33,$D$1:$D$100,0)+1))</f>
        <v>888.29</v>
      </c>
      <c r="M33" s="11">
        <f>IF(ISNA(INDEX(F:F,MATCH($I33,$F$1:$F$100,0)+1)),0,INDEX(F:F,MATCH($I33,$F$1:$F$100,0)+1))</f>
        <v>0</v>
      </c>
    </row>
    <row r="34" spans="2:13" x14ac:dyDescent="0.2">
      <c r="B34" s="1" t="s">
        <v>1</v>
      </c>
      <c r="C34" s="1"/>
      <c r="D34" s="1"/>
      <c r="F34" s="1" t="s">
        <v>31</v>
      </c>
      <c r="H34" s="9" t="s">
        <v>55</v>
      </c>
      <c r="I34" s="8"/>
      <c r="J34" s="10">
        <f>SUM(J7:J33)</f>
        <v>60682.779999999992</v>
      </c>
      <c r="K34" s="10">
        <f>SUM(K7:K33)</f>
        <v>34027.64</v>
      </c>
      <c r="L34" s="10">
        <f>SUM(L7:L33)</f>
        <v>11369.420000000002</v>
      </c>
      <c r="M34" s="10">
        <f>SUM(M7:M33)</f>
        <v>15285.720000000001</v>
      </c>
    </row>
    <row r="35" spans="2:13" x14ac:dyDescent="0.2">
      <c r="B35" s="1" t="s">
        <v>14</v>
      </c>
      <c r="C35" s="1"/>
      <c r="D35" s="1"/>
    </row>
    <row r="36" spans="2:13" x14ac:dyDescent="0.2">
      <c r="B36" s="1">
        <v>670.24</v>
      </c>
      <c r="C36" s="1"/>
      <c r="D36" s="1"/>
    </row>
    <row r="37" spans="2:13" x14ac:dyDescent="0.2">
      <c r="B37" s="1" t="s">
        <v>1</v>
      </c>
      <c r="C37" s="1"/>
      <c r="D37" s="1"/>
    </row>
    <row r="38" spans="2:13" x14ac:dyDescent="0.2">
      <c r="B38" s="1" t="s">
        <v>4</v>
      </c>
      <c r="C38" s="1"/>
      <c r="D38" s="1"/>
    </row>
    <row r="39" spans="2:13" x14ac:dyDescent="0.2">
      <c r="B39" s="1">
        <v>693.72</v>
      </c>
      <c r="C39" s="1"/>
      <c r="D39" s="1"/>
    </row>
    <row r="40" spans="2:13" x14ac:dyDescent="0.2">
      <c r="B40" t="s">
        <v>1</v>
      </c>
    </row>
  </sheetData>
  <phoneticPr fontId="1" type="noConversion"/>
  <hyperlinks>
    <hyperlink ref="I3" r:id="rId1" xr:uid="{A96F5BBD-4341-4290-8D2D-4B49A33DB84B}"/>
    <hyperlink ref="I2" r:id="rId2" xr:uid="{108809BA-6706-48E3-98EE-18A73F20C916}"/>
    <hyperlink ref="I4" r:id="rId3" xr:uid="{356FD7F4-6647-4FDA-B070-B3D7ABB65C87}"/>
  </hyperlinks>
  <pageMargins left="0.7" right="0.7" top="0.75" bottom="0.75" header="0.3" footer="0.3"/>
  <pageSetup paperSize="9" orientation="portrait" horizontalDpi="300" verticalDpi="30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补充计划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kangliquan</dc:creator>
  <cp:lastModifiedBy>kangliquan</cp:lastModifiedBy>
  <dcterms:created xsi:type="dcterms:W3CDTF">2015-06-05T18:19:34Z</dcterms:created>
  <dcterms:modified xsi:type="dcterms:W3CDTF">2019-10-01T13:43:20Z</dcterms:modified>
</cp:coreProperties>
</file>