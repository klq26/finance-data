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524608C7-C1D0-4EE5-86D1-D51256C7C35F}" xr6:coauthVersionLast="36" xr6:coauthVersionMax="45" xr10:uidLastSave="{00000000-0000-0000-0000-000000000000}"/>
  <bookViews>
    <workbookView xWindow="-120" yWindow="-120" windowWidth="38640" windowHeight="2124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交易明细!$A$1:$X$143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45" i="1" l="1"/>
  <c r="H5" i="19" l="1"/>
  <c r="T4" i="1"/>
  <c r="T6" i="1"/>
  <c r="G32" i="11"/>
  <c r="G14" i="19" l="1"/>
  <c r="G3" i="19" l="1"/>
  <c r="G4" i="19"/>
  <c r="G6" i="19"/>
  <c r="G2" i="19"/>
  <c r="G5" i="19" l="1"/>
  <c r="G7" i="19" s="1"/>
  <c r="I7" i="19"/>
  <c r="H7" i="19"/>
  <c r="J3" i="19"/>
  <c r="J4" i="19"/>
  <c r="J5" i="19"/>
  <c r="J6" i="19"/>
  <c r="J2" i="19"/>
  <c r="J7" i="19" l="1"/>
  <c r="E62" i="11"/>
  <c r="R8" i="1" l="1"/>
  <c r="V4" i="1" l="1"/>
  <c r="F14" i="11" l="1"/>
  <c r="Q8" i="1"/>
  <c r="K140" i="1" l="1"/>
  <c r="J140" i="1"/>
  <c r="M137" i="1" l="1"/>
  <c r="K137" i="1" s="1"/>
  <c r="J137" i="1" l="1"/>
  <c r="M136" i="1"/>
  <c r="K136" i="1" l="1"/>
  <c r="J136" i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5" i="1" l="1"/>
  <c r="H17" i="11" s="1"/>
  <c r="C83" i="11" s="1"/>
  <c r="F26" i="11" l="1"/>
  <c r="N121" i="1"/>
  <c r="N126" i="1"/>
  <c r="N118" i="1"/>
  <c r="N103" i="1"/>
  <c r="N72" i="1"/>
  <c r="J150" i="1"/>
  <c r="J152" i="1"/>
  <c r="S8" i="1" l="1"/>
  <c r="U8" i="1" s="1"/>
  <c r="R4" i="1"/>
  <c r="K135" i="1"/>
  <c r="J135" i="1"/>
  <c r="K125" i="1" l="1"/>
  <c r="J125" i="1"/>
  <c r="K132" i="1"/>
  <c r="J132" i="1"/>
  <c r="J158" i="1"/>
  <c r="J165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C40" i="11" s="1"/>
  <c r="F4" i="11"/>
  <c r="F6" i="11"/>
  <c r="C41" i="11" s="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8" i="11" l="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J17" i="1"/>
  <c r="J19" i="1"/>
  <c r="U29" i="1"/>
  <c r="H21" i="1" s="1"/>
  <c r="J21" i="1" s="1"/>
  <c r="U30" i="1"/>
  <c r="H62" i="1" s="1"/>
  <c r="J62" i="1" s="1"/>
  <c r="U21" i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E61" i="11" s="1"/>
  <c r="C57" i="11"/>
  <c r="F2" i="11"/>
  <c r="C39" i="11" s="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I139" i="1" l="1"/>
  <c r="K139" i="1" s="1"/>
  <c r="I141" i="1"/>
  <c r="K141" i="1" s="1"/>
  <c r="H138" i="1"/>
  <c r="J138" i="1" s="1"/>
  <c r="H142" i="1"/>
  <c r="J142" i="1" s="1"/>
  <c r="I138" i="1"/>
  <c r="K138" i="1" s="1"/>
  <c r="I142" i="1"/>
  <c r="K142" i="1" s="1"/>
  <c r="H139" i="1"/>
  <c r="J139" i="1" s="1"/>
  <c r="H141" i="1"/>
  <c r="J141" i="1" s="1"/>
  <c r="H110" i="1"/>
  <c r="J110" i="1" s="1"/>
  <c r="Y35" i="1" s="1"/>
  <c r="D15" i="7" s="1"/>
  <c r="F15" i="7" s="1"/>
  <c r="H143" i="1"/>
  <c r="J143" i="1" s="1"/>
  <c r="I110" i="1"/>
  <c r="K110" i="1" s="1"/>
  <c r="Z35" i="1" s="1"/>
  <c r="I143" i="1"/>
  <c r="K143" i="1" s="1"/>
  <c r="H134" i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F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H25" i="7"/>
  <c r="H27" i="7" s="1"/>
  <c r="E32" i="7"/>
  <c r="E33" i="7"/>
  <c r="F2" i="7"/>
  <c r="E30" i="7"/>
  <c r="A56" i="7"/>
  <c r="B12" i="8"/>
  <c r="B2" i="8"/>
  <c r="H2" i="7"/>
  <c r="D31" i="7"/>
  <c r="F30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C96" i="7" l="1"/>
  <c r="E95" i="7"/>
  <c r="E96" i="7"/>
  <c r="F98" i="7"/>
  <c r="D98" i="7"/>
  <c r="E98" i="7"/>
  <c r="D97" i="7"/>
  <c r="F96" i="7"/>
  <c r="C98" i="7"/>
  <c r="D95" i="7"/>
  <c r="H15" i="7"/>
  <c r="E97" i="7"/>
  <c r="F97" i="7"/>
  <c r="F95" i="7"/>
  <c r="D96" i="7"/>
  <c r="C95" i="7"/>
  <c r="C97" i="7"/>
  <c r="G15" i="7"/>
  <c r="I15" i="7"/>
  <c r="M37" i="10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2" i="1"/>
  <c r="M176" i="1" l="1"/>
  <c r="J176" i="1" s="1"/>
  <c r="J172" i="1"/>
  <c r="B60" i="11"/>
  <c r="F31" i="11"/>
  <c r="B41" i="11" l="1"/>
  <c r="E41" i="11" s="1"/>
  <c r="B56" i="11"/>
  <c r="E56" i="11" s="1"/>
  <c r="B55" i="11"/>
  <c r="E55" i="11" s="1"/>
  <c r="B45" i="11"/>
  <c r="E45" i="11" s="1"/>
  <c r="B57" i="11"/>
  <c r="E57" i="11" s="1"/>
  <c r="B43" i="11"/>
  <c r="E43" i="11" s="1"/>
  <c r="B47" i="11"/>
  <c r="E47" i="11" s="1"/>
  <c r="B58" i="11"/>
  <c r="E58" i="11" s="1"/>
  <c r="B52" i="11"/>
  <c r="E52" i="11" s="1"/>
  <c r="B59" i="11"/>
  <c r="E59" i="11" s="1"/>
  <c r="B46" i="11"/>
  <c r="E46" i="11" s="1"/>
  <c r="B48" i="11"/>
  <c r="E48" i="11" s="1"/>
  <c r="B53" i="11"/>
  <c r="E53" i="11" s="1"/>
  <c r="B50" i="11"/>
  <c r="E50" i="11" s="1"/>
  <c r="B40" i="11"/>
  <c r="E40" i="11" s="1"/>
  <c r="B49" i="11"/>
  <c r="E49" i="11" s="1"/>
  <c r="B54" i="11"/>
  <c r="E54" i="11" s="1"/>
  <c r="B51" i="11"/>
  <c r="E51" i="11" s="1"/>
  <c r="B39" i="11"/>
  <c r="B42" i="11"/>
  <c r="E42" i="11" s="1"/>
  <c r="B44" i="11"/>
  <c r="F34" i="11"/>
  <c r="E14" i="11" s="1"/>
  <c r="C60" i="11"/>
  <c r="E60" i="11" s="1"/>
  <c r="B16" i="10" l="1"/>
  <c r="B49" i="10" s="1"/>
  <c r="F56" i="11"/>
  <c r="B9" i="10"/>
  <c r="B42" i="10" s="1"/>
  <c r="P42" i="10" s="1"/>
  <c r="B5" i="10"/>
  <c r="B38" i="10" s="1"/>
  <c r="P38" i="10" s="1"/>
  <c r="B11" i="10"/>
  <c r="B44" i="10" s="1"/>
  <c r="B69" i="10" s="1"/>
  <c r="P69" i="10" s="1"/>
  <c r="D57" i="11"/>
  <c r="F48" i="11"/>
  <c r="B3" i="10"/>
  <c r="B36" i="10" s="1"/>
  <c r="B61" i="10" s="1"/>
  <c r="E39" i="11"/>
  <c r="B10" i="10"/>
  <c r="B43" i="10" s="1"/>
  <c r="P43" i="10" s="1"/>
  <c r="B17" i="10"/>
  <c r="B50" i="10" s="1"/>
  <c r="B75" i="10" s="1"/>
  <c r="P75" i="10" s="1"/>
  <c r="D51" i="11"/>
  <c r="F44" i="11"/>
  <c r="E44" i="11"/>
  <c r="F54" i="11"/>
  <c r="F40" i="11"/>
  <c r="F43" i="11"/>
  <c r="E31" i="11"/>
  <c r="C31" i="11" s="1"/>
  <c r="A60" i="11" s="1"/>
  <c r="F52" i="11"/>
  <c r="D52" i="11"/>
  <c r="D43" i="11"/>
  <c r="B7" i="10"/>
  <c r="B40" i="10" s="1"/>
  <c r="P40" i="10" s="1"/>
  <c r="B12" i="10"/>
  <c r="B45" i="10" s="1"/>
  <c r="B70" i="10" s="1"/>
  <c r="P70" i="10" s="1"/>
  <c r="B22" i="10"/>
  <c r="B55" i="10" s="1"/>
  <c r="B80" i="10" s="1"/>
  <c r="P80" i="10" s="1"/>
  <c r="D58" i="11"/>
  <c r="B18" i="10"/>
  <c r="B51" i="10" s="1"/>
  <c r="P51" i="10" s="1"/>
  <c r="F58" i="11"/>
  <c r="D54" i="11"/>
  <c r="D41" i="11"/>
  <c r="F41" i="11"/>
  <c r="F57" i="11"/>
  <c r="B6" i="10"/>
  <c r="B39" i="10" s="1"/>
  <c r="P39" i="10" s="1"/>
  <c r="F50" i="11"/>
  <c r="B63" i="11"/>
  <c r="B21" i="10"/>
  <c r="B54" i="10" s="1"/>
  <c r="B79" i="10" s="1"/>
  <c r="P79" i="10" s="1"/>
  <c r="D42" i="11"/>
  <c r="D50" i="11"/>
  <c r="F39" i="11"/>
  <c r="F42" i="11"/>
  <c r="B14" i="10"/>
  <c r="B47" i="10" s="1"/>
  <c r="B72" i="10" s="1"/>
  <c r="P72" i="10" s="1"/>
  <c r="D39" i="11"/>
  <c r="D49" i="11"/>
  <c r="B19" i="10"/>
  <c r="B52" i="10" s="1"/>
  <c r="B77" i="10" s="1"/>
  <c r="P77" i="10" s="1"/>
  <c r="F59" i="11"/>
  <c r="F46" i="11"/>
  <c r="B13" i="10"/>
  <c r="B46" i="10" s="1"/>
  <c r="B71" i="10" s="1"/>
  <c r="P71" i="10" s="1"/>
  <c r="F47" i="11"/>
  <c r="D55" i="11"/>
  <c r="D59" i="11"/>
  <c r="D46" i="11"/>
  <c r="F49" i="11"/>
  <c r="D47" i="11"/>
  <c r="F55" i="11"/>
  <c r="B23" i="10"/>
  <c r="B56" i="10" s="1"/>
  <c r="P56" i="10" s="1"/>
  <c r="B4" i="10"/>
  <c r="B37" i="10" s="1"/>
  <c r="B62" i="10" s="1"/>
  <c r="P62" i="10" s="1"/>
  <c r="F51" i="11"/>
  <c r="D45" i="11"/>
  <c r="F53" i="11"/>
  <c r="B15" i="10"/>
  <c r="B48" i="10" s="1"/>
  <c r="B73" i="10" s="1"/>
  <c r="P73" i="10" s="1"/>
  <c r="F45" i="11"/>
  <c r="D56" i="11"/>
  <c r="D44" i="11"/>
  <c r="D40" i="11"/>
  <c r="B20" i="10"/>
  <c r="B53" i="10" s="1"/>
  <c r="P53" i="10" s="1"/>
  <c r="D48" i="11"/>
  <c r="B8" i="10"/>
  <c r="B41" i="10" s="1"/>
  <c r="B66" i="10" s="1"/>
  <c r="P66" i="10" s="1"/>
  <c r="D53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F60" i="11"/>
  <c r="D60" i="11"/>
  <c r="B74" i="10"/>
  <c r="P74" i="10" s="1"/>
  <c r="P49" i="10"/>
  <c r="P44" i="10" l="1"/>
  <c r="B67" i="10"/>
  <c r="P67" i="10" s="1"/>
  <c r="P36" i="10"/>
  <c r="B63" i="10"/>
  <c r="P63" i="10" s="1"/>
  <c r="P45" i="10"/>
  <c r="P50" i="10"/>
  <c r="B68" i="10"/>
  <c r="P68" i="10" s="1"/>
  <c r="B31" i="11"/>
  <c r="B78" i="10"/>
  <c r="P78" i="10" s="1"/>
  <c r="B65" i="10"/>
  <c r="P65" i="10" s="1"/>
  <c r="B76" i="10"/>
  <c r="P76" i="10" s="1"/>
  <c r="P37" i="10"/>
  <c r="P52" i="10"/>
  <c r="P54" i="10"/>
  <c r="P46" i="10"/>
  <c r="P55" i="10"/>
  <c r="D63" i="11"/>
  <c r="B64" i="10"/>
  <c r="P64" i="10" s="1"/>
  <c r="B81" i="10"/>
  <c r="P81" i="10" s="1"/>
  <c r="B57" i="10"/>
  <c r="P48" i="10"/>
  <c r="P47" i="10"/>
  <c r="P41" i="10"/>
  <c r="B11" i="1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P61" i="10"/>
  <c r="P82" i="10" l="1"/>
  <c r="P84" i="10" s="1"/>
  <c r="B82" i="10"/>
  <c r="P57" i="10"/>
  <c r="D86" i="1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8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kangliquan</author>
  </authors>
  <commentList>
    <comment ref="H5" authorId="0" shapeId="0" xr:uid="{1ED4A822-5946-4275-B7B5-0FC78FF253A6}">
      <text>
        <r>
          <rPr>
            <sz val="9"/>
            <color indexed="81"/>
            <rFont val="宋体"/>
            <family val="3"/>
            <charset val="134"/>
          </rPr>
          <t xml:space="preserve">且慢投入市值删除了“盈米宝”中的 5000 多现金部分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<sst xmlns="http://schemas.openxmlformats.org/spreadsheetml/2006/main" count="15988" uniqueCount="7721">
  <si>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</si>
  <si>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</si>
  <si>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</si>
  <si>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</si>
  <si>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</si>
  <si>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</si>
  <si>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</si>
  <si>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</si>
  <si>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</si>
  <si>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</si>
  <si>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</si>
  <si>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</si>
  <si>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</si>
  <si>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</si>
  <si>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</si>
  <si>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</si>
  <si>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</si>
  <si>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</si>
  <si>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</si>
  <si>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</si>
  <si>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</si>
  <si>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</si>
  <si>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</si>
  <si>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</si>
  <si>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</si>
  <si>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</si>
  <si>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</si>
  <si>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</si>
  <si>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</si>
  <si>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</si>
  <si>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</si>
  <si>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</si>
  <si>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</si>
  <si>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</si>
  <si>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</si>
  <si>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</si>
  <si>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</si>
  <si>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</si>
  <si>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</si>
  <si>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</si>
  <si>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</si>
  <si>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</si>
  <si>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</si>
  <si>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</si>
  <si>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</si>
  <si>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</si>
  <si>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</si>
  <si>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</si>
  <si>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</si>
  <si>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</si>
  <si>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</si>
  <si>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</si>
  <si>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</si>
  <si>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</si>
  <si>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</si>
  <si>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</si>
  <si>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</si>
  <si>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</si>
  <si>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</si>
  <si>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</si>
  <si>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</si>
  <si>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</si>
  <si>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</si>
  <si>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</si>
  <si>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</si>
  <si>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</si>
  <si>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</si>
  <si>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</si>
  <si>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</si>
  <si>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</si>
  <si>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</si>
  <si>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</si>
  <si>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</si>
  <si>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</si>
  <si>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</si>
  <si>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</si>
  <si>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</si>
  <si>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</si>
  <si>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</si>
  <si>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</si>
  <si>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</si>
  <si>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</si>
  <si>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</si>
  <si>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</si>
  <si>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</si>
  <si>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</si>
  <si>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</si>
  <si>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</si>
  <si>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</si>
  <si>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</si>
  <si>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</si>
  <si>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</si>
  <si>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</si>
  <si>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</si>
  <si>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</si>
  <si>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</si>
  <si>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</si>
  <si>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</si>
  <si>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</si>
  <si>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</si>
  <si>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</si>
  <si>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</si>
  <si>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</si>
  <si>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</si>
  <si>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</si>
  <si>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</si>
  <si>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</si>
  <si>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</si>
  <si>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</si>
  <si>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</si>
  <si>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</si>
  <si>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</si>
  <si>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</si>
  <si>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</si>
  <si>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</si>
  <si>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</si>
  <si>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</si>
  <si>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</si>
  <si>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</si>
  <si>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</si>
  <si>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</si>
  <si>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</si>
  <si>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</si>
  <si>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</si>
  <si>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</si>
  <si>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</si>
  <si>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</si>
  <si>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</si>
  <si>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</si>
  <si>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</si>
  <si>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</si>
  <si>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</si>
  <si>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</si>
  <si>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</si>
  <si>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</si>
  <si>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</si>
  <si>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</si>
  <si>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</si>
  <si>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</si>
  <si>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</si>
  <si>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</si>
  <si>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</si>
  <si>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</si>
  <si>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</si>
  <si>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</si>
  <si>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</si>
  <si>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</si>
  <si>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</si>
  <si>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</si>
  <si>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</si>
  <si>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</si>
  <si>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</si>
  <si>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</si>
  <si>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</si>
  <si>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</si>
  <si>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</si>
  <si>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</si>
  <si>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</si>
  <si>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</si>
  <si>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</si>
  <si>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</si>
  <si>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</si>
  <si>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</si>
  <si>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</si>
  <si>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</si>
  <si>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</si>
  <si>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</si>
  <si>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</si>
  <si>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</si>
  <si>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</si>
  <si>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</si>
  <si>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</si>
  <si>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</si>
  <si>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</si>
  <si>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</si>
  <si>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</si>
  <si>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</si>
  <si>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</si>
  <si>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</si>
  <si>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</si>
  <si>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</si>
  <si>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</si>
  <si>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</si>
  <si>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</si>
  <si>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</si>
  <si>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</si>
  <si>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</si>
  <si>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</si>
  <si>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</si>
  <si>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</si>
  <si>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</si>
  <si>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</si>
  <si>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</si>
  <si>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</si>
  <si>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</si>
  <si>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</si>
  <si>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</si>
  <si>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</si>
  <si>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</si>
  <si>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</si>
  <si>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</si>
  <si>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</si>
  <si>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</si>
  <si>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</si>
  <si>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</si>
  <si>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</si>
  <si>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</si>
  <si>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</si>
  <si>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</si>
  <si>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</si>
  <si>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</si>
  <si>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</si>
  <si>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</si>
  <si>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</si>
  <si>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</si>
  <si>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</si>
  <si>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</si>
  <si>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</si>
  <si>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</si>
  <si>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</si>
  <si>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</si>
  <si>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</si>
  <si>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</si>
  <si>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</si>
  <si>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</si>
  <si>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</si>
  <si>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</si>
  <si>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</si>
  <si>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</si>
  <si>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</si>
  <si>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</si>
  <si>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</si>
  <si>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</si>
  <si>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</si>
  <si>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</si>
  <si>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</si>
  <si>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</si>
  <si>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</si>
  <si>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</si>
  <si>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</si>
  <si>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</si>
  <si>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</si>
  <si>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</si>
  <si>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</si>
  <si>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</si>
  <si>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</si>
  <si>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</si>
  <si>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</si>
  <si>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</si>
  <si>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</si>
  <si>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</si>
  <si>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</si>
  <si>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</si>
  <si>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</si>
  <si>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</si>
  <si>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</si>
  <si>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</si>
  <si>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</si>
  <si>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</si>
  <si>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</si>
  <si>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</si>
  <si>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</si>
  <si>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</si>
  <si>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</si>
  <si>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</si>
  <si>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</si>
  <si>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</si>
  <si>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</si>
  <si>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</si>
  <si>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</si>
  <si>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</si>
  <si>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</si>
  <si>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</si>
  <si>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</si>
  <si>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</si>
  <si>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</si>
  <si>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</si>
  <si>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</si>
  <si>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</si>
  <si>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</si>
  <si>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</si>
  <si>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</si>
  <si>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</si>
  <si>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</si>
  <si>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</si>
  <si>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</si>
  <si>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</si>
  <si>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</si>
  <si>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</si>
  <si>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</si>
  <si>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</si>
  <si>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</si>
  <si>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</si>
  <si>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</si>
  <si>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</si>
  <si>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</si>
  <si>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</si>
  <si>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</si>
  <si>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</si>
  <si>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</si>
  <si>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</si>
  <si>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</si>
  <si>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</si>
  <si>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</si>
  <si>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</si>
  <si>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</si>
  <si>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</si>
  <si>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</si>
  <si>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</si>
  <si>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</si>
  <si>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</si>
  <si>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</si>
  <si>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</si>
  <si>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</si>
  <si>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</si>
  <si>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</si>
  <si>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</si>
  <si>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</si>
  <si>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</si>
  <si>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</si>
  <si>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</si>
  <si>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</si>
  <si>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</si>
  <si>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</si>
  <si>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</si>
  <si>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</si>
  <si>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</si>
  <si>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</si>
  <si>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</si>
  <si>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</si>
  <si>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</si>
  <si>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</si>
  <si>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</si>
  <si>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</si>
  <si>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</si>
  <si>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</si>
  <si>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</si>
  <si>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</si>
  <si>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</si>
  <si>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</si>
  <si>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</si>
  <si>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</si>
  <si>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</si>
  <si>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</si>
  <si>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</si>
  <si>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</si>
  <si>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</si>
  <si>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</si>
  <si>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</si>
  <si>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</si>
  <si>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</si>
  <si>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</si>
  <si>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</si>
  <si>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</si>
  <si>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</si>
  <si>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</si>
  <si>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</si>
  <si>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</si>
  <si>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</si>
  <si>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</si>
  <si>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</si>
  <si>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</si>
  <si>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</si>
  <si>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</si>
  <si>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</si>
  <si>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</si>
  <si>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</si>
  <si>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</si>
  <si>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</si>
  <si>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</si>
  <si>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</si>
  <si>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</si>
  <si>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</si>
  <si>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</si>
  <si>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</si>
  <si>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</si>
  <si>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</si>
  <si>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</si>
  <si>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</si>
  <si>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</si>
  <si>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</si>
  <si>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</si>
  <si>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</si>
  <si>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</si>
  <si>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</si>
  <si>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</si>
  <si>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</si>
  <si>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</si>
  <si>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</si>
  <si>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</si>
  <si>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</si>
  <si>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</si>
  <si>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</si>
  <si>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</si>
  <si>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</si>
  <si>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</si>
  <si>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</si>
  <si>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</si>
  <si>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</si>
  <si>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</si>
  <si>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</si>
  <si>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</si>
  <si>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</si>
  <si>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</si>
  <si>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</si>
  <si>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</si>
  <si>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</si>
  <si>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</si>
  <si>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</si>
  <si>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</si>
  <si>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</si>
  <si>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</si>
  <si>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</si>
  <si>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</si>
  <si>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</si>
  <si>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</si>
  <si>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</si>
  <si>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</si>
  <si>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</si>
  <si>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</si>
  <si>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</si>
  <si>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</si>
  <si>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</si>
  <si>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</si>
  <si>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</si>
  <si>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</si>
  <si>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</si>
  <si>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</si>
  <si>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</si>
  <si>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</si>
  <si>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</si>
  <si>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</si>
  <si>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</si>
  <si>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</si>
  <si>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</si>
  <si>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</si>
  <si>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</si>
  <si>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</si>
  <si>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</si>
  <si>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</si>
  <si>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</si>
  <si>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</si>
  <si>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</si>
  <si>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</si>
  <si>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</si>
  <si>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</si>
  <si>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</si>
  <si>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</si>
  <si>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</si>
  <si>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</si>
  <si>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</si>
  <si>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</si>
  <si>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</si>
  <si>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</si>
  <si>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</si>
  <si>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</si>
  <si>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</si>
  <si>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</si>
  <si>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</si>
  <si>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</si>
  <si>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</si>
  <si>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</si>
  <si>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</si>
  <si>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</si>
  <si>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</si>
  <si>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</si>
  <si>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</si>
  <si>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</si>
  <si>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</si>
  <si>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</si>
  <si>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</si>
  <si>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</si>
  <si>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</si>
  <si>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</si>
  <si>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</si>
  <si>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</si>
  <si>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</si>
  <si>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</si>
  <si>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</si>
  <si>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</si>
  <si>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</si>
  <si>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</si>
  <si>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</si>
  <si>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</si>
  <si>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</si>
  <si>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</si>
  <si>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</si>
  <si>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</si>
  <si>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</si>
  <si>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</si>
  <si>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</si>
  <si>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</si>
  <si>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</si>
  <si>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</si>
  <si>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</si>
  <si>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</si>
  <si>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</si>
  <si>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</si>
  <si>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</si>
  <si>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</si>
  <si>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</si>
  <si>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</si>
  <si>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</si>
  <si>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</si>
  <si>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</si>
  <si>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</si>
  <si>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</si>
  <si>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</si>
  <si>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</si>
  <si>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</si>
  <si>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</si>
  <si>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</si>
  <si>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</si>
  <si>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</si>
  <si>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</si>
  <si>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</si>
  <si>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</si>
  <si>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</si>
  <si>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</si>
  <si>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</si>
  <si>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</si>
  <si>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</si>
  <si>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</si>
  <si>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</si>
  <si>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</si>
  <si>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</si>
  <si>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</si>
  <si>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</si>
  <si>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</si>
  <si>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</si>
  <si>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</si>
  <si>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</si>
  <si>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</si>
  <si>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</si>
  <si>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</si>
  <si>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</si>
  <si>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</si>
  <si>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</si>
  <si>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</si>
  <si>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</si>
  <si>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</si>
  <si>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</si>
  <si>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</si>
  <si>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</si>
  <si>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</si>
  <si>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</si>
  <si>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</si>
  <si>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</si>
  <si>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</si>
  <si>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</si>
  <si>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</si>
  <si>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</si>
  <si>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</si>
  <si>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</si>
  <si>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</si>
  <si>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</si>
  <si>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</si>
  <si>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</si>
  <si>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</si>
  <si>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</si>
  <si>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</si>
  <si>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</si>
  <si>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</si>
  <si>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</si>
  <si>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</si>
  <si>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</si>
  <si>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</si>
  <si>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</si>
  <si>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</si>
  <si>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</si>
  <si>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</si>
  <si>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</si>
  <si>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</si>
  <si>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</si>
  <si>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</si>
  <si>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</si>
  <si>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</si>
  <si>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</si>
  <si>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</si>
  <si>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</si>
  <si>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</si>
  <si>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</si>
  <si>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</si>
  <si>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</si>
  <si>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</si>
  <si>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</si>
  <si>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</si>
  <si>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</si>
  <si>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</si>
  <si>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</si>
  <si>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</si>
  <si>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</si>
  <si>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</si>
  <si>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</si>
  <si>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</si>
  <si>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</si>
  <si>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</si>
  <si>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</si>
  <si>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</si>
  <si>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</si>
  <si>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</si>
  <si>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</si>
  <si>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</si>
  <si>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</si>
  <si>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</si>
  <si>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</si>
  <si>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</si>
  <si>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</si>
  <si>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</si>
  <si>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</si>
  <si>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</si>
  <si>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</si>
  <si>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</si>
  <si>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</si>
  <si>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</si>
  <si>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</si>
  <si>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</si>
  <si>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</si>
  <si>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</si>
  <si>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</si>
  <si>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</si>
  <si>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</si>
  <si>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</si>
  <si>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</si>
  <si>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</si>
  <si>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</si>
  <si>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</si>
  <si>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</si>
  <si>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</si>
  <si>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</si>
  <si>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</si>
  <si>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</si>
  <si>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</si>
  <si>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</si>
  <si>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</si>
  <si>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</si>
  <si>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</si>
  <si>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</si>
  <si>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</si>
  <si>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</si>
  <si>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</si>
  <si>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</si>
  <si>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</si>
  <si>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</si>
  <si>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</si>
  <si>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</si>
  <si>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</si>
  <si>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</si>
  <si>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</si>
  <si>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</si>
  <si>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</si>
  <si>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</si>
  <si>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</si>
  <si>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</si>
  <si>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</si>
  <si>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</si>
  <si>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</si>
  <si>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</si>
  <si>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</si>
  <si>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</si>
  <si>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</si>
  <si>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</si>
  <si>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</si>
  <si>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</si>
  <si>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</si>
  <si>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</si>
  <si>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</si>
  <si>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</si>
  <si>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</si>
  <si>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</si>
  <si>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</si>
  <si>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</si>
  <si>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</si>
  <si>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</si>
  <si>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</si>
  <si>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</si>
  <si>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</si>
  <si>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</si>
  <si>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</si>
  <si>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</si>
  <si>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</si>
  <si>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</si>
  <si>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</si>
  <si>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</si>
  <si>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</si>
  <si>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</si>
  <si>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</si>
  <si>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</si>
  <si>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</si>
  <si>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</si>
  <si>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</si>
  <si>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</si>
  <si>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</si>
  <si>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</si>
  <si>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</si>
  <si>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</si>
  <si>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</si>
  <si>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</si>
  <si>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</si>
  <si>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</si>
  <si>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</si>
  <si>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</si>
  <si>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</si>
  <si>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</si>
  <si>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</si>
  <si>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</si>
  <si>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</si>
  <si>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</si>
  <si>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</si>
  <si>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</si>
  <si>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</si>
  <si>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</si>
  <si>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</si>
  <si>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</si>
  <si>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</si>
  <si>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</si>
  <si>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</si>
  <si>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</si>
  <si>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</si>
  <si>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</si>
  <si>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</si>
  <si>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</si>
  <si>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</si>
  <si>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</si>
  <si>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</si>
  <si>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</si>
  <si>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</si>
  <si>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</si>
  <si>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</si>
  <si>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</si>
  <si>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</si>
  <si>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</si>
  <si>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</si>
  <si>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</si>
  <si>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</si>
  <si>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</si>
  <si>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</si>
  <si>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</si>
  <si>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</si>
  <si>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</si>
  <si>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</si>
  <si>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</si>
  <si>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</si>
  <si>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</si>
  <si>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</si>
  <si>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</si>
  <si>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</si>
  <si>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</si>
  <si>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</si>
  <si>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</si>
  <si>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</si>
  <si>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</si>
  <si>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</si>
  <si>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</si>
  <si>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</si>
  <si>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</si>
  <si>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</si>
  <si>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</si>
  <si>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</si>
  <si>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</si>
  <si>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</si>
  <si>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</si>
  <si>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</si>
  <si>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</si>
  <si>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</si>
  <si>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</si>
  <si>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</si>
  <si>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</si>
  <si>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</si>
  <si>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</si>
  <si>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</si>
  <si>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</si>
  <si>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</si>
  <si>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</si>
  <si>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</si>
  <si>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</si>
  <si>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</si>
  <si>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</si>
  <si>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</si>
  <si>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</si>
  <si>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</si>
  <si>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</si>
  <si>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</si>
  <si>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</si>
  <si>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</si>
  <si>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</si>
  <si>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</si>
  <si>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</si>
  <si>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</si>
  <si>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</si>
  <si>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</si>
  <si>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</si>
  <si>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</si>
  <si>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</si>
  <si>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</si>
  <si>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</si>
  <si>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</si>
  <si>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</si>
  <si>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</si>
  <si>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</si>
  <si>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</si>
  <si>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</si>
  <si>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</si>
  <si>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</si>
  <si>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</si>
  <si>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</si>
  <si>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</si>
  <si>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</si>
  <si>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</si>
  <si>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</si>
  <si>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</si>
  <si>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</si>
  <si>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</si>
  <si>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</si>
  <si>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</si>
  <si>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</si>
  <si>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</si>
  <si>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</si>
  <si>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</si>
  <si>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</si>
  <si>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</si>
  <si>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</si>
  <si>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</si>
  <si>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</si>
  <si>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</si>
  <si>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</si>
  <si>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</si>
  <si>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</si>
  <si>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</si>
  <si>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</si>
  <si>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</si>
  <si>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</si>
  <si>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</si>
  <si>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</si>
  <si>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</si>
  <si>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</si>
  <si>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</si>
  <si>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</si>
  <si>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</si>
  <si>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</si>
  <si>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</si>
  <si>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</si>
  <si>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</si>
  <si>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</si>
  <si>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</si>
  <si>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</si>
  <si>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</si>
  <si>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</si>
  <si>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</si>
  <si>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</si>
  <si>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</si>
  <si>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</si>
  <si>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</si>
  <si>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</si>
  <si>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</si>
  <si>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</si>
  <si>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</si>
  <si>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</si>
  <si>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</si>
  <si>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</si>
  <si>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</si>
  <si>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</si>
  <si>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</si>
  <si>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</si>
  <si>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</si>
  <si>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</si>
  <si>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</si>
  <si>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</si>
  <si>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</si>
  <si>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</si>
  <si>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</si>
  <si>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</si>
  <si>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</si>
  <si>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</si>
  <si>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</si>
  <si>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</si>
  <si>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</si>
  <si>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</si>
  <si>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</si>
  <si>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</si>
  <si>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</si>
  <si>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</si>
  <si>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</si>
  <si>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</si>
  <si>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</si>
  <si>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</si>
  <si>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</si>
  <si>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</si>
  <si>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</si>
  <si>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</si>
  <si>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</si>
  <si>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</si>
  <si>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</si>
  <si>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</si>
  <si>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</si>
  <si>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</si>
  <si>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</si>
  <si>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</si>
  <si>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</si>
  <si>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</si>
  <si>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</si>
  <si>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</si>
  <si>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</si>
  <si>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</si>
  <si>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</si>
  <si>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</si>
  <si>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</si>
  <si>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</si>
  <si>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</si>
  <si>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</si>
  <si>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</si>
  <si>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</si>
  <si>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</si>
  <si>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</si>
  <si>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</si>
  <si>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</si>
  <si>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</si>
  <si>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</si>
  <si>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</si>
  <si>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</si>
  <si>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</si>
  <si>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</si>
  <si>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</si>
  <si>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</si>
  <si>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</si>
  <si>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</si>
  <si>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</si>
  <si>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</si>
  <si>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</si>
  <si>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</si>
  <si>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</si>
  <si>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</si>
  <si>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</si>
  <si>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</si>
  <si>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</si>
  <si>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</si>
  <si>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</si>
  <si>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</si>
  <si>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</si>
  <si>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</si>
  <si>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</si>
  <si>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</si>
  <si>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</si>
  <si>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</si>
  <si>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</si>
  <si>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</si>
  <si>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</si>
  <si>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</si>
  <si>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</si>
  <si>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</si>
  <si>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</si>
  <si>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</si>
  <si>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</si>
  <si>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</si>
  <si>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</si>
  <si>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</si>
  <si>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</si>
  <si>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</si>
  <si>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</si>
  <si>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</si>
  <si>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</si>
  <si>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</si>
  <si>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</si>
  <si>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</si>
  <si>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</si>
  <si>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</si>
  <si>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</si>
  <si>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</si>
  <si>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</si>
  <si>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</si>
  <si>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</si>
  <si>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</si>
  <si>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</si>
  <si>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</si>
  <si>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</si>
  <si>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</si>
  <si>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</si>
  <si>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</si>
  <si>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</si>
  <si>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</si>
  <si>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</si>
  <si>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</si>
  <si>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</si>
  <si>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</si>
  <si>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</si>
  <si>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</si>
  <si>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</si>
  <si>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</si>
  <si>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</si>
  <si>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</si>
  <si>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</si>
  <si>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</si>
  <si>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</si>
  <si>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</si>
  <si>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</si>
  <si>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</si>
  <si>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</si>
  <si>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</si>
  <si>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</si>
  <si>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</si>
  <si>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</si>
  <si>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</si>
  <si>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</si>
  <si>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</si>
  <si>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</si>
  <si>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</si>
  <si>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</si>
  <si>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</si>
  <si>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</si>
  <si>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</si>
  <si>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</si>
  <si>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</si>
  <si>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</si>
  <si>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</si>
  <si>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</si>
  <si>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</si>
  <si>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</si>
  <si>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</si>
  <si>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</si>
  <si>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</si>
  <si>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</si>
  <si>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</si>
  <si>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</si>
  <si>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</si>
  <si>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</si>
  <si>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</si>
  <si>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</si>
  <si>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</si>
  <si>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</si>
  <si>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</si>
  <si>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</si>
  <si>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</si>
  <si>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</si>
  <si>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</si>
  <si>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</si>
  <si>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</si>
  <si>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</si>
  <si>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</si>
  <si>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</si>
  <si>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</si>
  <si>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</si>
  <si>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</si>
  <si>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</si>
  <si>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</si>
  <si>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</si>
  <si>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</si>
  <si>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</si>
  <si>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</si>
  <si>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</si>
  <si>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</si>
  <si>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</si>
  <si>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</si>
  <si>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</si>
  <si>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</si>
  <si>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</si>
  <si>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</si>
  <si>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</si>
  <si>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</si>
  <si>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</si>
  <si>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</si>
  <si>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</si>
  <si>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</si>
  <si>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</si>
  <si>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</si>
  <si>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</si>
  <si>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</si>
  <si>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</si>
  <si>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</si>
  <si>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</si>
  <si>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</si>
  <si>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</si>
  <si>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</si>
  <si>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</si>
  <si>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</si>
  <si>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</si>
  <si>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</si>
  <si>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</si>
  <si>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</si>
  <si>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</si>
  <si>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</si>
  <si>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</si>
  <si>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</si>
  <si>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</si>
  <si>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</si>
  <si>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</si>
  <si>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</si>
  <si>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</si>
  <si>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</si>
  <si>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</si>
  <si>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</si>
  <si>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</si>
  <si>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</si>
  <si>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</si>
  <si>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</si>
  <si>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</si>
  <si>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</si>
  <si>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</si>
  <si>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</si>
  <si>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</si>
  <si>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</si>
  <si>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</si>
  <si>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</si>
  <si>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</si>
  <si>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</si>
  <si>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</si>
  <si>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</si>
  <si>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</si>
  <si>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</si>
  <si>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</si>
  <si>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</si>
  <si>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</si>
  <si>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</si>
  <si>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</si>
  <si>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</si>
  <si>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</si>
  <si>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</si>
  <si>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</si>
  <si>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</si>
  <si>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</si>
  <si>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</si>
  <si>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</si>
  <si>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</si>
  <si>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</si>
  <si>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</si>
  <si>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</si>
  <si>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</si>
  <si>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</si>
  <si>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</si>
  <si>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</si>
  <si>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</si>
  <si>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</si>
  <si>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</si>
  <si>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</si>
  <si>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</si>
  <si>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</si>
  <si>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</si>
  <si>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</si>
  <si>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</si>
  <si>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</si>
  <si>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</si>
  <si>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</si>
  <si>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</si>
  <si>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</si>
  <si>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</si>
  <si>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</si>
  <si>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</si>
  <si>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</si>
  <si>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</si>
  <si>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</si>
  <si>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</si>
  <si>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</si>
  <si>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</si>
  <si>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</si>
  <si>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</si>
  <si>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</si>
  <si>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</si>
  <si>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</si>
  <si>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</si>
  <si>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</si>
  <si>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</si>
  <si>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</si>
  <si>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</si>
  <si>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</si>
  <si>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</si>
  <si>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</si>
  <si>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</si>
  <si>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</si>
  <si>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</si>
  <si>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</si>
  <si>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</si>
  <si>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</si>
  <si>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</si>
  <si>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</si>
  <si>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</si>
  <si>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</si>
  <si>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</si>
  <si>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</si>
  <si>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</si>
  <si>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</si>
  <si>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</si>
  <si>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</si>
  <si>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</si>
  <si>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</si>
  <si>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</si>
  <si>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</si>
  <si>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</si>
  <si>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</si>
  <si>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</si>
  <si>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</si>
  <si>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</si>
  <si>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</si>
  <si>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</si>
  <si>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</si>
  <si>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</si>
  <si>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</si>
  <si>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</si>
  <si>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</si>
  <si>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</si>
  <si>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</si>
  <si>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</si>
  <si>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</si>
  <si>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</si>
  <si>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</si>
  <si>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</si>
  <si>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</si>
  <si>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</si>
  <si>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</si>
  <si>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</si>
  <si>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</si>
  <si>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</si>
  <si>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</si>
  <si>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</si>
  <si>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</si>
  <si>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</si>
  <si>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</si>
  <si>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</si>
  <si>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</si>
  <si>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</si>
  <si>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</si>
  <si>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</si>
  <si>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</si>
  <si>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</si>
  <si>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</si>
  <si>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</si>
  <si>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</si>
  <si>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</si>
  <si>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</si>
  <si>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</si>
  <si>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</si>
  <si>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</si>
  <si>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</si>
  <si>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</si>
  <si>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</si>
  <si>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</si>
  <si>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</si>
  <si>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</si>
  <si>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</si>
  <si>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</si>
  <si>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</si>
  <si>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</si>
  <si>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</si>
  <si>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</si>
  <si>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</si>
  <si>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</si>
  <si>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</si>
  <si>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</si>
  <si>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</si>
  <si>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</si>
  <si>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</si>
  <si>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</si>
  <si>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</si>
  <si>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</si>
  <si>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</si>
  <si>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</si>
  <si>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</si>
  <si>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</si>
  <si>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</si>
  <si>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</si>
  <si>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</si>
  <si>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</si>
  <si>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</si>
  <si>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</si>
  <si>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</si>
  <si>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</si>
  <si>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</si>
  <si>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</si>
  <si>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</si>
  <si>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</si>
  <si>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</si>
  <si>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</si>
  <si>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</si>
  <si>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</si>
  <si>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</si>
  <si>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</si>
  <si>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</si>
  <si>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</si>
  <si>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</si>
  <si>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</si>
  <si>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</si>
  <si>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</si>
  <si>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</si>
  <si>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</si>
  <si>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</si>
  <si>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</si>
  <si>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</si>
  <si>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</si>
  <si>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</si>
  <si>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</si>
  <si>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</si>
  <si>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</si>
  <si>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</si>
  <si>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</si>
  <si>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</si>
  <si>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</si>
  <si>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</si>
  <si>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</si>
  <si>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</si>
  <si>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</si>
  <si>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</si>
  <si>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</si>
  <si>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</si>
  <si>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</si>
  <si>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</si>
  <si>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</si>
  <si>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</si>
  <si>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</si>
  <si>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</si>
  <si>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</si>
  <si>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</si>
  <si>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</si>
  <si>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</si>
  <si>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</si>
  <si>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</si>
  <si>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</si>
  <si>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</si>
  <si>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</si>
  <si>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</si>
  <si>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</si>
  <si>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</si>
  <si>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</si>
  <si>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</si>
  <si>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</si>
  <si>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</si>
  <si>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</si>
  <si>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</si>
  <si>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</si>
  <si>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</si>
  <si>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</si>
  <si>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</si>
  <si>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</si>
  <si>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</si>
  <si>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</si>
  <si>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</si>
  <si>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</si>
  <si>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</si>
  <si>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</si>
  <si>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</si>
  <si>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</si>
  <si>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</si>
  <si>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</si>
  <si>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</si>
  <si>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</si>
  <si>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</si>
  <si>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</si>
  <si>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</si>
  <si>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</si>
  <si>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</si>
  <si>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</si>
  <si>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</si>
  <si>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</si>
  <si>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</si>
  <si>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</si>
  <si>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</si>
  <si>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</si>
  <si>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</si>
  <si>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</si>
  <si>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</si>
  <si>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</si>
  <si>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</si>
  <si>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</si>
  <si>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</si>
  <si>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</si>
  <si>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</si>
  <si>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</si>
  <si>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</si>
  <si>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</si>
  <si>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</si>
  <si>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</si>
  <si>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</si>
  <si>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</si>
  <si>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</si>
  <si>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</si>
  <si>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</si>
  <si>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</si>
  <si>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</si>
  <si>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</si>
  <si>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</si>
  <si>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</si>
  <si>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</si>
  <si>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</si>
  <si>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</si>
  <si>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</si>
  <si>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</si>
  <si>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</si>
  <si>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</si>
  <si>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</si>
  <si>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</si>
  <si>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</si>
  <si>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</si>
  <si>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</si>
  <si>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</si>
  <si>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</si>
  <si>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</si>
  <si>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</si>
  <si>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</si>
  <si>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</si>
  <si>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</si>
  <si>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</si>
  <si>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</si>
  <si>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</si>
  <si>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</si>
  <si>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</si>
  <si>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</si>
  <si>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</si>
  <si>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</si>
  <si>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</si>
  <si>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</si>
  <si>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</si>
  <si>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</si>
  <si>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</si>
  <si>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</si>
  <si>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</si>
  <si>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</si>
  <si>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</si>
  <si>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</si>
  <si>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</si>
  <si>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</si>
  <si>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</si>
  <si>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</si>
  <si>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</si>
  <si>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</si>
  <si>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</si>
  <si>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</si>
  <si>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</si>
  <si>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</si>
  <si>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</si>
  <si>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</si>
  <si>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</si>
  <si>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</si>
  <si>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</si>
  <si>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</si>
  <si>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</si>
  <si>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</si>
  <si>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</si>
  <si>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</si>
  <si>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</si>
  <si>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</si>
  <si>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</si>
  <si>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</si>
  <si>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</si>
  <si>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</si>
  <si>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</si>
  <si>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</si>
  <si>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</si>
  <si>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</si>
  <si>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</si>
  <si>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</si>
  <si>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</si>
  <si>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</si>
  <si>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</si>
  <si>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</si>
  <si>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</si>
  <si>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</si>
  <si>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</si>
  <si>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</si>
  <si>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</si>
  <si>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</si>
  <si>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</si>
  <si>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</si>
  <si>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</si>
  <si>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</si>
  <si>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</si>
  <si>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</si>
  <si>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</si>
  <si>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</si>
  <si>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</si>
  <si>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</si>
  <si>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</si>
  <si>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</si>
  <si>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</si>
  <si>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</si>
  <si>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</si>
  <si>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</si>
  <si>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</si>
  <si>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</si>
  <si>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</si>
  <si>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</si>
  <si>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</si>
  <si>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</si>
  <si>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</si>
  <si>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</si>
  <si>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</si>
  <si>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</si>
  <si>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</si>
  <si>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</si>
  <si>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</si>
  <si>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</si>
  <si>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</si>
  <si>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</si>
  <si>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</si>
  <si>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</si>
  <si>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</si>
  <si>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</si>
  <si>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</si>
  <si>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</si>
  <si>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</si>
  <si>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</si>
  <si>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</si>
  <si>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</si>
  <si>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</si>
  <si>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</si>
  <si>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</si>
  <si>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</si>
  <si>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</si>
  <si>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</si>
  <si>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</si>
  <si>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</si>
  <si>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</si>
  <si>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</si>
  <si>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</si>
  <si>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</si>
  <si>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</si>
  <si>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</si>
  <si>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</si>
  <si>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</si>
  <si>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</si>
  <si>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</si>
  <si>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</si>
  <si>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</si>
  <si>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</si>
  <si>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</si>
  <si>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</si>
  <si>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</si>
  <si>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</si>
  <si>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</si>
  <si>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</si>
  <si>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</si>
  <si>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</si>
  <si>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</si>
  <si>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</si>
  <si>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</si>
  <si>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</si>
  <si>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</si>
  <si>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</si>
  <si>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</si>
  <si>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</si>
  <si>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</si>
  <si>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</si>
  <si>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</si>
  <si>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</si>
  <si>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</si>
  <si>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</si>
  <si>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</si>
  <si>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</si>
  <si>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</si>
  <si>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</si>
  <si>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</si>
  <si>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</si>
  <si>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</si>
  <si>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</si>
  <si>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</si>
  <si>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</si>
  <si>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</si>
  <si>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</si>
  <si>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</si>
  <si>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</si>
  <si>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</si>
  <si>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</si>
  <si>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</si>
  <si>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</si>
  <si>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</si>
  <si>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</si>
  <si>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</si>
  <si>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</si>
  <si>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</si>
  <si>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</si>
  <si>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</si>
  <si>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</si>
  <si>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</si>
  <si>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</si>
  <si>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</si>
  <si>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</si>
  <si>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</si>
  <si>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</si>
  <si>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</si>
  <si>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</si>
  <si>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</si>
  <si>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</si>
  <si>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</si>
  <si>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</si>
  <si>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</si>
  <si>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</si>
  <si>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</si>
  <si>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</si>
  <si>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</si>
  <si>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</si>
  <si>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</si>
  <si>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</si>
  <si>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</si>
  <si>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</si>
  <si>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</si>
  <si>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</si>
  <si>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</si>
  <si>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</si>
  <si>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</si>
  <si>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</si>
  <si>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</si>
  <si>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</si>
  <si>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</si>
  <si>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</si>
  <si>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</si>
  <si>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</si>
  <si>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</si>
  <si>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</si>
  <si>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</si>
  <si>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</si>
  <si>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</si>
  <si>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</si>
  <si>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</si>
  <si>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</si>
  <si>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</si>
  <si>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</si>
  <si>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</si>
  <si>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</si>
  <si>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</si>
  <si>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</si>
  <si>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</si>
  <si>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</si>
  <si>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</si>
  <si>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</si>
  <si>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</si>
  <si>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</si>
  <si>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</si>
  <si>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</si>
  <si>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</si>
  <si>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</si>
  <si>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</si>
  <si>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</si>
  <si>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</si>
  <si>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</si>
  <si>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</si>
  <si>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</si>
  <si>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</si>
  <si>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</si>
  <si>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</si>
  <si>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</si>
  <si>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</si>
  <si>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</si>
  <si>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</si>
  <si>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</si>
  <si>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</si>
  <si>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</si>
  <si>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</si>
  <si>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</si>
  <si>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</si>
  <si>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</si>
  <si>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</si>
  <si>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</si>
  <si>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</si>
  <si>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</si>
  <si>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</si>
  <si>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</si>
  <si>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</si>
  <si>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</si>
  <si>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</si>
  <si>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</si>
  <si>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</si>
  <si>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</si>
  <si>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</si>
  <si>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</si>
  <si>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</si>
  <si>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</si>
  <si>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</si>
  <si>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</si>
  <si>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</si>
  <si>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</si>
  <si>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</si>
  <si>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</si>
  <si>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</si>
  <si>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</si>
  <si>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</si>
  <si>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</si>
  <si>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</si>
  <si>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</si>
  <si>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</si>
  <si>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</si>
  <si>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</si>
  <si>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</si>
  <si>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</si>
  <si>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</si>
  <si>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</si>
  <si>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</si>
  <si>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</si>
  <si>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</si>
  <si>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</si>
  <si>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</si>
  <si>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</si>
  <si>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</si>
  <si>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</si>
  <si>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</si>
  <si>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</si>
  <si>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</si>
  <si>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</si>
  <si>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</si>
  <si>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</si>
  <si>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</si>
  <si>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</si>
  <si>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</si>
  <si>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</si>
  <si>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</si>
  <si>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</si>
  <si>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</si>
  <si>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</si>
  <si>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</si>
  <si>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</si>
  <si>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</si>
  <si>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</si>
  <si>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</si>
  <si>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</si>
  <si>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</si>
  <si>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</si>
  <si>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</si>
  <si>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</si>
  <si>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</si>
  <si>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</si>
  <si>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</si>
  <si>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</si>
  <si>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</si>
  <si>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</si>
  <si>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</si>
  <si>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</si>
  <si>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</si>
  <si>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</si>
  <si>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</si>
  <si>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</si>
  <si>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</si>
  <si>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</si>
  <si>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</si>
  <si>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</si>
  <si>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</si>
  <si>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</si>
  <si>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</si>
  <si>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</si>
  <si>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</si>
  <si>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</si>
  <si>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</si>
  <si>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</si>
  <si>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</si>
  <si>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</si>
  <si>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</si>
  <si>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</si>
  <si>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</si>
  <si>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</si>
  <si>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</si>
  <si>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</si>
  <si>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</si>
  <si>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</si>
  <si>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</si>
  <si>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</si>
  <si>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</si>
  <si>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</si>
  <si>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</si>
  <si>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</si>
  <si>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</si>
  <si>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</si>
  <si>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</si>
  <si>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</si>
  <si>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</si>
  <si>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</si>
  <si>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</si>
  <si>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</si>
  <si>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</si>
  <si>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</si>
  <si>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</si>
  <si>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</si>
  <si>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</si>
  <si>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</si>
  <si>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</si>
  <si>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</si>
  <si>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</si>
  <si>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</si>
  <si>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</si>
  <si>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</si>
  <si>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</si>
  <si>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</si>
  <si>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</si>
  <si>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</si>
  <si>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</si>
  <si>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</si>
  <si>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</si>
  <si>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</si>
  <si>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</si>
  <si>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</si>
  <si>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</si>
  <si>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</si>
  <si>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</si>
  <si>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</si>
  <si>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</si>
  <si>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</si>
  <si>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</si>
  <si>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</si>
  <si>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</si>
  <si>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</si>
  <si>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</si>
  <si>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</si>
  <si>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</si>
  <si>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</si>
  <si>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</si>
  <si>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</si>
  <si>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</si>
  <si>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</si>
  <si>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</si>
  <si>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</si>
  <si>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</si>
  <si>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</si>
  <si>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</si>
  <si>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</si>
  <si>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</si>
  <si>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</si>
  <si>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</si>
  <si>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</si>
  <si>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</si>
  <si>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</si>
  <si>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</si>
  <si>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</si>
  <si>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</si>
  <si>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</si>
  <si>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</si>
  <si>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</si>
  <si>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</si>
  <si>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</si>
  <si>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</si>
  <si>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</si>
  <si>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</si>
  <si>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</si>
  <si>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</si>
  <si>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</si>
  <si>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</si>
  <si>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</si>
  <si>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</si>
  <si>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</si>
  <si>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</si>
  <si>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</si>
  <si>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</si>
  <si>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</si>
  <si>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</si>
  <si>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</si>
  <si>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</si>
  <si>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</si>
  <si>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</si>
  <si>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</si>
  <si>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</si>
  <si>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</si>
  <si>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</si>
  <si>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</si>
  <si>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</si>
  <si>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</si>
  <si>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</si>
  <si>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</si>
  <si>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</si>
  <si>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</si>
  <si>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</si>
  <si>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</si>
  <si>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</si>
  <si>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</si>
  <si>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</si>
  <si>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</si>
  <si>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</si>
  <si>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</si>
  <si>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</si>
  <si>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</si>
  <si>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</si>
  <si>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</si>
  <si>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</si>
  <si>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</si>
  <si>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</si>
  <si>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</si>
  <si>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</si>
  <si>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</si>
  <si>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</si>
  <si>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</si>
  <si>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</si>
  <si>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</si>
  <si>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</si>
  <si>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</si>
  <si>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</si>
  <si>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</si>
  <si>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</si>
  <si>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</si>
  <si>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</si>
  <si>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</si>
  <si>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</si>
  <si>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</si>
  <si>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</si>
  <si>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</si>
  <si>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</si>
  <si>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</si>
  <si>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</si>
  <si>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</si>
  <si>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</si>
  <si>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</si>
  <si>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</si>
  <si>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</si>
  <si>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</si>
  <si>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</si>
  <si>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</si>
  <si>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</si>
  <si>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</si>
  <si>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</si>
  <si>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</si>
  <si>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</si>
  <si>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</si>
  <si>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</si>
  <si>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</si>
  <si>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</si>
  <si>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</si>
  <si>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</si>
  <si>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</si>
  <si>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</si>
  <si>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</si>
  <si>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</si>
  <si>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</si>
  <si>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</si>
  <si>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</si>
  <si>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</si>
  <si>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</si>
  <si>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</si>
  <si>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</si>
  <si>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</si>
  <si>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</si>
  <si>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</si>
  <si>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</si>
  <si>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</si>
  <si>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</si>
  <si>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</si>
  <si>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</si>
  <si>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</si>
  <si>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</si>
  <si>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</si>
  <si>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</si>
  <si>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</si>
  <si>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</si>
  <si>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</si>
  <si>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</si>
  <si>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</si>
  <si>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</si>
  <si>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</si>
  <si>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</si>
  <si>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</si>
  <si>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</si>
  <si>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</si>
  <si>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</si>
  <si>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</si>
  <si>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</si>
  <si>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</si>
  <si>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</si>
  <si>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</si>
  <si>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</si>
  <si>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</si>
  <si>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</si>
  <si>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</si>
  <si>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</si>
  <si>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</si>
  <si>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</si>
  <si>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</si>
  <si>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</si>
  <si>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</si>
  <si>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</si>
  <si>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</si>
  <si>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</si>
  <si>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</si>
  <si>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</si>
  <si>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</si>
  <si>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</si>
  <si>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</si>
  <si>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</si>
  <si>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</si>
  <si>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</si>
  <si>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</si>
  <si>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</si>
  <si>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</si>
  <si>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</si>
  <si>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</si>
  <si>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</si>
  <si>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</si>
  <si>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</si>
  <si>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</si>
  <si>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</si>
  <si>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</si>
  <si>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</si>
  <si>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</si>
  <si>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</si>
  <si>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</si>
  <si>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</si>
  <si>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</si>
  <si>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</si>
  <si>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</si>
  <si>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</si>
  <si>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</si>
  <si>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</si>
  <si>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</si>
  <si>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</si>
  <si>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</si>
  <si>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</si>
  <si>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</si>
  <si>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</si>
  <si>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</si>
  <si>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</si>
  <si>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</si>
  <si>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</si>
  <si>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</si>
  <si>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</si>
  <si>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</si>
  <si>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</si>
  <si>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</si>
  <si>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</si>
  <si>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</si>
  <si>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</si>
  <si>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</si>
  <si>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</si>
  <si>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</si>
  <si>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</si>
  <si>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</si>
  <si>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</si>
  <si>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</si>
  <si>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</si>
  <si>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</si>
  <si>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</si>
  <si>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</si>
  <si>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</si>
  <si>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</si>
  <si>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</si>
  <si>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</si>
  <si>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</si>
  <si>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</si>
  <si>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</si>
  <si>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</si>
  <si>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</si>
  <si>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</si>
  <si>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</si>
  <si>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</si>
  <si>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</si>
  <si>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</si>
  <si>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</si>
  <si>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</si>
  <si>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</si>
  <si>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</si>
  <si>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</si>
  <si>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</si>
  <si>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</si>
  <si>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</si>
  <si>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</si>
  <si>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</si>
  <si>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</si>
  <si>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</si>
  <si>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</si>
  <si>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</si>
  <si>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</si>
  <si>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</si>
  <si>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</si>
  <si>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</si>
  <si>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</si>
  <si>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</si>
  <si>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</si>
  <si>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</si>
  <si>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</si>
  <si>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</si>
  <si>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</si>
  <si>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</si>
  <si>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</si>
  <si>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</si>
  <si>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</si>
  <si>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</si>
  <si>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</si>
  <si>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</si>
  <si>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</si>
  <si>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</si>
  <si>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</si>
  <si>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</si>
  <si>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</si>
  <si>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</si>
  <si>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</si>
  <si>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</si>
  <si>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</si>
  <si>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</si>
  <si>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</si>
  <si>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</si>
  <si>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</si>
  <si>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</si>
  <si>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</si>
  <si>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</si>
  <si>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</si>
  <si>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</si>
  <si>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</si>
  <si>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</si>
  <si>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</si>
  <si>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</si>
  <si>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</si>
  <si>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</si>
  <si>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</si>
  <si>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</si>
  <si>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</si>
  <si>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</si>
  <si>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</si>
  <si>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</si>
  <si>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</si>
  <si>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</si>
  <si>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</si>
  <si>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</si>
  <si>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</si>
  <si>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</si>
  <si>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</si>
  <si>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</si>
  <si>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</si>
  <si>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</si>
  <si>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</si>
  <si>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</si>
  <si>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</si>
  <si>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</si>
  <si>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</si>
  <si>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</si>
  <si>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</si>
  <si>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</si>
  <si>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</si>
  <si>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</si>
  <si>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</si>
  <si>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</si>
  <si>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</si>
  <si>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</si>
  <si>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</si>
  <si>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</si>
  <si>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</si>
  <si>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</si>
  <si>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</si>
  <si>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</si>
  <si>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</si>
  <si>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</si>
  <si>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</si>
  <si>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</si>
  <si>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</si>
  <si>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</si>
  <si>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</si>
  <si>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</si>
  <si>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</si>
  <si>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</si>
  <si>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</si>
  <si>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</si>
  <si>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</si>
  <si>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</si>
  <si>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</si>
  <si>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</si>
  <si>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</si>
  <si>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</si>
  <si>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</si>
  <si>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</si>
  <si>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</si>
  <si>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</si>
  <si>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</si>
  <si>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</si>
  <si>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</si>
  <si>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</si>
  <si>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</si>
  <si>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</si>
  <si>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</si>
  <si>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</si>
  <si>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</si>
  <si>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</si>
  <si>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</si>
  <si>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</si>
  <si>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</si>
  <si>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</si>
  <si>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</si>
  <si>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</si>
  <si>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</si>
  <si>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</si>
  <si>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</si>
  <si>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</si>
  <si>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</si>
  <si>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</si>
  <si>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</si>
  <si>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</si>
  <si>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</si>
  <si>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</si>
  <si>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</si>
  <si>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</si>
  <si>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</si>
  <si>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</si>
  <si>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</si>
  <si>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</si>
  <si>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</si>
  <si>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</si>
  <si>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</si>
  <si>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</si>
  <si>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</si>
  <si>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</si>
  <si>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</si>
  <si>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</si>
  <si>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</si>
  <si>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</si>
  <si>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</si>
  <si>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</si>
  <si>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</si>
  <si>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</si>
  <si>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</si>
  <si>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</si>
  <si>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</si>
  <si>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</si>
  <si>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</si>
  <si>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</si>
  <si>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</si>
  <si>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</si>
  <si>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</si>
  <si>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</si>
  <si>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</si>
  <si>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</si>
  <si>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</si>
  <si>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</si>
  <si>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</si>
  <si>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</si>
  <si>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</si>
  <si>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</si>
  <si>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</si>
  <si>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</si>
  <si>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</si>
  <si>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</si>
  <si>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</si>
  <si>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</si>
  <si>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</si>
  <si>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</si>
  <si>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</si>
  <si>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</si>
  <si>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</si>
  <si>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</si>
  <si>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</si>
  <si>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</si>
  <si>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</si>
  <si>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</si>
  <si>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</si>
  <si>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</si>
  <si>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</si>
  <si>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</si>
  <si>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</si>
  <si>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</si>
  <si>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</si>
  <si>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</si>
  <si>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</si>
  <si>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</si>
  <si>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</si>
  <si>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</si>
  <si>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</si>
  <si>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</si>
  <si>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</si>
  <si>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</si>
  <si>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</si>
  <si>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</si>
  <si>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</si>
  <si>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</si>
  <si>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</si>
  <si>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</si>
  <si>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</si>
  <si>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</si>
  <si>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</si>
  <si>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</si>
  <si>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</si>
  <si>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</si>
  <si>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</si>
  <si>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</si>
  <si>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</si>
  <si>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</si>
  <si>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</si>
  <si>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</si>
  <si>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</si>
  <si>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</si>
  <si>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</si>
  <si>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</si>
  <si>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</si>
  <si>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</si>
  <si>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</si>
  <si>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</si>
  <si>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</si>
  <si>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</si>
  <si>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</si>
  <si>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</si>
  <si>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</si>
  <si>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</si>
  <si>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</si>
  <si>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</si>
  <si>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</si>
  <si>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</si>
  <si>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</si>
  <si>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</si>
  <si>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</si>
  <si>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</si>
  <si>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</si>
  <si>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</si>
  <si>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</si>
  <si>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</si>
  <si>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</si>
  <si>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</si>
  <si>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</si>
  <si>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</si>
  <si>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</si>
  <si>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</si>
  <si>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</si>
  <si>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</si>
  <si>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</si>
  <si>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</si>
  <si>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</si>
  <si>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</si>
  <si>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</si>
  <si>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</si>
  <si>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</si>
  <si>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</si>
  <si>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</si>
  <si>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</si>
  <si>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</si>
  <si>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</si>
  <si>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</si>
  <si>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</si>
  <si>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</si>
  <si>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</si>
  <si>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</si>
  <si>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</si>
  <si>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</si>
  <si>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</si>
  <si>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</si>
  <si>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</si>
  <si>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</si>
  <si>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</si>
  <si>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</si>
  <si>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</si>
  <si>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</si>
  <si>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</si>
  <si>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</si>
  <si>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</si>
  <si>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</si>
  <si>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</si>
  <si>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</si>
  <si>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</si>
  <si>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</si>
  <si>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</si>
  <si>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</si>
  <si>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</si>
  <si>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</si>
  <si>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</si>
  <si>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</si>
  <si>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</si>
  <si>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</si>
  <si>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</si>
  <si>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</si>
  <si>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</si>
  <si>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</si>
  <si>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</si>
  <si>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</si>
  <si>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</si>
  <si>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</si>
  <si>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</si>
  <si>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</si>
  <si>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</si>
  <si>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</si>
  <si>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</si>
  <si>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</si>
  <si>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</si>
  <si>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</si>
  <si>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</si>
  <si>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</si>
  <si>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</si>
  <si>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</si>
  <si>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</si>
  <si>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</si>
  <si>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</si>
  <si>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</si>
  <si>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</si>
  <si>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</si>
  <si>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</si>
  <si>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</si>
  <si>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</si>
  <si>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</si>
  <si>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</si>
  <si>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</si>
  <si>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</si>
  <si>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</si>
  <si>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</si>
  <si>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</si>
  <si>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</si>
  <si>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</si>
  <si>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</si>
  <si>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</si>
  <si>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</si>
  <si>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</si>
  <si>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</si>
  <si>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</si>
  <si>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</si>
  <si>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</si>
  <si>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</si>
  <si>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</si>
  <si>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</si>
  <si>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</si>
  <si>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</si>
  <si>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</si>
  <si>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</si>
  <si>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</si>
  <si>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</si>
  <si>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</si>
  <si>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</si>
  <si>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</si>
  <si>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</si>
  <si>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</si>
  <si>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</si>
  <si>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</si>
  <si>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</si>
  <si>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</si>
  <si>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</si>
  <si>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</si>
  <si>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</si>
  <si>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</si>
  <si>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</si>
  <si>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</si>
  <si>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</si>
  <si>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</si>
  <si>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</si>
  <si>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</si>
  <si>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</si>
  <si>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</si>
  <si>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</si>
  <si>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</si>
  <si>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</si>
  <si>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</si>
  <si>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</si>
  <si>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</si>
  <si>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</si>
  <si>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</si>
  <si>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</si>
  <si>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</si>
  <si>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</si>
  <si>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</si>
  <si>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</si>
  <si>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</si>
  <si>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</si>
  <si>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</si>
  <si>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</si>
  <si>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</si>
  <si>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</si>
  <si>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</si>
  <si>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</si>
  <si>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</si>
  <si>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</si>
  <si>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</si>
  <si>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</si>
  <si>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</si>
  <si>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</si>
  <si>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</si>
  <si>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</si>
  <si>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</si>
  <si>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</si>
  <si>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</si>
  <si>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</si>
  <si>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</si>
  <si>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</si>
  <si>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</si>
  <si>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</si>
  <si>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</si>
  <si>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</si>
  <si>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</si>
  <si>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</si>
  <si>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</si>
  <si>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</si>
  <si>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</si>
  <si>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</si>
  <si>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</si>
  <si>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</si>
  <si>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</si>
  <si>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</si>
  <si>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</si>
  <si>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</si>
  <si>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</si>
  <si>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</si>
  <si>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</si>
  <si>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</si>
  <si>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</si>
  <si>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</si>
  <si>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</si>
  <si>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</si>
  <si>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</si>
  <si>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</si>
  <si>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</si>
  <si>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</si>
  <si>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</si>
  <si>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</si>
  <si>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</si>
  <si>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</si>
  <si>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</si>
  <si>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</si>
  <si>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</si>
  <si>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</si>
  <si>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</si>
  <si>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</si>
  <si>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</si>
  <si>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</si>
  <si>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</si>
  <si>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</si>
  <si>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</si>
  <si>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</si>
  <si>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</si>
  <si>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</si>
  <si>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</si>
  <si>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</si>
  <si>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</si>
  <si>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</si>
  <si>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</si>
  <si>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</si>
  <si>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</si>
  <si>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</si>
  <si>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</si>
  <si>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</si>
  <si>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</si>
  <si>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</si>
  <si>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</si>
  <si>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</si>
  <si>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</si>
  <si>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</si>
  <si>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</si>
  <si>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</si>
  <si>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</si>
  <si>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</si>
  <si>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</si>
  <si>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</si>
  <si>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</si>
  <si>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</si>
  <si>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</si>
  <si>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</si>
  <si>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</si>
  <si>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</si>
  <si>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</si>
  <si>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</si>
  <si>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</si>
  <si>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</si>
  <si>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</si>
  <si>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</si>
  <si>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</si>
  <si>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</si>
  <si>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</si>
  <si>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</si>
  <si>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</si>
  <si>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</si>
  <si>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</si>
  <si>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</si>
  <si>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</si>
  <si>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</si>
  <si>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</si>
  <si>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</si>
  <si>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</si>
  <si>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</si>
  <si>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</si>
  <si>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</si>
  <si>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</si>
  <si>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</si>
  <si>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</si>
  <si>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</si>
  <si>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</si>
  <si>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</si>
  <si>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</si>
  <si>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</si>
  <si>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</si>
  <si>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</si>
  <si>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</si>
  <si>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</si>
  <si>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</si>
  <si>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</si>
  <si>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</si>
  <si>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</si>
  <si>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</si>
  <si>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</si>
  <si>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</si>
  <si>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</si>
  <si>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</si>
  <si>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</si>
  <si>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</si>
  <si>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</si>
  <si>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</si>
  <si>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</si>
  <si>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</si>
  <si>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</si>
  <si>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</si>
  <si>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</si>
  <si>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</si>
  <si>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</si>
  <si>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</si>
  <si>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</si>
  <si>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</si>
  <si>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</si>
  <si>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</si>
  <si>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</si>
  <si>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</si>
  <si>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</si>
  <si>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</si>
  <si>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</si>
  <si>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</si>
  <si>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</si>
  <si>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</si>
  <si>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</si>
  <si>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</si>
  <si>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</si>
  <si>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</si>
  <si>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</si>
  <si>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</si>
  <si>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</si>
  <si>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</si>
  <si>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</si>
  <si>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</si>
  <si>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</si>
  <si>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</si>
  <si>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</si>
  <si>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</si>
  <si>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</si>
  <si>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</si>
  <si>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</si>
  <si>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</si>
  <si>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</si>
  <si>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</si>
  <si>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</si>
  <si>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</si>
  <si>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</si>
  <si>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</si>
  <si>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</si>
  <si>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</si>
  <si>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</si>
  <si>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</si>
  <si>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</si>
  <si>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</si>
  <si>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</si>
  <si>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</si>
  <si>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</si>
  <si>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</si>
  <si>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</si>
  <si>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</si>
  <si>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</si>
  <si>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</si>
  <si>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</si>
  <si>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</si>
  <si>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</si>
  <si>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</si>
  <si>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</si>
  <si>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</si>
  <si>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</si>
  <si>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</si>
  <si>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</si>
  <si>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</si>
  <si>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</si>
  <si>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</si>
  <si>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</si>
  <si>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</si>
  <si>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</si>
  <si>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</si>
  <si>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</si>
  <si>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</si>
  <si>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</si>
  <si>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</si>
  <si>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</si>
  <si>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</si>
  <si>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</si>
  <si>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</si>
  <si>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</si>
  <si>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</si>
  <si>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</si>
  <si>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</si>
  <si>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</si>
  <si>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</si>
  <si>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</si>
  <si>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</si>
  <si>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</si>
  <si>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</si>
  <si>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</si>
  <si>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</si>
  <si>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</si>
  <si>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</si>
  <si>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</si>
  <si>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</si>
  <si>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</si>
  <si>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</si>
  <si>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</si>
  <si>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</si>
  <si>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</si>
  <si>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</si>
  <si>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</si>
  <si>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</si>
  <si>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</si>
  <si>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</si>
  <si>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</si>
  <si>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</si>
  <si>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</si>
  <si>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</si>
  <si>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</si>
  <si>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</si>
  <si>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</si>
  <si>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</si>
  <si>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</si>
  <si>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</si>
  <si>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</si>
  <si>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</si>
  <si>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</si>
  <si>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</si>
  <si>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</si>
  <si>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</si>
  <si>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</si>
  <si>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</si>
  <si>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</si>
  <si>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</si>
  <si>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</si>
  <si>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</si>
  <si>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</si>
  <si>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</si>
  <si>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</si>
  <si>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</si>
  <si>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</si>
  <si>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</si>
  <si>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</si>
  <si>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</si>
  <si>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</si>
  <si>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</si>
  <si>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</si>
  <si>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</si>
  <si>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</si>
  <si>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</si>
  <si>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</si>
  <si>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</si>
  <si>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</si>
  <si>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</si>
  <si>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</si>
  <si>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</si>
  <si>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</si>
  <si>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</si>
  <si>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</si>
  <si>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</si>
  <si>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</si>
  <si>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</si>
  <si>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</si>
  <si>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</si>
  <si>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</si>
  <si>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</si>
  <si>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</si>
  <si>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</si>
  <si>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</si>
  <si>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</si>
  <si>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</si>
  <si>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</si>
  <si>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</si>
  <si>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</si>
  <si>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</si>
  <si>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</si>
  <si>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</si>
  <si>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</si>
  <si>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</si>
  <si>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</si>
  <si>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</si>
  <si>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</si>
  <si>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</si>
  <si>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</si>
  <si>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</si>
  <si>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</si>
  <si>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</si>
  <si>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</si>
  <si>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</si>
  <si>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</si>
  <si>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</si>
  <si>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</si>
  <si>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</si>
  <si>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</si>
  <si>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</si>
  <si>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</si>
  <si>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</si>
  <si>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</si>
  <si>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</si>
  <si>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</si>
  <si>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</si>
  <si>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</si>
  <si>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</si>
  <si>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</si>
  <si>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</si>
  <si>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</si>
  <si>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</si>
  <si>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</si>
  <si>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</si>
  <si>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</si>
  <si>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</si>
  <si>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</si>
  <si>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</si>
  <si>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</si>
  <si>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</si>
  <si>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</si>
  <si>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</si>
  <si>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</si>
  <si>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</si>
  <si>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</si>
  <si>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</si>
  <si>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</si>
  <si>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</si>
  <si>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</si>
  <si>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</si>
  <si>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</si>
  <si>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</si>
  <si>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</si>
  <si>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</si>
  <si>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</si>
  <si>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</si>
  <si>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</si>
  <si>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</si>
  <si>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</si>
  <si>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</si>
  <si>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</si>
  <si>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</si>
  <si>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</si>
  <si>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</si>
  <si>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</si>
  <si>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</si>
  <si>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</si>
  <si>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</si>
  <si>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</si>
  <si>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</si>
  <si>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</si>
  <si>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</si>
  <si>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</si>
  <si>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</si>
  <si>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</si>
  <si>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</si>
  <si>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</si>
  <si>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</si>
  <si>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</si>
  <si>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</si>
  <si>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</si>
  <si>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</si>
  <si>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</si>
  <si>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</si>
  <si>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</si>
  <si>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</si>
  <si>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</si>
  <si>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</si>
  <si>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</si>
  <si>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</si>
  <si>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</si>
  <si>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</si>
  <si>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</si>
  <si>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</si>
  <si>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</si>
  <si>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</si>
  <si>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</si>
  <si>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</si>
  <si>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</si>
  <si>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</si>
  <si>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</si>
  <si>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</si>
  <si>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</si>
  <si>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</si>
  <si>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</si>
  <si>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</si>
  <si>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</si>
  <si>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</si>
  <si>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</si>
  <si>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</si>
  <si>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</si>
  <si>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</si>
  <si>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</si>
  <si>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</si>
  <si>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</si>
  <si>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</si>
  <si>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</si>
  <si>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</si>
  <si>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</si>
  <si>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</si>
  <si>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</si>
  <si>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</si>
  <si>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</si>
  <si>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</si>
  <si>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</si>
  <si>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</si>
  <si>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</si>
  <si>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</si>
  <si>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</si>
  <si>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</si>
  <si>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</si>
  <si>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</si>
  <si>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</si>
  <si>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</si>
  <si>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</si>
  <si>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</si>
  <si>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</si>
  <si>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</si>
  <si>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</si>
  <si>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</si>
  <si>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</si>
  <si>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</si>
  <si>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</si>
  <si>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</si>
  <si>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</si>
  <si>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</si>
  <si>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</si>
  <si>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</si>
  <si>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</si>
  <si>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</si>
  <si>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</si>
  <si>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</si>
  <si>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</si>
  <si>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</si>
  <si>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</si>
  <si>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</si>
  <si>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</si>
  <si>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</si>
  <si>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</si>
  <si>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</si>
  <si>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</si>
  <si>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</si>
  <si>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</si>
  <si>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</si>
  <si>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</si>
  <si>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</si>
  <si>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</si>
  <si>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</si>
  <si>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</si>
  <si>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</si>
  <si>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</si>
  <si>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</si>
  <si>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</si>
  <si>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</si>
  <si>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</si>
  <si>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</si>
  <si>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</si>
  <si>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</si>
  <si>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</si>
  <si>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</si>
  <si>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</si>
  <si>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</si>
  <si>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</si>
  <si>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</si>
  <si>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</si>
  <si>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</si>
  <si>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</si>
  <si>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</si>
  <si>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</si>
  <si>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</si>
  <si>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</si>
  <si>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</si>
  <si>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</si>
  <si>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</si>
  <si>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</si>
  <si>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</si>
  <si>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</si>
  <si>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</si>
  <si>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</si>
  <si>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</si>
  <si>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</si>
  <si>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</si>
  <si>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</si>
  <si>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</si>
  <si>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</si>
  <si>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</si>
  <si>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</si>
  <si>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</si>
  <si>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</si>
  <si>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</si>
  <si>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</si>
  <si>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</si>
  <si>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</si>
  <si>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</si>
  <si>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</si>
  <si>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</si>
  <si>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</si>
  <si>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</si>
  <si>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</si>
  <si>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</si>
  <si>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</si>
  <si>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</si>
  <si>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</si>
  <si>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</si>
  <si>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</si>
  <si>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</si>
  <si>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</si>
  <si>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</si>
  <si>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</si>
  <si>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</si>
  <si>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</si>
  <si>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</si>
  <si>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</si>
  <si>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</si>
  <si>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</si>
  <si>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</si>
  <si>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</si>
  <si>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</si>
  <si>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</si>
  <si>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</si>
  <si>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</si>
  <si>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</si>
  <si>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</si>
  <si>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</si>
  <si>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</si>
  <si>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</si>
  <si>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</si>
  <si>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</si>
  <si>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</si>
  <si>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</si>
  <si>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</si>
  <si>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</si>
  <si>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</si>
  <si>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</si>
  <si>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</si>
  <si>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</si>
  <si>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</si>
  <si>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</si>
  <si>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</si>
  <si>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</si>
  <si>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</si>
  <si>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</si>
  <si>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</si>
  <si>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</si>
  <si>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</si>
  <si>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</si>
  <si>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</si>
  <si>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</si>
  <si>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</si>
  <si>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</si>
  <si>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</si>
  <si>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</si>
  <si>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</si>
  <si>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</si>
  <si>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</si>
  <si>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</si>
  <si>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</si>
  <si>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</si>
  <si>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</si>
  <si>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</si>
  <si>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</si>
  <si>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</si>
  <si>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</si>
  <si>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</si>
  <si>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</si>
  <si>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</si>
  <si>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</si>
  <si>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</si>
  <si>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</si>
  <si>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</si>
  <si>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</si>
  <si>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</si>
  <si>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</si>
  <si>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</si>
  <si>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</si>
  <si>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</si>
  <si>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</si>
  <si>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</si>
  <si>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</si>
  <si>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</si>
  <si>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</si>
  <si>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</si>
  <si>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</si>
  <si>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</si>
  <si>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</si>
  <si>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</si>
  <si>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</si>
  <si>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</si>
  <si>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</si>
  <si>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</si>
  <si>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</si>
  <si>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</si>
  <si>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</si>
  <si>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</si>
  <si>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</si>
  <si>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</si>
  <si>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</si>
  <si>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</si>
  <si>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</si>
  <si>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</si>
  <si>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</si>
  <si>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</si>
  <si>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</si>
  <si>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</si>
  <si>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</si>
  <si>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</si>
  <si>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</si>
  <si>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</si>
  <si>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</si>
  <si>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</si>
  <si>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</si>
  <si>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</si>
  <si>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</si>
  <si>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</si>
  <si>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</si>
  <si>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</si>
  <si>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</si>
  <si>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</si>
  <si>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</si>
  <si>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</si>
  <si>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</si>
  <si>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</si>
  <si>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</si>
  <si>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</si>
  <si>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</si>
  <si>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</si>
  <si>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</si>
  <si>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</si>
  <si>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</si>
  <si>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</si>
  <si>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</si>
  <si>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</si>
  <si>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</si>
  <si>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</si>
  <si>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</si>
  <si>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</si>
  <si>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</si>
  <si>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</si>
  <si>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</si>
  <si>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</si>
  <si>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</si>
  <si>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</si>
  <si>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</si>
  <si>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</si>
  <si>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</si>
  <si>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</si>
  <si>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</si>
  <si>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</si>
  <si>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</si>
  <si>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</si>
  <si>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</si>
  <si>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</si>
  <si>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</si>
  <si>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</si>
  <si>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</si>
  <si>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</si>
  <si>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</si>
  <si>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</si>
  <si>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</si>
  <si>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</si>
  <si>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</si>
  <si>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</si>
  <si>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</si>
  <si>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</si>
  <si>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</si>
  <si>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</si>
  <si>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</si>
  <si>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</si>
  <si>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</si>
  <si>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</si>
  <si>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</si>
  <si>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</si>
  <si>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</si>
  <si>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</si>
  <si>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</si>
  <si>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</si>
  <si>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</si>
  <si>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</si>
  <si>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</si>
  <si>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</si>
  <si>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</si>
  <si>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</si>
  <si>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</si>
  <si>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</si>
  <si>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</si>
  <si>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</si>
  <si>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</si>
  <si>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</si>
  <si>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</si>
  <si>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</si>
  <si>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</si>
  <si>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</si>
  <si>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</si>
  <si>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</si>
  <si>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</si>
  <si>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</si>
  <si>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</si>
  <si>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</si>
  <si>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</si>
  <si>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</si>
  <si>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</si>
  <si>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</si>
  <si>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</si>
  <si>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</si>
  <si>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</si>
  <si>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</si>
  <si>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</si>
  <si>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</si>
  <si>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</si>
  <si>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</si>
  <si>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</si>
  <si>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</si>
  <si>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</si>
  <si>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</si>
  <si>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</si>
  <si>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</si>
  <si>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</si>
  <si>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</si>
  <si>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</si>
  <si>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</si>
  <si>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</si>
  <si>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</si>
  <si>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</si>
  <si>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</si>
  <si>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</si>
  <si>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</si>
  <si>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</si>
  <si>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</si>
  <si>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</si>
  <si>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</si>
  <si>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</si>
  <si>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</si>
  <si>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</si>
  <si>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</si>
  <si>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</si>
  <si>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</si>
  <si>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</si>
  <si>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</si>
  <si>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</si>
  <si>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</si>
  <si>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</si>
  <si>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</si>
  <si>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</si>
  <si>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</si>
  <si>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</si>
  <si>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</si>
  <si>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</si>
  <si>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</si>
  <si>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</si>
  <si>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</si>
  <si>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</si>
  <si>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</si>
  <si>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</si>
  <si>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</si>
  <si>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</si>
  <si>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</si>
  <si>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</si>
  <si>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</si>
  <si>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</si>
  <si>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</si>
  <si>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</si>
  <si>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</si>
  <si>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</si>
  <si>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</si>
  <si>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</si>
  <si>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</si>
  <si>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</si>
  <si>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</si>
  <si>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</si>
  <si>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</si>
  <si>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</si>
  <si>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</si>
  <si>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</si>
  <si>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</si>
  <si>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</si>
  <si>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</si>
  <si>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</si>
  <si>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</si>
  <si>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</si>
  <si>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</si>
  <si>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</si>
  <si>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</si>
  <si>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</si>
  <si>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</si>
  <si>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</si>
  <si>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</si>
  <si>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</si>
  <si>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</si>
  <si>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</si>
  <si>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</si>
  <si>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</si>
  <si>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</si>
  <si>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</si>
  <si>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</si>
  <si>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</si>
  <si>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</si>
  <si>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</si>
  <si>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</si>
  <si>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</si>
  <si>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</si>
  <si>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</si>
  <si>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</si>
  <si>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</si>
  <si>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</si>
  <si>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</si>
  <si>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</si>
  <si>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</si>
  <si>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</si>
  <si>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</si>
  <si>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</si>
  <si>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</si>
  <si>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</si>
  <si>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</si>
  <si>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</si>
  <si>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</si>
  <si>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</si>
  <si>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</si>
  <si>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</si>
  <si>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</si>
  <si>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</si>
  <si>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</si>
  <si>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</si>
  <si>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</si>
  <si>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</si>
  <si>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</si>
  <si>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</si>
  <si>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</si>
  <si>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</si>
  <si>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</si>
  <si>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</si>
  <si>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</si>
  <si>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</si>
  <si>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</si>
  <si>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</si>
  <si>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</si>
  <si>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</si>
  <si>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</si>
  <si>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</si>
  <si>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</si>
  <si>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</si>
  <si>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</si>
  <si>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</si>
  <si>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</si>
  <si>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</si>
  <si>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</si>
  <si>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</si>
  <si>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</si>
  <si>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</si>
  <si>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</si>
  <si>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</si>
  <si>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</si>
  <si>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</si>
  <si>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</si>
  <si>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</si>
  <si>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</si>
  <si>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</si>
  <si>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</si>
  <si>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</si>
  <si>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</si>
  <si>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</si>
  <si>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</si>
  <si>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</si>
  <si>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</si>
  <si>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</si>
  <si>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</si>
  <si>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</si>
  <si>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</si>
  <si>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</si>
  <si>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</si>
  <si>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</si>
  <si>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</si>
  <si>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</si>
  <si>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</si>
  <si>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</si>
  <si>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</si>
  <si>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</si>
  <si>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</si>
  <si>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</si>
  <si>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</si>
  <si>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</si>
  <si>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</si>
  <si>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</si>
  <si>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</si>
  <si>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</si>
  <si>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</si>
  <si>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</si>
  <si>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</si>
  <si>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</si>
  <si>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</si>
  <si>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</si>
  <si>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</si>
  <si>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</si>
  <si>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</si>
  <si>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</si>
  <si>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</si>
  <si>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</si>
  <si>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</si>
  <si>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</si>
  <si>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</si>
  <si>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</si>
  <si>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</si>
  <si>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</si>
  <si>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</si>
  <si>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</si>
  <si>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</si>
  <si>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</si>
  <si>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</si>
  <si>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</si>
  <si>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</si>
  <si>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</si>
  <si>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</si>
  <si>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</si>
  <si>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</si>
  <si>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</si>
  <si>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</si>
  <si>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</si>
  <si>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</si>
  <si>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</si>
  <si>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</si>
  <si>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</si>
  <si>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</si>
  <si>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</si>
  <si>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</si>
  <si>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</si>
  <si>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</si>
  <si>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</si>
  <si>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</si>
  <si>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</si>
  <si>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</si>
  <si>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</si>
  <si>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</si>
  <si>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</si>
  <si>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</si>
  <si>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</si>
  <si>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</si>
  <si>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</si>
  <si>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</si>
  <si>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</si>
  <si>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</si>
  <si>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</si>
  <si>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</si>
  <si>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</si>
  <si>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</si>
  <si>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</si>
  <si>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</si>
  <si>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</si>
  <si>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</si>
  <si>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</si>
  <si>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</si>
  <si>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</si>
  <si>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</si>
  <si>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</si>
  <si>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</si>
  <si>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</si>
  <si>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</si>
  <si>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</si>
  <si>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</si>
  <si>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</si>
  <si>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</si>
  <si>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</si>
  <si>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</si>
  <si>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</si>
  <si>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</si>
  <si>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</si>
  <si>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</si>
  <si>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</si>
  <si>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</si>
  <si>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</si>
  <si>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</si>
  <si>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</si>
  <si>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</si>
  <si>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</si>
  <si>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</si>
  <si>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</si>
  <si>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</si>
  <si>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</si>
  <si>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</si>
  <si>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</si>
  <si>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</si>
  <si>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</si>
  <si>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</si>
  <si>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</si>
  <si>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</si>
  <si>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</si>
  <si>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</si>
  <si>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</si>
  <si>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</si>
  <si>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</si>
  <si>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</si>
  <si>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</si>
  <si>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</si>
  <si>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</si>
  <si>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</si>
  <si>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</si>
  <si>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</si>
  <si>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</si>
  <si>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</si>
  <si>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</si>
  <si>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</si>
  <si>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</si>
  <si>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</si>
  <si>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</si>
  <si>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</si>
  <si>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</si>
  <si>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</si>
  <si>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</si>
  <si>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</si>
  <si>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</si>
  <si>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</si>
  <si>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</si>
  <si>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</si>
  <si>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</si>
  <si>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</si>
  <si>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</si>
  <si>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</si>
  <si>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</si>
  <si>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</si>
  <si>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</si>
  <si>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</si>
  <si>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</si>
  <si>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</si>
  <si>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</si>
  <si>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</si>
  <si>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</si>
  <si>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</si>
  <si>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</si>
  <si>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</si>
  <si>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</si>
  <si>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</si>
  <si>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</si>
  <si>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</si>
  <si>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</si>
  <si>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</si>
  <si>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</si>
  <si>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</si>
  <si>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</si>
  <si>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</si>
  <si>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</si>
  <si>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</si>
  <si>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</si>
  <si>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</si>
  <si>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</si>
  <si>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</si>
  <si>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</si>
  <si>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</si>
  <si>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</si>
  <si>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</si>
  <si>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</si>
  <si>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</si>
  <si>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</si>
  <si>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</si>
  <si>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</si>
  <si>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</si>
  <si>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</si>
  <si>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</si>
  <si>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</si>
  <si>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</si>
  <si>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</si>
  <si>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</si>
  <si>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</si>
  <si>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</si>
  <si>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</si>
  <si>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</si>
  <si>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</si>
  <si>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</si>
  <si>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</si>
  <si>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</si>
  <si>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</si>
  <si>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</si>
  <si>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</si>
  <si>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</si>
  <si>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</si>
  <si>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</si>
  <si>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</si>
  <si>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</si>
  <si>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</si>
  <si>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</si>
  <si>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</si>
  <si>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</si>
  <si>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</si>
  <si>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</si>
  <si>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</si>
  <si>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</si>
  <si>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</si>
  <si>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</si>
  <si>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</si>
  <si>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</si>
  <si>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</si>
  <si>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</si>
  <si>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</si>
  <si>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</si>
  <si>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</si>
  <si>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</si>
  <si>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</si>
  <si>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</si>
  <si>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</si>
  <si>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</si>
  <si>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</si>
  <si>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</si>
  <si>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</si>
  <si>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</si>
  <si>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</si>
  <si>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</si>
  <si>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</si>
  <si>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</si>
  <si>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</si>
  <si>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</si>
  <si>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</si>
  <si>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</si>
  <si>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</si>
  <si>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</si>
  <si>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</si>
  <si>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</si>
  <si>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</si>
  <si>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</si>
  <si>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</si>
  <si>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</si>
  <si>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</si>
  <si>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</si>
  <si>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</si>
  <si>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</si>
  <si>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</si>
  <si>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</si>
  <si>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</si>
  <si>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</si>
  <si>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</si>
  <si>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</si>
  <si>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</si>
  <si>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</si>
  <si>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</si>
  <si>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</si>
  <si>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</si>
  <si>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</si>
  <si>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</si>
  <si>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</si>
  <si>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</si>
  <si>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</si>
  <si>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</si>
  <si>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</si>
  <si>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</si>
  <si>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</si>
  <si>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</si>
  <si>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</si>
  <si>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</si>
  <si>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</si>
  <si>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</si>
  <si>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</si>
  <si>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</si>
  <si>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</si>
  <si>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</si>
  <si>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</si>
  <si>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</si>
  <si>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</si>
  <si>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</si>
  <si>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</si>
  <si>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</si>
  <si>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</si>
  <si>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</si>
  <si>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</si>
  <si>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</si>
  <si>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</si>
  <si>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</si>
  <si>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</si>
  <si>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</si>
  <si>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</si>
  <si>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</si>
  <si>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</si>
  <si>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</si>
  <si>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</si>
  <si>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</si>
  <si>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</si>
  <si>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</si>
  <si>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</si>
  <si>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</si>
  <si>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</si>
  <si>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</si>
  <si>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</si>
  <si>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</si>
  <si>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</si>
  <si>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</si>
  <si>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</si>
  <si>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</si>
  <si>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</si>
  <si>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</si>
  <si>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</si>
  <si>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</si>
  <si>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</si>
  <si>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</si>
  <si>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</si>
  <si>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</si>
  <si>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</si>
  <si>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</si>
  <si>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</si>
  <si>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</si>
  <si>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</si>
  <si>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</si>
  <si>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</si>
  <si>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</si>
  <si>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</si>
  <si>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</si>
  <si>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</si>
  <si>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</si>
  <si>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</si>
  <si>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</si>
  <si>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</si>
  <si>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</si>
  <si>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</si>
  <si>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</si>
  <si>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</si>
  <si>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</si>
  <si>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</si>
  <si>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</si>
  <si>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</si>
  <si>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</si>
  <si>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</si>
  <si>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</si>
  <si>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</si>
  <si>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</si>
  <si>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</si>
  <si>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</si>
  <si>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</si>
  <si>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</si>
  <si>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</si>
  <si>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</si>
  <si>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</si>
  <si>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</si>
  <si>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</si>
  <si>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</si>
  <si>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</si>
  <si>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</si>
  <si>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</si>
  <si>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</si>
  <si>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</si>
  <si>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</si>
  <si>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</si>
  <si>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</si>
  <si>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</si>
  <si>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</si>
  <si>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</si>
  <si>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</si>
  <si>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</si>
  <si>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</si>
  <si>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</si>
  <si>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</si>
  <si>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</si>
  <si>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</si>
  <si>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</si>
  <si>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</si>
  <si>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</si>
  <si>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</si>
  <si>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</si>
  <si>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</si>
  <si>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</si>
  <si>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</si>
  <si>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</si>
  <si>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</si>
  <si>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</si>
  <si>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</si>
  <si>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</si>
  <si>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</si>
  <si>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</si>
  <si>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</si>
  <si>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</si>
  <si>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</si>
  <si>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</si>
  <si>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</si>
  <si>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</si>
  <si>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</si>
  <si>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</si>
  <si>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</si>
  <si>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</si>
  <si>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</si>
  <si>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</si>
  <si>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</si>
  <si>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</si>
  <si>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</si>
  <si>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</si>
  <si>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</si>
  <si>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</si>
  <si>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</si>
  <si>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</si>
  <si>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</si>
  <si>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</si>
  <si>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</si>
  <si>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</si>
  <si>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</si>
  <si>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</si>
  <si>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</si>
  <si>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</si>
  <si>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</si>
  <si>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</si>
  <si>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</si>
  <si>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</si>
  <si>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</si>
  <si>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</si>
  <si>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</si>
  <si>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</si>
  <si>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</si>
  <si>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</si>
  <si>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</si>
  <si>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</si>
  <si>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</si>
  <si>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</si>
  <si>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</si>
  <si>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</si>
  <si>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</si>
  <si>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</si>
  <si>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</si>
  <si>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</si>
  <si>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</si>
  <si>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</si>
  <si>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</si>
  <si>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</si>
  <si>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</si>
  <si>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</si>
  <si>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</si>
  <si>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</si>
  <si>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</si>
  <si>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</si>
  <si>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</si>
  <si>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</si>
  <si>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</si>
  <si>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</si>
  <si>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</si>
  <si>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</si>
  <si>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</si>
  <si>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</si>
  <si>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</si>
  <si>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</si>
  <si>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</si>
  <si>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</si>
  <si>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</si>
  <si>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</si>
  <si>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</si>
  <si>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</si>
  <si>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</si>
  <si>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</si>
  <si>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</si>
  <si>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</si>
  <si>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</si>
  <si>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</si>
  <si>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</si>
  <si>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</si>
  <si>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</si>
  <si>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</si>
  <si>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</si>
  <si>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</si>
  <si>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</si>
  <si>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</si>
  <si>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</si>
  <si>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</si>
  <si>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</si>
  <si>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</si>
  <si>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</si>
  <si>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</si>
  <si>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</si>
  <si>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</si>
  <si>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</si>
  <si>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</si>
  <si>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</si>
  <si>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</si>
  <si>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</si>
  <si>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</si>
  <si>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</si>
  <si>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</si>
  <si>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</si>
  <si>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</si>
  <si>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</si>
  <si>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</si>
  <si>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</si>
  <si>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</si>
  <si>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</si>
  <si>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</si>
  <si>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</si>
  <si>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</si>
  <si>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</si>
  <si>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</si>
  <si>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</si>
  <si>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</si>
  <si>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</si>
  <si>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</si>
  <si>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</si>
  <si>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</si>
  <si>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</si>
  <si>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</si>
  <si>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</si>
  <si>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</si>
  <si>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</si>
  <si>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</si>
  <si>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</si>
  <si>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</si>
  <si>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</si>
  <si>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</si>
  <si>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</si>
  <si>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</si>
  <si>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</si>
  <si>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</si>
  <si>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</si>
  <si>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</si>
  <si>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</si>
  <si>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</si>
  <si>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</si>
  <si>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</si>
  <si>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</si>
  <si>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</si>
  <si>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</si>
  <si>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</si>
  <si>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</si>
  <si>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</si>
  <si>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</si>
  <si>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</si>
  <si>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</si>
  <si>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</si>
  <si>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</si>
  <si>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</si>
  <si>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</si>
  <si>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</si>
  <si>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</si>
  <si>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</si>
  <si>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</si>
  <si>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</si>
  <si>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</si>
  <si>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</si>
  <si>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</si>
  <si>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</si>
  <si>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</si>
  <si>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</si>
  <si>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</si>
  <si>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</si>
  <si>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</si>
  <si>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</si>
  <si>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</si>
  <si>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</si>
  <si>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</si>
  <si>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</si>
  <si>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</si>
  <si>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</si>
  <si>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</si>
  <si>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</si>
  <si>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</si>
  <si>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</si>
  <si>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</si>
  <si>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</si>
  <si>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</si>
  <si>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</si>
  <si>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</si>
  <si>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</si>
  <si>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</si>
  <si>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</si>
  <si>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</si>
  <si>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</si>
  <si>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</si>
  <si>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</si>
  <si>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</si>
  <si>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</si>
  <si>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</si>
  <si>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</si>
  <si>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</si>
  <si>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</si>
  <si>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</si>
  <si>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</si>
  <si>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</si>
  <si>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</si>
  <si>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</si>
  <si>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</si>
  <si>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</si>
  <si>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</si>
  <si>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</si>
  <si>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</si>
  <si>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</si>
  <si>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</si>
  <si>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</si>
  <si>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</si>
  <si>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</si>
  <si>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</si>
  <si>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</si>
  <si>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</si>
  <si>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</si>
  <si>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</si>
  <si>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</si>
  <si>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</si>
  <si>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</si>
  <si>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</si>
  <si>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</si>
  <si>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</si>
  <si>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</si>
  <si>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</si>
  <si>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</si>
  <si>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</si>
  <si>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</si>
  <si>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</si>
  <si>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</si>
  <si>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</si>
  <si>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</si>
  <si>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</si>
  <si>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</si>
  <si>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</si>
  <si>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</si>
  <si>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</si>
  <si>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</si>
  <si>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</si>
  <si>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</si>
  <si>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</si>
  <si>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</si>
  <si>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</si>
  <si>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</si>
  <si>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</si>
  <si>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</si>
  <si>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</si>
  <si>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</si>
  <si>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</si>
  <si>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</si>
  <si>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</si>
  <si>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</si>
  <si>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</si>
  <si>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</si>
  <si>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</si>
  <si>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</si>
  <si>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</si>
  <si>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</si>
  <si>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</si>
  <si>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</si>
  <si>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</si>
  <si>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</si>
  <si>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</si>
  <si>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</si>
  <si>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</si>
  <si>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</si>
  <si>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</si>
  <si>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</si>
  <si>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</si>
  <si>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</si>
  <si>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</si>
  <si>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</si>
  <si>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</si>
  <si>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</si>
  <si>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</si>
  <si>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</si>
  <si>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</si>
  <si>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</si>
  <si>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</si>
  <si>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</si>
  <si>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</si>
  <si>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</si>
  <si>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</si>
  <si>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</si>
  <si>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</si>
  <si>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</si>
  <si>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</si>
  <si>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</si>
  <si>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</si>
  <si>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</si>
  <si>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</si>
  <si>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</si>
  <si>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</si>
  <si>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</si>
  <si>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</si>
  <si>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</si>
  <si>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</si>
  <si>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</si>
  <si>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</si>
  <si>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</si>
  <si>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</si>
  <si>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</si>
  <si>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</si>
  <si>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</si>
  <si>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</si>
  <si>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</si>
  <si>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</si>
  <si>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</si>
  <si>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</si>
  <si>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</si>
  <si>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</si>
  <si>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</si>
  <si>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</si>
  <si>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</si>
  <si>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</si>
  <si>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</si>
  <si>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</si>
  <si>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</si>
  <si>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</si>
  <si>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</si>
  <si>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</si>
  <si>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</si>
  <si>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</si>
  <si>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</si>
  <si>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</si>
  <si>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</si>
  <si>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</si>
  <si>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</si>
  <si>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</si>
  <si>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</si>
  <si>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</si>
  <si>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</si>
  <si>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</si>
  <si>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</si>
  <si>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</si>
  <si>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</si>
  <si>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</si>
  <si>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</si>
  <si>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</si>
  <si>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</si>
  <si>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</si>
  <si>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</si>
  <si>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</si>
  <si>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</si>
  <si>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</si>
  <si>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</si>
  <si>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</si>
  <si>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</si>
  <si>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</si>
  <si>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</si>
  <si>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</si>
  <si>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</si>
  <si>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</si>
  <si>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</si>
  <si>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</si>
  <si>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</si>
  <si>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</si>
  <si>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</si>
  <si>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</si>
  <si>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</si>
  <si>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</si>
  <si>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</si>
  <si>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</si>
  <si>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</si>
  <si>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</si>
  <si>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</si>
  <si>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</si>
  <si>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</si>
  <si>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</si>
  <si>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</si>
  <si>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</si>
  <si>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</si>
  <si>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</si>
  <si>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</si>
  <si>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</si>
  <si>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</si>
  <si>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</si>
  <si>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</si>
  <si>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</si>
  <si>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</si>
  <si>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</si>
  <si>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</si>
  <si>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</si>
  <si>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</si>
  <si>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</si>
  <si>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</si>
  <si>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</si>
  <si>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</si>
  <si>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</si>
  <si>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</si>
  <si>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</si>
  <si>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</si>
  <si>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</si>
  <si>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</si>
  <si>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</si>
  <si>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</si>
  <si>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</si>
  <si>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</si>
  <si>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</si>
  <si>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</si>
  <si>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</si>
  <si>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</si>
  <si>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</si>
  <si>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</si>
  <si>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</si>
  <si>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</si>
  <si>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</si>
  <si>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</si>
  <si>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</si>
  <si>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</si>
  <si>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</si>
  <si>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</si>
  <si>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</si>
  <si>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</si>
  <si>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</si>
  <si>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</si>
  <si>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</si>
  <si>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</si>
  <si>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</si>
  <si>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</si>
  <si>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</si>
  <si>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</si>
  <si>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</si>
  <si>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</si>
  <si>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</si>
  <si>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</si>
  <si>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</si>
  <si>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</si>
  <si>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</si>
  <si>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</si>
  <si>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</si>
  <si>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</si>
  <si>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</si>
  <si>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</si>
  <si>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</si>
  <si>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</si>
  <si>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</si>
  <si>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</si>
  <si>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</si>
  <si>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</si>
  <si>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</si>
  <si>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</si>
  <si>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</si>
  <si>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</si>
  <si>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</si>
  <si>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</si>
  <si>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</si>
  <si>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</si>
  <si>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</si>
  <si>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</si>
  <si>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</si>
  <si>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</si>
  <si>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</si>
  <si>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</si>
  <si>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</si>
  <si>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</si>
  <si>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</si>
  <si>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</si>
  <si>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</si>
  <si>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</si>
  <si>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</si>
  <si>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</si>
  <si>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</si>
  <si>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</si>
  <si>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</si>
  <si>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</si>
  <si>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</si>
  <si>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</si>
  <si>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</si>
  <si>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</si>
  <si>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</si>
  <si>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</si>
  <si>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</si>
  <si>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</si>
  <si>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</si>
  <si>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</si>
  <si>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</si>
  <si>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</si>
  <si>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</si>
  <si>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</si>
  <si>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</si>
  <si>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</si>
  <si>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</si>
  <si>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</si>
  <si>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</si>
  <si>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</si>
  <si>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</si>
  <si>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</si>
  <si>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</si>
  <si>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</si>
  <si>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</si>
  <si>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</si>
  <si>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</si>
  <si>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</si>
  <si>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</si>
  <si>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</si>
  <si>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</si>
  <si>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</si>
  <si>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</si>
  <si>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</si>
  <si>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</si>
  <si>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</si>
  <si>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</si>
  <si>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</si>
  <si>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</si>
  <si>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</si>
  <si>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</si>
  <si>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</si>
  <si>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</si>
  <si>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</si>
  <si>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</si>
  <si>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</si>
  <si>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</si>
  <si>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</si>
  <si>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</si>
  <si>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</si>
  <si>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</si>
  <si>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</si>
  <si>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</si>
  <si>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</si>
  <si>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</si>
  <si>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</si>
  <si>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</si>
  <si>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</si>
  <si>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</si>
  <si>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</si>
  <si>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</si>
  <si>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</si>
  <si>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</si>
  <si>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</si>
  <si>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</si>
  <si>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</si>
  <si>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</si>
  <si>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</si>
  <si>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</si>
  <si>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</si>
  <si>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</si>
  <si>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</si>
  <si>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</si>
  <si>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</si>
  <si>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</si>
  <si>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</si>
  <si>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</si>
  <si>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</si>
  <si>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</si>
  <si>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</si>
  <si>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</si>
  <si>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</si>
  <si>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</si>
  <si>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</si>
  <si>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</si>
  <si>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</si>
  <si>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</si>
  <si>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</si>
  <si>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</si>
  <si>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</si>
  <si>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</si>
  <si>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</si>
  <si>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</si>
  <si>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</si>
  <si>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</si>
  <si>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</si>
  <si>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</si>
  <si>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</si>
  <si>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</si>
  <si>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</si>
  <si>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</si>
  <si>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</si>
  <si>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</si>
  <si>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</si>
  <si>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</si>
  <si>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</si>
  <si>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</si>
  <si>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</si>
  <si>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</si>
  <si>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</si>
  <si>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</si>
  <si>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</si>
  <si>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</si>
  <si>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</si>
  <si>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</si>
  <si>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</si>
  <si>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</si>
  <si>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</si>
  <si>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</si>
  <si>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</si>
  <si>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</si>
  <si>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</si>
  <si>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</si>
  <si>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</si>
  <si>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</si>
  <si>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</si>
  <si>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</si>
  <si>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</si>
  <si>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</si>
  <si>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</si>
  <si>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</si>
  <si>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</si>
  <si>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</si>
  <si>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</si>
  <si>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</si>
  <si>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</si>
  <si>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</si>
  <si>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</si>
  <si>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</si>
  <si>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</si>
  <si>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</si>
  <si>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</si>
  <si>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</si>
  <si>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</si>
  <si>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</si>
  <si>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</si>
  <si>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</si>
  <si>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</si>
  <si>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</si>
  <si>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</si>
  <si>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</si>
  <si>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</si>
  <si>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</si>
  <si>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</si>
  <si>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</si>
  <si>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</si>
  <si>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</si>
  <si>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</si>
  <si>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</si>
  <si>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</si>
  <si>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</si>
  <si>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</si>
  <si>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</si>
  <si>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</si>
  <si>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</si>
  <si>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</si>
  <si>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</si>
  <si>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</si>
  <si>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</si>
  <si>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</si>
  <si>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</si>
  <si>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</si>
  <si>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</si>
  <si>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</si>
  <si>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</si>
  <si>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</si>
  <si>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</si>
  <si>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</si>
  <si>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</si>
  <si>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</si>
  <si>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</si>
  <si>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</si>
  <si>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</si>
  <si>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</si>
  <si>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</si>
  <si>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</si>
  <si>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</si>
  <si>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</si>
  <si>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</si>
  <si>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</si>
  <si>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</si>
  <si>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</si>
  <si>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</si>
  <si>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</si>
  <si>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</si>
  <si>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</si>
  <si>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</si>
  <si>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</si>
  <si>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</si>
  <si>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</si>
  <si>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</si>
  <si>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</si>
  <si>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</si>
  <si>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</si>
  <si>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</si>
  <si>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</si>
  <si>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</si>
  <si>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</si>
  <si>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</si>
  <si>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</si>
  <si>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</si>
  <si>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</si>
  <si>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</si>
  <si>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</si>
  <si>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</si>
  <si>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</si>
  <si>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</si>
  <si>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</si>
  <si>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</si>
  <si>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</si>
  <si>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</si>
  <si>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</si>
  <si>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</si>
  <si>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</si>
  <si>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</si>
  <si>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</si>
  <si>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</si>
  <si>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</si>
  <si>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</si>
  <si>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</si>
  <si>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</si>
  <si>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</si>
  <si>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</si>
  <si>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</si>
  <si>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</si>
  <si>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</si>
  <si>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</si>
  <si>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</si>
  <si>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</si>
  <si>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</si>
  <si>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</si>
  <si>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</si>
  <si>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</si>
  <si>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</si>
  <si>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</si>
  <si>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</si>
  <si>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</si>
  <si>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</si>
  <si>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</si>
  <si>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</si>
  <si>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</si>
  <si>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</si>
  <si>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</si>
  <si>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</si>
  <si>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</si>
  <si>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</si>
  <si>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</si>
  <si>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</si>
  <si>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</si>
  <si>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</si>
  <si>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</si>
  <si>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</si>
  <si>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</si>
  <si>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</si>
  <si>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</si>
  <si>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</si>
  <si>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</si>
  <si>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</si>
  <si>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</si>
  <si>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</si>
  <si>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</si>
  <si>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</si>
  <si>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</si>
  <si>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</si>
  <si>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</si>
  <si>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</si>
  <si>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</si>
  <si>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</si>
  <si>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</si>
  <si>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</si>
  <si>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</si>
  <si>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</si>
  <si>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</si>
  <si>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</si>
  <si>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</si>
  <si>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</si>
  <si>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</si>
  <si>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</si>
  <si>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</si>
  <si>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</si>
  <si>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</si>
  <si>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</si>
  <si>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</si>
  <si>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</si>
  <si>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</si>
  <si>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</si>
  <si>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</si>
  <si>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</si>
  <si>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</si>
  <si>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</si>
  <si>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</si>
  <si>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</si>
  <si>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</si>
  <si>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</si>
  <si>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</si>
  <si>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</si>
  <si>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</si>
  <si>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</si>
  <si>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</si>
  <si>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</si>
  <si>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</si>
  <si>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</si>
  <si>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</si>
  <si>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</si>
  <si>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</si>
  <si>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</si>
  <si>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</si>
  <si>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</si>
  <si>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</si>
  <si>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</si>
  <si>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</si>
  <si>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</si>
  <si>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</si>
  <si>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</si>
  <si>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</si>
  <si>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</si>
  <si>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</si>
  <si>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</si>
  <si>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</si>
  <si>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</si>
  <si>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</si>
  <si>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</si>
  <si>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</si>
  <si>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</si>
  <si>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</si>
  <si>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</si>
  <si>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</si>
  <si>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</si>
  <si>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</si>
  <si>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</si>
  <si>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</si>
  <si>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</si>
  <si>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</si>
  <si>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</si>
  <si>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</si>
  <si>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</si>
  <si>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</si>
  <si>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</si>
  <si>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</si>
  <si>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</si>
  <si>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</si>
  <si>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</si>
  <si>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</si>
  <si>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</si>
  <si>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</si>
  <si>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</si>
  <si>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</si>
  <si>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</si>
  <si>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</si>
  <si>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</si>
  <si>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</si>
  <si>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</si>
  <si>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</si>
  <si>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</si>
  <si>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</si>
  <si>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</si>
  <si>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</si>
  <si>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</si>
  <si>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</si>
  <si>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</si>
  <si>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</si>
  <si>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</si>
  <si>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</si>
  <si>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</si>
  <si>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</si>
  <si>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</si>
  <si>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</si>
  <si>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</si>
  <si>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</si>
  <si>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</si>
  <si>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</si>
  <si>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</si>
  <si>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</si>
  <si>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</si>
  <si>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</si>
  <si>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</si>
  <si>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</si>
  <si>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</si>
  <si>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</si>
  <si>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</si>
  <si>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</si>
  <si>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</si>
  <si>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</si>
  <si>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</si>
  <si>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</si>
  <si>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</si>
  <si>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</si>
  <si>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</si>
  <si>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</si>
  <si>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</si>
  <si>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</si>
  <si>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</si>
  <si>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</si>
  <si>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</si>
  <si>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</si>
  <si>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</si>
  <si>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</si>
  <si>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</si>
  <si>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</si>
  <si>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</si>
  <si>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</si>
  <si>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</si>
  <si>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</si>
  <si>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</si>
  <si>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</si>
  <si>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</si>
  <si>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</si>
  <si>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</si>
  <si>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</si>
  <si>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</si>
  <si>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</si>
  <si>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</si>
  <si>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</si>
  <si>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</si>
  <si>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</si>
  <si>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</si>
  <si>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</si>
  <si>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</si>
  <si>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</si>
  <si>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</si>
  <si>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</si>
  <si>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</si>
  <si>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</si>
  <si>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</si>
  <si>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</si>
  <si>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</si>
  <si>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</si>
  <si>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</si>
  <si>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</si>
  <si>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</si>
  <si>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</si>
  <si>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</si>
  <si>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</si>
  <si>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</si>
  <si>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</si>
  <si>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</si>
  <si>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</si>
  <si>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</si>
  <si>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</si>
  <si>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</si>
  <si>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</si>
  <si>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</si>
  <si>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</si>
  <si>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</si>
  <si>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</si>
  <si>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</si>
  <si>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</si>
  <si>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</si>
  <si>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</si>
  <si>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</si>
  <si>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</si>
  <si>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</si>
  <si>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</si>
  <si>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</si>
  <si>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</si>
  <si>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</si>
  <si>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</si>
  <si>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</si>
  <si>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</si>
  <si>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</si>
  <si>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</si>
  <si>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</si>
  <si>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</si>
  <si>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</si>
  <si>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</si>
  <si>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</si>
  <si>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</si>
  <si>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</si>
  <si>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</si>
  <si>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</si>
  <si>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</si>
  <si>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</si>
  <si>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</si>
  <si>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</si>
  <si>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</si>
  <si>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</si>
  <si>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</si>
  <si>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</si>
  <si>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</si>
  <si>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</si>
  <si>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</si>
  <si>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</si>
  <si>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</si>
  <si>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</si>
  <si>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</si>
  <si>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</si>
  <si>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</si>
  <si>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</si>
  <si>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</si>
  <si>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</si>
  <si>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</si>
  <si>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</si>
  <si>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</si>
  <si>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</si>
  <si>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</si>
  <si>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</si>
  <si>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</si>
  <si>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</si>
  <si>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</si>
  <si>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</si>
  <si>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</si>
  <si>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</si>
  <si>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</si>
  <si>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</si>
  <si>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</si>
  <si>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</si>
  <si>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</si>
  <si>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</si>
  <si>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</si>
  <si>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</si>
  <si>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</si>
  <si>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</si>
  <si>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</si>
  <si>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</si>
  <si>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</si>
  <si>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</si>
  <si>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</si>
  <si>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</si>
  <si>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</si>
  <si>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</si>
  <si>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</si>
  <si>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</si>
  <si>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</si>
  <si>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</si>
  <si>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</si>
  <si>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</si>
  <si>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</si>
  <si>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</si>
  <si>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</si>
  <si>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</si>
  <si>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</si>
  <si>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</si>
  <si>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</si>
  <si>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</si>
  <si>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</si>
  <si>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</si>
  <si>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</si>
  <si>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</si>
  <si>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</si>
  <si>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</si>
  <si>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</si>
  <si>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</si>
  <si>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</si>
  <si>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</si>
  <si>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</si>
  <si>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</si>
  <si>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</si>
  <si>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</si>
  <si>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</si>
  <si>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</si>
  <si>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</si>
  <si>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</si>
  <si>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</si>
  <si>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</si>
  <si>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</si>
  <si>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</si>
  <si>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</si>
  <si>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</si>
  <si>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</si>
  <si>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</si>
  <si>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</si>
  <si>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</si>
  <si>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</si>
  <si>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</si>
  <si>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</si>
  <si>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</si>
  <si>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</si>
  <si>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</si>
  <si>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</si>
  <si>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</si>
  <si>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</si>
  <si>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</si>
  <si>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</si>
  <si>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</si>
  <si>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</si>
  <si>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</si>
  <si>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</si>
  <si>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</si>
  <si>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</si>
  <si>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</si>
  <si>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</si>
  <si>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</si>
  <si>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</si>
  <si>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</si>
  <si>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</si>
  <si>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</si>
  <si>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</si>
  <si>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</si>
  <si>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</si>
  <si>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</si>
  <si>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</si>
  <si>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</si>
  <si>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</si>
  <si>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</si>
  <si>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</si>
  <si>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</si>
  <si>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</si>
  <si>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</si>
  <si>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</si>
  <si>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</si>
  <si>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</si>
  <si>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</si>
  <si>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</si>
  <si>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</si>
  <si>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</si>
  <si>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</si>
  <si>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</si>
  <si>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</si>
  <si>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</si>
  <si>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</si>
  <si>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</si>
  <si>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</si>
  <si>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</si>
  <si>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</si>
  <si>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</si>
  <si>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</si>
  <si>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</si>
  <si>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</si>
  <si>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</si>
  <si>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</si>
  <si>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</si>
  <si>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</si>
  <si>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</si>
  <si>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</si>
  <si>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</si>
  <si>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</si>
  <si>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</si>
  <si>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</si>
  <si>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</si>
  <si>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</si>
  <si>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</si>
  <si>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</si>
  <si>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</si>
  <si>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</si>
  <si>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</si>
  <si>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</si>
  <si>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</si>
  <si>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</si>
  <si>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</si>
  <si>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</si>
  <si>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</si>
  <si>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</si>
  <si>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</si>
  <si>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</si>
  <si>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</si>
  <si>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</si>
  <si>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</si>
  <si>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</si>
  <si>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</si>
  <si>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</si>
  <si>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</si>
  <si>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</si>
  <si>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</si>
  <si>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</si>
  <si>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</si>
  <si>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</si>
  <si>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</si>
  <si>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</si>
  <si>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</si>
  <si>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</si>
  <si>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</si>
  <si>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</si>
  <si>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</si>
  <si>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</si>
  <si>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</si>
  <si>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</si>
  <si>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</si>
  <si>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</si>
  <si>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</si>
  <si>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</si>
  <si>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</si>
  <si>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</si>
  <si>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</si>
  <si>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</si>
  <si>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</si>
  <si>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</si>
  <si>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</si>
  <si>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</si>
  <si>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</si>
  <si>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</si>
  <si>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</si>
  <si>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</si>
  <si>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</si>
  <si>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</si>
  <si>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</si>
  <si>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</si>
  <si>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</si>
  <si>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</si>
  <si>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</si>
  <si>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</si>
  <si>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</si>
  <si>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</si>
  <si>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</si>
  <si>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</si>
  <si>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</si>
  <si>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</si>
  <si>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</si>
  <si>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</si>
  <si>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</si>
  <si>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</si>
  <si>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</si>
  <si>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</si>
  <si>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</si>
  <si>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</si>
  <si>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</si>
  <si>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</si>
  <si>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</si>
  <si>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</si>
  <si>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</si>
  <si>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</si>
  <si>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</si>
  <si>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</si>
  <si>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</si>
  <si>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</si>
  <si>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</si>
  <si>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</si>
  <si>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</si>
  <si>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</si>
  <si>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</si>
  <si>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</si>
  <si>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</si>
  <si>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</si>
  <si>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</si>
  <si>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</si>
  <si>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</si>
  <si>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</si>
  <si>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</si>
  <si>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</si>
  <si>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</si>
  <si>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</si>
  <si>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</si>
  <si>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</si>
  <si>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</si>
  <si>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</si>
  <si>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</si>
  <si>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</si>
  <si>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</si>
  <si>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</si>
  <si>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</si>
  <si>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</si>
  <si>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</si>
  <si>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</si>
  <si>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</si>
  <si>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</si>
  <si>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</si>
  <si>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</si>
  <si>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</si>
  <si>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</si>
  <si>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</si>
  <si>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</si>
  <si>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</si>
  <si>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</si>
  <si>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</si>
  <si>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</si>
  <si>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</si>
  <si>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</si>
  <si>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</si>
  <si>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</si>
  <si>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</si>
  <si>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</si>
  <si>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</si>
  <si>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</si>
  <si>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</si>
  <si>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</si>
  <si>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</si>
  <si>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</si>
  <si>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</si>
  <si>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</si>
  <si>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</si>
  <si>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</si>
  <si>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</si>
  <si>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</si>
  <si>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</si>
  <si>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</si>
  <si>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</si>
  <si>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</si>
  <si>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</si>
  <si>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</si>
  <si>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</si>
  <si>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</si>
  <si>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</si>
  <si>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</si>
  <si>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</si>
  <si>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</si>
  <si>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</si>
  <si>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</si>
  <si>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</si>
  <si>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</si>
  <si>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</si>
  <si>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</si>
  <si>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</si>
  <si>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</si>
  <si>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</si>
  <si>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</si>
  <si>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</si>
  <si>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</si>
  <si>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</si>
  <si>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</si>
  <si>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</si>
  <si>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</si>
  <si>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</si>
  <si>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</si>
  <si>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</si>
  <si>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</si>
  <si>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</si>
  <si>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</si>
  <si>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</si>
  <si>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</si>
  <si>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</si>
  <si>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</si>
  <si>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</si>
  <si>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</si>
  <si>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</si>
  <si>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</si>
  <si>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</si>
  <si>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</si>
  <si>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</si>
  <si>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</si>
  <si>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</si>
  <si>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</si>
  <si>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</si>
  <si>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</si>
  <si>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</si>
  <si>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</si>
  <si>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</si>
  <si>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</si>
  <si>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</si>
  <si>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</si>
  <si>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</si>
  <si>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</si>
  <si>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</si>
  <si>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</si>
  <si>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</si>
  <si>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</si>
  <si>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</si>
  <si>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</si>
  <si>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</si>
  <si>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</si>
  <si>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</si>
  <si>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</si>
  <si>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</si>
  <si>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</si>
  <si>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</si>
  <si>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</si>
  <si>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</si>
  <si>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</si>
  <si>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</si>
  <si>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</si>
  <si>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</si>
  <si>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</si>
  <si>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</si>
  <si>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</si>
  <si>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</si>
  <si>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</si>
  <si>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</si>
  <si>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</si>
  <si>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</si>
  <si>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</si>
  <si>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</si>
  <si>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</si>
  <si>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</si>
  <si>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</si>
  <si>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</si>
  <si>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</si>
  <si>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</si>
  <si>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</si>
  <si>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</si>
  <si>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</si>
  <si>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</si>
  <si>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</si>
  <si>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</si>
  <si>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</si>
  <si>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</si>
  <si>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</si>
  <si>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</si>
  <si>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</si>
  <si>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</si>
  <si>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</si>
  <si>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</si>
  <si>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</si>
  <si>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</si>
  <si>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</si>
  <si>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</si>
  <si>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</si>
  <si>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</si>
  <si>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</si>
  <si>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</si>
  <si>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</si>
  <si>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</si>
  <si>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</si>
  <si>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</si>
  <si>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</si>
  <si>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</si>
  <si>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</si>
  <si>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</si>
  <si>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</si>
  <si>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</si>
  <si>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</si>
  <si>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</si>
  <si>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</si>
  <si>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</si>
  <si>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</si>
  <si>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</si>
  <si>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</si>
  <si>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</si>
  <si>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</si>
  <si>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</si>
  <si>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</si>
  <si>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</si>
  <si>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</si>
  <si>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</si>
  <si>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</si>
  <si>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</si>
  <si>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</si>
  <si>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</si>
  <si>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</si>
  <si>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</si>
  <si>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</si>
  <si>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</si>
  <si>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</si>
  <si>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</si>
  <si>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</si>
  <si>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</si>
  <si>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</si>
  <si>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</si>
  <si>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</si>
  <si>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</si>
  <si>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</si>
  <si>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</si>
  <si>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</si>
  <si>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</si>
  <si>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</si>
  <si>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</si>
  <si>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</si>
  <si>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</si>
  <si>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</si>
  <si>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</si>
  <si>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</si>
  <si>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</si>
  <si>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</si>
  <si>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</si>
  <si>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</si>
  <si>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</si>
  <si>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</si>
  <si>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</si>
  <si>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</si>
  <si>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</si>
  <si>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</si>
  <si>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</si>
  <si>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</si>
  <si>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</si>
  <si>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</si>
  <si>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</si>
  <si>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</si>
  <si>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</si>
  <si>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</si>
  <si>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</si>
  <si>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</si>
  <si>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</si>
  <si>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</si>
  <si>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</si>
  <si>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</si>
  <si>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</si>
  <si>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</si>
  <si>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</si>
  <si>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</si>
  <si>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</si>
  <si>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</si>
  <si>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</si>
  <si>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</si>
  <si>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</si>
  <si>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</si>
  <si>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</si>
  <si>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</si>
  <si>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</si>
  <si>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</si>
  <si>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</si>
  <si>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</si>
  <si>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</si>
  <si>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</si>
  <si>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</si>
  <si>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</si>
  <si>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</si>
  <si>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</si>
  <si>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</si>
  <si>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</si>
  <si>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</si>
  <si>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</si>
  <si>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</si>
  <si>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</si>
  <si>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</si>
  <si>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</si>
  <si>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</si>
  <si>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</si>
  <si>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</si>
  <si>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</si>
  <si>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</si>
  <si>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</si>
  <si>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</si>
  <si>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</si>
  <si>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</si>
  <si>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</si>
  <si>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</si>
  <si>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</si>
  <si>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</si>
  <si>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</si>
  <si>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</si>
  <si>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</si>
  <si>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</si>
  <si>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</si>
  <si>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</si>
  <si>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</si>
  <si>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</si>
  <si>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</si>
  <si>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</si>
  <si>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</si>
  <si>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</si>
  <si>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</si>
  <si>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</si>
  <si>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</si>
  <si>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</si>
  <si>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</si>
  <si>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</si>
  <si>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</si>
  <si>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</si>
  <si>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</si>
  <si>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</si>
  <si>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</si>
  <si>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</si>
  <si>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</si>
  <si>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</si>
  <si>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</si>
  <si>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</si>
  <si>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</si>
  <si>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</si>
  <si>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</si>
  <si>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</si>
  <si>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</si>
  <si>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</si>
  <si>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</si>
  <si>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</si>
  <si>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</si>
  <si>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</si>
  <si>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</si>
  <si>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</si>
  <si>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</si>
  <si>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</si>
  <si>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</si>
  <si>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</si>
  <si>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</si>
  <si>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</si>
  <si>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</si>
  <si>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</si>
  <si>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</si>
  <si>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</si>
  <si>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</si>
  <si>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</si>
  <si>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</si>
  <si>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</si>
  <si>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</si>
  <si>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</si>
  <si>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</si>
  <si>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</si>
  <si>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</si>
  <si>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</si>
  <si>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</si>
  <si>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</si>
  <si>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</si>
  <si>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</si>
  <si>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</si>
  <si>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</si>
  <si>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</si>
  <si>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</si>
  <si>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</si>
  <si>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</si>
  <si>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</si>
  <si>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</si>
  <si>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</si>
  <si>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</si>
  <si>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</si>
  <si>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</si>
  <si>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</si>
  <si>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</si>
  <si>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</si>
  <si>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</si>
  <si>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</si>
  <si>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</si>
  <si>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</si>
  <si>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</si>
  <si>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</si>
  <si>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</si>
  <si>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</si>
  <si>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</si>
  <si>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</si>
  <si>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</si>
  <si>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</si>
  <si>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</si>
  <si>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</si>
  <si>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</si>
  <si>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</si>
  <si>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</si>
  <si>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</si>
  <si>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</si>
  <si>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</si>
  <si>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</si>
  <si>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</si>
  <si>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</si>
  <si>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</si>
  <si>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</si>
  <si>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</si>
  <si>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</si>
  <si>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</si>
  <si>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</si>
  <si>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</si>
  <si>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</si>
  <si>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</si>
  <si>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</si>
  <si>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</si>
  <si>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</si>
  <si>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</si>
  <si>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</si>
  <si>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</si>
  <si>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</si>
  <si>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</si>
  <si>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</si>
  <si>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</si>
  <si>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</si>
  <si>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</si>
  <si>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</si>
  <si>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</si>
  <si>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</si>
  <si>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</si>
  <si>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</si>
  <si>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</si>
  <si>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</si>
  <si>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</si>
  <si>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</si>
  <si>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</si>
  <si>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</si>
  <si>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</si>
  <si>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</si>
  <si>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</si>
  <si>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</si>
  <si>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</si>
  <si>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</si>
  <si>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</si>
  <si>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</si>
  <si>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</si>
  <si>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</si>
  <si>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</si>
  <si>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</si>
  <si>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</si>
  <si>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</si>
  <si>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</si>
  <si>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</si>
  <si>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</si>
  <si>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</si>
  <si>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</si>
  <si>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</si>
  <si>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</si>
  <si>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</si>
  <si>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</si>
  <si>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</si>
  <si>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</si>
  <si>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</si>
  <si>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</si>
  <si>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</si>
  <si>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</si>
  <si>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</si>
  <si>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</si>
  <si>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</si>
  <si>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</si>
  <si>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</si>
  <si>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</si>
  <si>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</si>
  <si>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</si>
  <si>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</si>
  <si>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</si>
  <si>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</si>
  <si>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</si>
  <si>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</si>
  <si>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</si>
  <si>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</si>
  <si>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</si>
  <si>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</si>
  <si>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</si>
  <si>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</si>
  <si>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</si>
  <si>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</si>
  <si>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</si>
  <si>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</si>
  <si>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</si>
  <si>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</si>
  <si>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</si>
  <si>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</si>
  <si>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</si>
  <si>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</si>
  <si>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</si>
  <si>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</si>
  <si>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</si>
  <si>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</si>
  <si>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</si>
  <si>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</si>
  <si>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</si>
  <si>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</si>
  <si>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</si>
  <si>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</si>
  <si>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</si>
  <si>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</si>
  <si>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</si>
  <si>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</si>
  <si>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</si>
  <si>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</si>
  <si>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</si>
  <si>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</si>
  <si>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</si>
  <si>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</si>
  <si>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</si>
  <si>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</si>
  <si>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</si>
  <si>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</si>
  <si>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</si>
  <si>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</si>
  <si>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</si>
  <si>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</si>
  <si>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</si>
  <si>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</si>
  <si>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</si>
  <si>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</si>
  <si>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</si>
  <si>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</si>
  <si>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</si>
  <si>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</si>
  <si>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</si>
  <si>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</si>
  <si>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</si>
  <si>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</si>
  <si>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</si>
  <si>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</si>
  <si>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</si>
  <si>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</si>
  <si>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</si>
  <si>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</si>
  <si>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</si>
  <si>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</si>
  <si>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</si>
  <si>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</si>
  <si>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</si>
  <si>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</si>
  <si>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</si>
  <si>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</si>
  <si>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</si>
  <si>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</si>
  <si>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</si>
  <si>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</si>
  <si>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</si>
  <si>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</si>
  <si>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</si>
  <si>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</si>
  <si>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</si>
  <si>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</si>
  <si>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</si>
  <si>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</si>
  <si>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</si>
  <si>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</si>
  <si>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</si>
  <si>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</si>
  <si>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</si>
  <si>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</si>
  <si>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</si>
  <si>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</si>
  <si>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</si>
  <si>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</si>
  <si>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</si>
  <si>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</si>
  <si>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</si>
  <si>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</si>
  <si>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</si>
  <si>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</si>
  <si>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</si>
  <si>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</si>
  <si>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</si>
  <si>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</si>
  <si>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</si>
  <si>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</si>
  <si>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</si>
  <si>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</si>
  <si>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</si>
  <si>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</si>
  <si>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</si>
  <si>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</si>
  <si>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</si>
  <si>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</si>
  <si>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</si>
  <si>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</si>
  <si>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</si>
  <si>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</si>
  <si>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</si>
  <si>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</si>
  <si>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</si>
  <si>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</si>
  <si>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</si>
  <si>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</si>
  <si>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</si>
  <si>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</si>
  <si>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</si>
  <si>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</si>
  <si>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</si>
  <si>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</si>
  <si>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</si>
  <si>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</si>
  <si>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</si>
  <si>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</si>
  <si>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</si>
  <si>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</si>
  <si>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</si>
  <si>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</si>
  <si>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</si>
  <si>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</si>
  <si>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</si>
  <si>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</si>
  <si>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</si>
  <si>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</si>
  <si>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</si>
  <si>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</si>
  <si>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</si>
  <si>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</si>
  <si>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</si>
  <si>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</si>
  <si>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</si>
  <si>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</si>
  <si>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</si>
  <si>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</si>
  <si>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</si>
  <si>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</si>
  <si>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</si>
  <si>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</si>
  <si>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</si>
  <si>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</si>
  <si>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</si>
  <si>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</si>
  <si>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</si>
  <si>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</si>
  <si>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</si>
  <si>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</si>
  <si>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</si>
  <si>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</si>
  <si>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</si>
  <si>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</si>
  <si>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</si>
  <si>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</si>
  <si>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</si>
  <si>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</si>
  <si>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</si>
  <si>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</si>
  <si>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</si>
  <si>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</si>
  <si>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</si>
  <si>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</si>
  <si>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</si>
  <si>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</si>
  <si>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</si>
  <si>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</si>
  <si>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</si>
  <si>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</si>
  <si>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</si>
  <si>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</si>
  <si>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</si>
  <si>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</si>
  <si>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</si>
  <si>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</si>
  <si>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</si>
  <si>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</si>
  <si>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</si>
  <si>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</si>
  <si>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</si>
  <si>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</si>
  <si>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</si>
  <si>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</si>
  <si>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</si>
  <si>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</si>
  <si>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</si>
  <si>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</si>
  <si>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</si>
  <si>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</si>
  <si>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</si>
  <si>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</si>
  <si>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</si>
  <si>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</si>
  <si>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</si>
  <si>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</si>
  <si>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</si>
  <si>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</si>
  <si>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</si>
  <si>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</si>
  <si>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</si>
  <si>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</si>
  <si>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</si>
  <si>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</si>
  <si>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</si>
  <si>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</si>
  <si>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</si>
  <si>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</si>
  <si>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</si>
  <si>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</si>
  <si>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</si>
  <si>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</si>
  <si>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</si>
  <si>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</si>
  <si>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</si>
  <si>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</si>
  <si>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</si>
  <si>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</si>
  <si>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</si>
  <si>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</si>
  <si>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</si>
  <si>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</si>
  <si>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</si>
  <si>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</si>
  <si>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</si>
  <si>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</si>
  <si>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</si>
  <si>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</si>
  <si>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</si>
  <si>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</si>
  <si>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</si>
  <si>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</si>
  <si>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</si>
  <si>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</si>
  <si>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</si>
  <si>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</si>
  <si>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</si>
  <si>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</si>
  <si>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</si>
  <si>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</si>
  <si>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</si>
  <si>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</si>
  <si>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</si>
  <si>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</si>
  <si>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</si>
  <si>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</si>
  <si>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</si>
  <si>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</si>
  <si>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</si>
  <si>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</si>
  <si>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</si>
  <si>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</si>
  <si>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</si>
  <si>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</si>
  <si>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</si>
  <si>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</si>
  <si>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</si>
  <si>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</si>
  <si>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</si>
  <si>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</si>
  <si>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</si>
  <si>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</si>
  <si>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</si>
  <si>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</si>
  <si>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</si>
  <si>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</si>
  <si>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</si>
  <si>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</si>
  <si>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</si>
  <si>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</si>
  <si>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</si>
  <si>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</si>
  <si>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</si>
  <si>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</si>
  <si>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</si>
  <si>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</si>
  <si>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</si>
  <si>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</si>
  <si>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</si>
  <si>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</si>
  <si>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</si>
  <si>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</si>
  <si>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</si>
  <si>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</si>
  <si>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</si>
  <si>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</si>
  <si>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</si>
  <si>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</si>
  <si>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</si>
  <si>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</si>
  <si>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</si>
  <si>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</si>
  <si>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</si>
  <si>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</si>
  <si>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</si>
  <si>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</si>
  <si>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</si>
  <si>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</si>
  <si>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</si>
  <si>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</si>
  <si>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</si>
  <si>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</si>
  <si>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</si>
  <si>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</si>
  <si>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</si>
  <si>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</si>
  <si>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</si>
  <si>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</si>
  <si>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</si>
  <si>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</si>
  <si>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</si>
  <si>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</si>
  <si>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</si>
  <si>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</si>
  <si>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</si>
  <si>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</si>
  <si>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</si>
  <si>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</si>
  <si>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</si>
  <si>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</si>
  <si>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</si>
  <si>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</si>
  <si>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</si>
  <si>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</si>
  <si>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</si>
  <si>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</si>
  <si>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</si>
  <si>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</si>
  <si>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</si>
  <si>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</si>
  <si>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</si>
  <si>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</si>
  <si>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</si>
  <si>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</si>
  <si>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</si>
  <si>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</si>
  <si>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</si>
  <si>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</si>
  <si>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</si>
  <si>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</si>
  <si>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</si>
  <si>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</si>
  <si>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</si>
  <si>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</si>
  <si>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</si>
  <si>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</si>
  <si>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</si>
  <si>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</si>
  <si>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</si>
  <si>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</si>
  <si>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</si>
  <si>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</si>
  <si>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</si>
  <si>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</si>
  <si>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</si>
  <si>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</si>
  <si>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</si>
  <si>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</si>
  <si>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</si>
  <si>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</si>
  <si>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</si>
  <si>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</si>
  <si>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</si>
  <si>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</si>
  <si>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</si>
  <si>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</si>
  <si>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</si>
  <si>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</si>
  <si>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</si>
  <si>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</si>
  <si>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</si>
  <si>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</si>
  <si>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</si>
  <si>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</si>
  <si>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</si>
  <si>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</si>
  <si>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</si>
  <si>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</si>
  <si>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</si>
  <si>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</si>
  <si>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</si>
  <si>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</si>
  <si>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</si>
  <si>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</si>
  <si>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</si>
  <si>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</si>
  <si>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</si>
  <si>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</si>
  <si>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</si>
  <si>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</si>
  <si>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</si>
  <si>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</si>
  <si>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</si>
  <si>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</si>
  <si>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</si>
  <si>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</si>
  <si>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</si>
  <si>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</si>
  <si>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</si>
  <si>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</si>
  <si>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</si>
  <si>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</si>
  <si>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</si>
  <si>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</si>
  <si>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</si>
  <si>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</si>
  <si>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</si>
  <si>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</si>
  <si>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</si>
  <si>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</si>
  <si>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</si>
  <si>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</si>
  <si>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</si>
  <si>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</si>
  <si>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</si>
  <si>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</si>
  <si>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</si>
  <si>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</si>
  <si>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</si>
  <si>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</si>
  <si>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</si>
  <si>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</si>
  <si>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</si>
  <si>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</si>
  <si>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</si>
  <si>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</si>
  <si>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</si>
  <si>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</si>
  <si>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</si>
  <si>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</si>
  <si>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</si>
  <si>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</si>
  <si>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</si>
  <si>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</si>
  <si>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</si>
  <si>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</si>
  <si>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</si>
  <si>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</si>
  <si>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</si>
  <si>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</si>
  <si>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</si>
  <si>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</si>
  <si>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</si>
  <si>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</si>
  <si>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</si>
  <si>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</si>
  <si>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</si>
  <si>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</si>
  <si>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</si>
  <si>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</si>
  <si>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</si>
  <si>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</si>
  <si>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</si>
  <si>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</si>
  <si>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</si>
  <si>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</si>
  <si>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</si>
  <si>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</si>
  <si>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</si>
  <si>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</si>
  <si>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</si>
  <si>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</si>
  <si>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</si>
  <si>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</si>
  <si>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</si>
  <si>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</si>
  <si>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</si>
  <si>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</si>
  <si>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</si>
  <si>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</si>
  <si>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</si>
  <si>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</si>
  <si>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</si>
  <si>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</si>
  <si>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</si>
  <si>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</si>
  <si>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</si>
  <si>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</si>
  <si>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</si>
  <si>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</si>
  <si>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</si>
  <si>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</si>
  <si>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</si>
  <si>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</si>
  <si>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</si>
  <si>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</si>
  <si>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</si>
  <si>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</si>
  <si>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</si>
  <si>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</si>
  <si>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</si>
  <si>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</si>
  <si>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</si>
  <si>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</si>
  <si>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</si>
  <si>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</si>
  <si>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</si>
  <si>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</si>
  <si>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</si>
  <si>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</si>
  <si>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</si>
  <si>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</si>
  <si>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</si>
  <si>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</si>
  <si>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</si>
  <si>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</si>
  <si>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</si>
  <si>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</si>
  <si>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</si>
  <si>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</si>
  <si>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</si>
  <si>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</si>
  <si>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</si>
  <si>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</si>
  <si>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</si>
  <si>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</si>
  <si>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</si>
  <si>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</si>
  <si>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</si>
  <si>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</si>
  <si>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</si>
  <si>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</si>
  <si>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</si>
  <si>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</si>
  <si>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</si>
  <si>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</si>
  <si>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</si>
  <si>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</si>
  <si>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</si>
  <si>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</si>
  <si>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</si>
  <si>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</si>
  <si>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</si>
  <si>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</si>
  <si>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</si>
  <si>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</si>
  <si>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</si>
  <si>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</si>
  <si>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</si>
  <si>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</si>
  <si>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</si>
  <si>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</si>
  <si>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</si>
  <si>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</si>
  <si>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</si>
  <si>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</si>
  <si>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</si>
  <si>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</si>
  <si>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</si>
  <si>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</si>
  <si>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</si>
  <si>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</si>
  <si>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</si>
  <si>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</si>
  <si>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</si>
  <si>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</si>
  <si>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</si>
  <si>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</si>
  <si>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</si>
  <si>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</si>
  <si>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</si>
  <si>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</si>
  <si>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</si>
  <si>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</si>
  <si>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</si>
  <si>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</si>
  <si>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</si>
  <si>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</si>
  <si>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</si>
  <si>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</si>
  <si>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</si>
  <si>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</si>
  <si>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</si>
  <si>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</si>
  <si>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</si>
  <si>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</si>
  <si>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</si>
  <si>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</si>
  <si>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</si>
  <si>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</si>
  <si>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</si>
  <si>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</si>
  <si>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</si>
  <si>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</si>
  <si>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</si>
  <si>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</si>
  <si>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</si>
  <si>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</si>
  <si>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</si>
  <si>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</si>
  <si>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</si>
  <si>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</si>
  <si>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</si>
  <si>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</si>
  <si>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</si>
  <si>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</si>
  <si>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</si>
  <si>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</si>
  <si>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</si>
  <si>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</si>
  <si>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</si>
  <si>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</si>
  <si>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</si>
  <si>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</si>
  <si>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</si>
  <si>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</si>
  <si>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</si>
  <si>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</si>
  <si>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</si>
  <si>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</si>
  <si>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</si>
  <si>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</si>
  <si>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</si>
  <si>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</si>
  <si>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</si>
  <si>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</si>
  <si>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</si>
  <si>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</si>
  <si>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</si>
  <si>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</si>
  <si>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</si>
  <si>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</si>
  <si>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</si>
  <si>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</si>
  <si>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</si>
  <si>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</si>
  <si>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</si>
  <si>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</si>
  <si>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</si>
  <si>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</si>
  <si>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</si>
  <si>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</si>
  <si>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</si>
  <si>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</si>
  <si>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</si>
  <si>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</si>
  <si>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</si>
  <si>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</si>
  <si>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</si>
  <si>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</si>
  <si>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</si>
  <si>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</si>
  <si>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</si>
  <si>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</si>
  <si>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</si>
  <si>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</si>
  <si>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</si>
  <si>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</si>
  <si>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</si>
  <si>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</si>
  <si>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</si>
  <si>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</si>
  <si>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</si>
  <si>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</si>
  <si>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</si>
  <si>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</si>
  <si>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</si>
  <si>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</si>
  <si>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</si>
  <si>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</si>
  <si>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</si>
  <si>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</si>
  <si>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</si>
  <si>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</si>
  <si>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</si>
  <si>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</si>
  <si>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</si>
  <si>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</si>
  <si>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</si>
  <si>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</si>
  <si>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</si>
  <si>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</si>
  <si>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</si>
  <si>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</si>
  <si>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</si>
  <si>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</si>
  <si>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</si>
  <si>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</si>
  <si>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</si>
  <si>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</si>
  <si>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</si>
  <si>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</si>
  <si>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</si>
  <si>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</si>
  <si>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</si>
  <si>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</si>
  <si>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</si>
  <si>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</si>
  <si>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</si>
  <si>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</si>
  <si>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</si>
  <si>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</si>
  <si>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</si>
  <si>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</si>
  <si>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</si>
  <si>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</si>
  <si>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</si>
  <si>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</si>
  <si>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</si>
  <si>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</si>
  <si>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</si>
  <si>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</si>
  <si>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</si>
  <si>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</si>
  <si>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</si>
  <si>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</si>
  <si>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</si>
  <si>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</si>
  <si>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</si>
  <si>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</si>
  <si>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</si>
  <si>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</si>
  <si>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</si>
  <si>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</si>
  <si>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</si>
  <si>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</si>
  <si>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</si>
  <si>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</si>
  <si>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</si>
  <si>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</si>
  <si>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</si>
  <si>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</si>
  <si>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</si>
  <si>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</si>
  <si>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</si>
  <si>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</si>
  <si>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</si>
  <si>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</si>
  <si>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</si>
  <si>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</si>
  <si>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</si>
  <si>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</si>
  <si>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</si>
  <si>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</si>
  <si>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</si>
  <si>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</si>
  <si>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</si>
  <si>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</si>
  <si>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</si>
  <si>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</si>
  <si>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</si>
  <si>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</si>
  <si>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</si>
  <si>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</si>
  <si>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</si>
  <si>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</si>
  <si>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</si>
  <si>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</si>
  <si>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</si>
  <si>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</si>
  <si>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</si>
  <si>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</si>
  <si>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</si>
  <si>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</si>
  <si>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</si>
  <si>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</si>
  <si>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</si>
  <si>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</si>
  <si>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</si>
  <si>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</si>
  <si>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</si>
  <si>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</si>
  <si>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</si>
  <si>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</si>
  <si>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</si>
  <si>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</si>
  <si>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</si>
  <si>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</si>
  <si>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</si>
  <si>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</si>
  <si>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</si>
  <si>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</si>
  <si>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</si>
  <si>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</si>
  <si>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</si>
  <si>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</si>
  <si>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</si>
  <si>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</si>
  <si>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</si>
  <si>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</si>
  <si>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</si>
  <si>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</si>
  <si>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</si>
  <si>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</si>
  <si>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</si>
  <si>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</si>
  <si>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</si>
  <si>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</si>
  <si>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</si>
  <si>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</si>
  <si>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</si>
  <si>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</si>
  <si>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</si>
  <si>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</si>
  <si>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</si>
  <si>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</si>
  <si>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</si>
  <si>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</si>
  <si>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</si>
  <si>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</si>
  <si>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</si>
  <si>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</si>
  <si>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</si>
  <si>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</si>
  <si>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</si>
  <si>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</si>
  <si>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</si>
  <si>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</si>
  <si>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</si>
  <si>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</si>
  <si>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</si>
  <si>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</si>
  <si>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</si>
  <si>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</si>
  <si>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</si>
  <si>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</si>
  <si>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</si>
  <si>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</si>
  <si>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</si>
  <si>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</si>
  <si>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</si>
  <si>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</si>
  <si>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</si>
  <si>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</si>
  <si>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</si>
  <si>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</si>
  <si>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</si>
  <si>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</si>
  <si>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</si>
  <si>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</si>
  <si>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</si>
  <si>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</si>
  <si>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</si>
  <si>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</si>
  <si>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</si>
  <si>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</si>
  <si>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</si>
  <si>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</si>
  <si>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</si>
  <si>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</si>
  <si>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</si>
  <si>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</si>
  <si>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</si>
  <si>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</si>
  <si>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</si>
  <si>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</si>
  <si>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</si>
  <si>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</si>
  <si>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</si>
  <si>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</si>
  <si>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</si>
  <si>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</si>
  <si>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</si>
  <si>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</si>
  <si>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</si>
  <si>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</si>
  <si>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</si>
  <si>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</si>
  <si>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</si>
  <si>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</si>
  <si>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</si>
  <si>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</si>
  <si>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</si>
  <si>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</si>
  <si>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</si>
  <si>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</si>
  <si>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</si>
  <si>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</si>
  <si>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</si>
  <si>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</si>
  <si>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</si>
  <si>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</si>
  <si>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</si>
  <si>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</si>
  <si>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</si>
  <si>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</si>
  <si>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</si>
  <si>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</si>
  <si>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</si>
  <si>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</si>
  <si>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</si>
  <si>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</si>
  <si>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</si>
  <si>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</si>
  <si>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</si>
  <si>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</si>
  <si>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</si>
  <si>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</si>
  <si>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</si>
  <si>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</si>
  <si>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</si>
  <si>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</si>
  <si>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</si>
  <si>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</si>
  <si>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</si>
  <si>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</si>
  <si>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</si>
  <si>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</si>
  <si>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</si>
  <si>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</si>
  <si>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</si>
  <si>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</si>
  <si>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</si>
  <si>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</si>
  <si>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</si>
  <si>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</si>
  <si>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</si>
  <si>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</si>
  <si>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</si>
  <si>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</si>
  <si>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</si>
  <si>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</si>
  <si>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</si>
  <si>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</si>
  <si>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</si>
  <si>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</si>
  <si>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</si>
  <si>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</si>
  <si>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</si>
  <si>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</si>
  <si>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</si>
  <si>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</si>
  <si>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</si>
  <si>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</si>
  <si>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</si>
  <si>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</si>
  <si>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</si>
  <si>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</si>
  <si>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</si>
  <si>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</si>
  <si>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</si>
  <si>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</si>
  <si>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</si>
  <si>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</si>
  <si>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</si>
  <si>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</si>
  <si>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</si>
  <si>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</si>
  <si>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</si>
  <si>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</si>
  <si>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</si>
  <si>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</si>
  <si>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</si>
  <si>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</si>
  <si>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</si>
  <si>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</si>
  <si>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</si>
  <si>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</si>
  <si>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</si>
  <si>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</si>
  <si>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</si>
  <si>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</si>
  <si>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</si>
  <si>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</si>
  <si>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</si>
  <si>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</si>
  <si>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</si>
  <si>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</si>
  <si>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</si>
  <si>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</si>
  <si>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</si>
  <si>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</si>
  <si>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</si>
  <si>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</si>
  <si>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</si>
  <si>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</si>
  <si>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</si>
  <si>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</si>
  <si>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</si>
  <si>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</si>
  <si>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</si>
  <si>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</si>
  <si>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</si>
  <si>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</si>
  <si>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</si>
  <si>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</si>
  <si>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</si>
  <si>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</si>
  <si>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</si>
  <si>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</si>
  <si>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</si>
  <si>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</si>
  <si>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</si>
  <si>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</si>
  <si>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</si>
  <si>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</si>
  <si>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</si>
  <si>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</si>
  <si>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</si>
  <si>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</si>
  <si>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</si>
  <si>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</si>
  <si>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</si>
  <si>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</si>
  <si>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</si>
  <si>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</si>
  <si>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</si>
  <si>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</si>
  <si>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</si>
  <si>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</si>
  <si>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</si>
  <si>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</si>
  <si>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</si>
  <si>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</si>
  <si>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</si>
  <si>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</si>
  <si>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</si>
  <si>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</si>
  <si>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</si>
  <si>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</si>
  <si>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</si>
  <si>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</si>
  <si>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</si>
  <si>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</si>
  <si>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</si>
  <si>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</si>
  <si>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</si>
  <si>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</si>
  <si>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</si>
  <si>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</si>
  <si>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</si>
  <si>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</si>
  <si>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</si>
  <si>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</si>
  <si>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</si>
  <si>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</si>
  <si>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</si>
  <si>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</si>
  <si>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</si>
  <si>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</si>
  <si>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</si>
  <si>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</si>
  <si>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</si>
  <si>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</si>
  <si>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</si>
  <si>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</si>
  <si>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</si>
  <si>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</si>
  <si>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</si>
  <si>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</si>
  <si>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</si>
  <si>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</si>
  <si>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</si>
  <si>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</si>
  <si>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</si>
  <si>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</si>
  <si>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</si>
  <si>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</si>
  <si>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</si>
  <si>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</si>
  <si>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</si>
  <si>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</si>
  <si>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</si>
  <si>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</si>
  <si>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</si>
  <si>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</si>
  <si>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</si>
  <si>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</si>
  <si>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</si>
  <si>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</si>
  <si>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</si>
  <si>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</si>
  <si>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</si>
  <si>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</si>
  <si>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</si>
  <si>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</si>
  <si>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</si>
  <si>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</si>
  <si>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</si>
  <si>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</si>
  <si>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</si>
  <si>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</si>
  <si>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</si>
  <si>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</si>
  <si>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</si>
  <si>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</si>
  <si>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</si>
  <si>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</si>
  <si>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</si>
  <si>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</si>
  <si>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</si>
  <si>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</si>
  <si>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</si>
  <si>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</si>
  <si>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</si>
  <si>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</si>
  <si>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</si>
  <si>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</si>
  <si>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</si>
  <si>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</si>
  <si>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</si>
  <si>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</si>
  <si>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</si>
  <si>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</si>
  <si>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</si>
  <si>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</si>
  <si>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</si>
  <si>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</si>
  <si>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</si>
  <si>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</si>
  <si>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</si>
  <si>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</si>
  <si>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</si>
  <si>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</si>
  <si>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</si>
  <si>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</si>
  <si>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</si>
  <si>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</si>
  <si>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</si>
  <si>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</si>
  <si>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</si>
  <si>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</si>
  <si>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</si>
  <si>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</si>
  <si>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</si>
  <si>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</si>
  <si>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</si>
  <si>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</si>
  <si>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</si>
  <si>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</si>
  <si>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</si>
  <si>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</si>
  <si>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</si>
  <si>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</si>
  <si>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</si>
  <si>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</si>
  <si>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</si>
  <si>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</si>
  <si>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</si>
  <si>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</si>
  <si>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</si>
  <si>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</si>
  <si>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</si>
  <si>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</si>
  <si>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</si>
  <si>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</si>
  <si>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</si>
  <si>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</si>
  <si>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</si>
  <si>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</si>
  <si>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</si>
  <si>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</si>
  <si>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</si>
  <si>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</si>
  <si>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</si>
  <si>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</si>
  <si>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</si>
  <si>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</si>
  <si>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</si>
  <si>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</si>
  <si>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</si>
  <si>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</si>
  <si>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</si>
  <si>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</si>
  <si>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</si>
  <si>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</si>
  <si>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</si>
  <si>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</si>
  <si>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</si>
  <si>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</si>
  <si>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</si>
  <si>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</si>
  <si>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</si>
  <si>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</si>
  <si>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</si>
  <si>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</si>
  <si>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</si>
  <si>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</si>
  <si>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</si>
  <si>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</si>
  <si>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</si>
  <si>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</si>
  <si>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</si>
  <si>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</si>
  <si>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</si>
  <si>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</si>
  <si>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</si>
  <si>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</si>
  <si>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</si>
  <si>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</si>
  <si>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</si>
  <si>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</si>
  <si>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</si>
  <si>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</si>
  <si>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</si>
  <si>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</si>
  <si>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</si>
  <si>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</si>
  <si>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</si>
  <si>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</si>
  <si>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</si>
  <si>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</si>
  <si>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</si>
  <si>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</si>
  <si>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</si>
  <si>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</si>
  <si>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</si>
  <si>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</si>
  <si>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</si>
  <si>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</si>
  <si>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</si>
  <si>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</si>
  <si>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</si>
  <si>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</si>
  <si>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</si>
  <si>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</si>
  <si>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</si>
  <si>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</si>
  <si>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</si>
  <si>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</si>
  <si>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</si>
  <si>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</si>
  <si>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</si>
  <si>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</si>
  <si>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</si>
  <si>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</si>
  <si>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</si>
  <si>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</si>
  <si>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</si>
  <si>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</si>
  <si>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</si>
  <si>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</si>
  <si>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</si>
  <si>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</si>
  <si>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</si>
  <si>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</si>
  <si>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</si>
  <si>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</si>
  <si>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</si>
  <si>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</si>
  <si>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</si>
  <si>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</si>
  <si>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</si>
  <si>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</si>
  <si>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</si>
  <si>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</si>
  <si>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</si>
  <si>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</si>
  <si>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</si>
  <si>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</si>
  <si>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</si>
  <si>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</si>
  <si>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</si>
  <si>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</si>
  <si>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</si>
  <si>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</si>
  <si>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</si>
  <si>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</si>
  <si>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</si>
  <si>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</si>
  <si>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</si>
  <si>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</si>
  <si>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</si>
  <si>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</si>
  <si>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</si>
  <si>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</si>
  <si>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</si>
  <si>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</si>
  <si>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</si>
  <si>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</si>
  <si>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</si>
  <si>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</si>
  <si>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</si>
  <si>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</si>
  <si>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</si>
  <si>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</si>
  <si>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</si>
  <si>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</si>
  <si>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</si>
  <si>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</si>
  <si>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</si>
  <si>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</si>
  <si>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</si>
  <si>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</si>
  <si>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</si>
  <si>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</si>
  <si>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</si>
  <si>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</si>
  <si>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</si>
  <si>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</si>
  <si>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</si>
  <si>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</si>
  <si>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</si>
  <si>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</si>
  <si>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</si>
  <si>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</si>
  <si>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</si>
  <si>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</si>
  <si>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</si>
  <si>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</si>
  <si>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</si>
  <si>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</si>
  <si>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</si>
  <si>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</si>
  <si>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</si>
  <si>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</si>
  <si>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</si>
  <si>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</si>
  <si>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</si>
  <si>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</si>
  <si>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</si>
  <si>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</si>
  <si>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</si>
  <si>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</si>
  <si>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</si>
  <si>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</si>
  <si>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</si>
  <si>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</si>
  <si>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</si>
  <si>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</si>
  <si>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</si>
  <si>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</si>
  <si>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</si>
  <si>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</si>
  <si>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</si>
  <si>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</si>
  <si>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</si>
  <si>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</si>
  <si>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</si>
  <si>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</si>
  <si>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</si>
  <si>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</si>
  <si>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</si>
  <si>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</si>
  <si>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</si>
  <si>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</si>
  <si>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</si>
  <si>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</si>
  <si>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</si>
  <si>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</si>
  <si>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</si>
  <si>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</si>
  <si>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</si>
  <si>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</si>
  <si>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</si>
  <si>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</si>
  <si>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</si>
  <si>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</si>
  <si>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</si>
  <si>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</si>
  <si>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</si>
  <si>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</si>
  <si>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</si>
  <si>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</si>
  <si>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</si>
  <si>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</si>
  <si>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</si>
  <si>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</si>
  <si>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</si>
  <si>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</si>
  <si>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</si>
  <si>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</si>
  <si>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</si>
  <si>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</si>
  <si>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</si>
  <si>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</si>
  <si>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</si>
  <si>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</si>
  <si>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</si>
  <si>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</si>
  <si>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</si>
  <si>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</si>
  <si>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</si>
  <si>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</si>
  <si>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</si>
  <si>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</si>
  <si>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</si>
  <si>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</si>
  <si>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</si>
  <si>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</si>
  <si>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</si>
  <si>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</si>
  <si>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</si>
  <si>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</si>
  <si>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</si>
  <si>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</si>
  <si>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</si>
  <si>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</si>
  <si>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</si>
  <si>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</si>
  <si>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</si>
  <si>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</si>
  <si>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</si>
  <si>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</si>
  <si>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</si>
  <si>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</si>
  <si>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</si>
  <si>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</si>
  <si>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</si>
  <si>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</si>
  <si>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</si>
  <si>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</si>
  <si>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</si>
  <si>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</si>
  <si>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</si>
  <si>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</si>
  <si>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</si>
  <si>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</si>
  <si>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</si>
  <si>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</si>
  <si>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</si>
  <si>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</si>
  <si>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</si>
  <si>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</si>
  <si>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</si>
  <si>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</si>
  <si>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</si>
  <si>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</si>
  <si>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</si>
  <si>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</si>
  <si>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</si>
  <si>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</si>
  <si>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</si>
  <si>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</si>
  <si>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</si>
  <si>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</si>
  <si>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</si>
  <si>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</si>
  <si>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</si>
  <si>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</si>
  <si>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</si>
  <si>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</si>
  <si>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</si>
  <si>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</si>
  <si>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</si>
  <si>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</si>
  <si>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</si>
  <si>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</si>
  <si>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</si>
  <si>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</si>
  <si>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</si>
  <si>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</si>
  <si>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</si>
  <si>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</si>
  <si>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</si>
  <si>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</si>
  <si>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</si>
  <si>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</si>
  <si>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</si>
  <si>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</si>
  <si>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</si>
  <si>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</si>
  <si>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</si>
  <si>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</si>
  <si>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</si>
  <si>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</si>
  <si>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</si>
  <si>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</si>
  <si>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</si>
  <si>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</si>
  <si>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</si>
  <si>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</si>
  <si>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</si>
  <si>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</si>
  <si>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</si>
  <si>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</si>
  <si>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</si>
  <si>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</si>
  <si>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</si>
  <si>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</si>
  <si>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</si>
  <si>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</si>
  <si>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</si>
  <si>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</si>
  <si>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</si>
  <si>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</si>
  <si>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</si>
  <si>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</si>
  <si>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</si>
  <si>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</si>
  <si>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</si>
  <si>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</si>
  <si>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</si>
  <si>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</si>
  <si>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</si>
  <si>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</si>
  <si>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</si>
  <si>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</si>
  <si>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</si>
  <si>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</si>
  <si>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</si>
  <si>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</si>
  <si>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</si>
  <si>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</si>
  <si>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</si>
  <si>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</si>
  <si>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</si>
  <si>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</si>
  <si>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</si>
  <si>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</si>
  <si>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</si>
  <si>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</si>
  <si>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</si>
  <si>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</si>
  <si>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</si>
  <si>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</si>
  <si>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</si>
  <si>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</si>
  <si>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</si>
  <si>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</si>
  <si>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</si>
  <si>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</si>
  <si>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</si>
  <si>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</si>
  <si>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</si>
  <si>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</si>
  <si>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</si>
  <si>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</si>
  <si>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</si>
  <si>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</si>
  <si>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</si>
  <si>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</si>
  <si>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</si>
  <si>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</si>
  <si>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</si>
  <si>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</si>
  <si>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</si>
  <si>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</si>
  <si>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</si>
  <si>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</si>
  <si>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</si>
  <si>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</si>
  <si>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</si>
  <si>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</si>
  <si>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</si>
  <si>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</si>
  <si>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</si>
  <si>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</si>
  <si>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</si>
  <si>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</si>
  <si>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</si>
  <si>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</si>
  <si>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</si>
  <si>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</si>
  <si>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</si>
  <si>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</si>
  <si>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</si>
  <si>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</si>
  <si>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</si>
  <si>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</si>
  <si>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</si>
  <si>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</si>
  <si>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</si>
  <si>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</si>
  <si>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</si>
  <si>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</si>
  <si>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</si>
  <si>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</si>
  <si>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</si>
  <si>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</si>
  <si>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</si>
  <si>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</si>
  <si>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</si>
  <si>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</si>
  <si>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</si>
  <si>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</si>
  <si>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</si>
  <si>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</si>
  <si>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</si>
  <si>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</si>
  <si>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</si>
  <si>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</si>
  <si>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</si>
  <si>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</si>
  <si>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</si>
  <si>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</si>
  <si>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</si>
  <si>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</si>
  <si>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</si>
  <si>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</si>
  <si>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</si>
  <si>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</si>
  <si>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</si>
  <si>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</si>
  <si>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</si>
  <si>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</si>
  <si>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</si>
  <si>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</si>
  <si>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</si>
  <si>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</si>
  <si>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</si>
  <si>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</si>
  <si>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</si>
  <si>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</si>
  <si>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</si>
  <si>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</si>
  <si>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</si>
  <si>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</si>
  <si>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</si>
  <si>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</si>
  <si>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</si>
  <si>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</si>
  <si>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</si>
  <si>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</si>
  <si>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</si>
  <si>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</si>
  <si>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</si>
  <si>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</si>
  <si>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</si>
  <si>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</si>
  <si>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</si>
  <si>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</si>
  <si>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</si>
  <si>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</si>
  <si>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</si>
  <si>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</si>
  <si>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</si>
  <si>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</si>
  <si>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</si>
  <si>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</si>
  <si>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</si>
  <si>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</si>
  <si>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</si>
  <si>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</si>
  <si>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</si>
  <si>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</si>
  <si>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</si>
  <si>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</si>
  <si>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</si>
  <si>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</si>
  <si>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</si>
  <si>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</si>
  <si>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</si>
  <si>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</si>
  <si>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</si>
  <si>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</si>
  <si>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</si>
  <si>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</si>
  <si>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</si>
  <si>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</si>
  <si>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</si>
  <si>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</si>
  <si>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</si>
  <si>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</si>
  <si>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</si>
  <si>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</si>
  <si>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</si>
  <si>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</si>
  <si>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</si>
  <si>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</si>
  <si>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</si>
  <si>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</si>
  <si>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</si>
  <si>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</si>
  <si>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</si>
  <si>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</si>
  <si>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</si>
  <si>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</si>
  <si>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</si>
  <si>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</si>
  <si>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</si>
  <si>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</si>
  <si>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</si>
  <si>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</si>
  <si>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</si>
  <si>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</si>
  <si>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</si>
  <si>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</si>
  <si>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</si>
  <si>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</si>
  <si>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</si>
  <si>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</si>
  <si>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</si>
  <si>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</si>
  <si>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</si>
  <si>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</si>
  <si>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</si>
  <si>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</si>
  <si>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</si>
  <si>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</si>
  <si>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</si>
  <si>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</si>
  <si>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</si>
  <si>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</si>
  <si>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</si>
  <si>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</si>
  <si>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</si>
  <si>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</si>
  <si>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</si>
  <si>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</si>
  <si>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</si>
  <si>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</si>
  <si>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</si>
  <si>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</si>
  <si>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</si>
  <si>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</si>
  <si>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</si>
  <si>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</si>
  <si>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</si>
  <si>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</si>
  <si>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</si>
  <si>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</si>
  <si>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</si>
  <si>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</si>
  <si>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</si>
  <si>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</si>
  <si>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</si>
  <si>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</si>
  <si>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</si>
  <si>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</si>
  <si>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</si>
  <si>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</si>
  <si>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</si>
  <si>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</si>
  <si>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</si>
  <si>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</si>
  <si>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</si>
  <si>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</si>
  <si>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</si>
  <si>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</si>
  <si>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</si>
  <si>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</si>
  <si>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</si>
  <si>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</si>
  <si>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</si>
  <si>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</si>
  <si>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</si>
  <si>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</si>
  <si>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</si>
  <si>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</si>
  <si>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</si>
  <si>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</si>
  <si>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</si>
  <si>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</si>
  <si>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</si>
  <si>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</si>
  <si>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</si>
  <si>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</si>
  <si>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</si>
  <si>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</si>
  <si>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</si>
  <si>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</si>
  <si>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</si>
  <si>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</si>
  <si>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</si>
  <si>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</si>
  <si>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</si>
  <si>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</si>
  <si>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</si>
  <si>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</si>
  <si>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</si>
  <si>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</si>
  <si>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</si>
  <si>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</si>
  <si>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</si>
  <si>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</si>
  <si>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</si>
  <si>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</si>
  <si>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</si>
  <si>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</si>
  <si>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</si>
  <si>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</si>
  <si>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</si>
  <si>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</si>
  <si>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</si>
  <si>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</si>
  <si>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</si>
  <si>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</si>
  <si>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</si>
  <si>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</si>
  <si>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</si>
  <si>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</si>
  <si>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</si>
  <si>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</si>
  <si>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</si>
  <si>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</si>
  <si>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</si>
  <si>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</si>
  <si>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</si>
  <si>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</si>
  <si>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</si>
  <si>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</si>
  <si>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</si>
  <si>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</si>
  <si>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</si>
  <si>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</si>
  <si>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</si>
  <si>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</si>
  <si>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</si>
  <si>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</si>
  <si>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</si>
  <si>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</si>
  <si>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</si>
  <si>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</si>
  <si>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</si>
  <si>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</si>
  <si>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</si>
  <si>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</si>
  <si>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</si>
  <si>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</si>
  <si>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</si>
  <si>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</si>
  <si>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</si>
  <si>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</si>
  <si>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</si>
  <si>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</si>
  <si>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</si>
  <si>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</si>
  <si>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</si>
  <si>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</si>
  <si>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</si>
  <si>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</si>
  <si>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</si>
  <si>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</si>
  <si>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</si>
  <si>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</si>
  <si>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</si>
  <si>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</si>
  <si>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</si>
  <si>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</si>
  <si>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</si>
  <si>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</si>
  <si>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</si>
  <si>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</si>
  <si>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</si>
  <si>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</si>
  <si>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</si>
  <si>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</si>
  <si>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</si>
  <si>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</si>
  <si>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</si>
  <si>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</si>
  <si>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</si>
  <si>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</si>
  <si>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</si>
  <si>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</si>
  <si>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</si>
  <si>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</si>
  <si>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</si>
  <si>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</si>
  <si>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</si>
  <si>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</si>
  <si>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</si>
  <si>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</si>
  <si>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</si>
  <si>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</si>
  <si>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</si>
  <si>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</si>
  <si>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</si>
  <si>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</si>
  <si>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</si>
  <si>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</si>
  <si>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</si>
  <si>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</si>
  <si>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</si>
  <si>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</si>
  <si>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</si>
  <si>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</si>
  <si>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</si>
  <si>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</si>
  <si>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</si>
  <si>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</si>
  <si>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</si>
  <si>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</si>
  <si>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</si>
  <si>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</si>
  <si>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</si>
  <si>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</si>
  <si>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</si>
  <si>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</si>
  <si>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</si>
  <si>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</si>
  <si>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</si>
  <si>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</si>
  <si>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</si>
  <si>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</si>
  <si>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</si>
  <si>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</si>
  <si>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</si>
  <si>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</si>
  <si>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</si>
  <si>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</si>
  <si>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</si>
  <si>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</si>
  <si>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</si>
  <si>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</si>
  <si>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</si>
  <si>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</si>
  <si>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</si>
  <si>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</si>
  <si>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</si>
  <si>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</si>
  <si>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</si>
  <si>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</si>
  <si>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</si>
  <si>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</si>
  <si>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</si>
  <si>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</si>
  <si>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</si>
  <si>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</si>
  <si>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</si>
  <si>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</si>
  <si>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</si>
  <si>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</si>
  <si>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</si>
  <si>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</si>
  <si>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</si>
  <si>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</si>
  <si>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</si>
  <si>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</si>
  <si>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</si>
  <si>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</si>
  <si>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</si>
  <si>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</si>
  <si>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</si>
  <si>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</si>
  <si>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</si>
  <si>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</si>
  <si>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</si>
  <si>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</si>
  <si>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</si>
  <si>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</si>
  <si>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</si>
  <si>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</si>
  <si>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</si>
  <si>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</si>
  <si>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</si>
  <si>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</si>
  <si>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</si>
  <si>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</si>
  <si>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</si>
  <si>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</si>
  <si>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</si>
  <si>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</si>
  <si>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</si>
  <si>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</si>
  <si>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</si>
  <si>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</si>
  <si>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</si>
  <si>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</si>
  <si>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</si>
  <si>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</si>
  <si>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</si>
  <si>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</si>
  <si>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</si>
  <si>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</si>
  <si>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</si>
  <si>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</si>
  <si>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</si>
  <si>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</si>
  <si>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</si>
  <si>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</si>
  <si>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</si>
  <si>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</si>
  <si>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</si>
  <si>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</si>
  <si>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</si>
  <si>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</si>
  <si>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</si>
  <si>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</si>
  <si>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</si>
  <si>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</si>
  <si>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</si>
  <si>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</si>
  <si>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</si>
  <si>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</si>
  <si>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</si>
  <si>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</si>
  <si>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</si>
  <si>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</si>
  <si>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</si>
  <si>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</si>
  <si>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</si>
  <si>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</si>
  <si>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</si>
  <si>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</si>
  <si>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</si>
  <si>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</si>
  <si>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</si>
  <si>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</si>
  <si>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</si>
  <si>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</si>
  <si>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</si>
  <si>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</si>
  <si>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</si>
  <si>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</si>
  <si>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</si>
  <si>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</si>
  <si>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</si>
  <si>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</si>
  <si>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</si>
  <si>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</si>
  <si>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</si>
  <si>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</si>
  <si>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</si>
  <si>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</si>
  <si>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</si>
  <si>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</si>
  <si>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</si>
  <si>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</si>
  <si>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</si>
  <si>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</si>
  <si>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</si>
  <si>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</si>
  <si>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</si>
  <si>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</si>
  <si>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</si>
  <si>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</si>
  <si>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</si>
  <si>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</si>
  <si>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</si>
  <si>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</si>
  <si>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</si>
  <si>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</si>
  <si>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</si>
  <si>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</si>
  <si>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</si>
  <si>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</si>
  <si>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</si>
  <si>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</si>
  <si>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</si>
  <si>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</si>
  <si>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</si>
  <si>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</si>
  <si>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</si>
  <si>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</si>
  <si>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</si>
  <si>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</si>
  <si>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</si>
  <si>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</si>
  <si>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</si>
  <si>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</si>
  <si>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</si>
  <si>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</si>
  <si>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</si>
  <si>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</si>
  <si>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</si>
  <si>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</si>
  <si>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</si>
  <si>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</si>
  <si>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</si>
  <si>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</si>
  <si>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</si>
  <si>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</si>
  <si>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</si>
  <si>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</si>
  <si>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</si>
  <si>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</si>
  <si>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</si>
  <si>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</si>
  <si>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</si>
  <si>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</si>
  <si>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</si>
  <si>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</si>
  <si>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</si>
  <si>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</si>
  <si>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</si>
  <si>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</si>
  <si>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</si>
  <si>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</si>
  <si>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</si>
  <si>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</si>
  <si>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</si>
  <si>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</si>
  <si>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</si>
  <si>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</si>
  <si>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</si>
  <si>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</si>
  <si>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</si>
  <si>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</si>
  <si>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</si>
  <si>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</si>
  <si>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</si>
  <si>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</si>
  <si>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</si>
  <si>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</si>
  <si>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</si>
  <si>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</si>
  <si>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</si>
  <si>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</si>
  <si>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</si>
  <si>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</si>
  <si>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</si>
  <si>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</si>
  <si>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</si>
  <si>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</si>
  <si>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</si>
  <si>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</si>
  <si>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</si>
  <si>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</si>
  <si>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</si>
  <si>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</si>
  <si>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</si>
  <si>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</si>
  <si>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</si>
  <si>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</si>
  <si>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</si>
  <si>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</si>
  <si>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</si>
  <si>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</si>
  <si>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</si>
  <si>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</si>
  <si>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</si>
  <si>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</si>
  <si>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</si>
  <si>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</si>
  <si>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</si>
  <si>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</si>
  <si>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</si>
  <si>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</si>
  <si>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</si>
  <si>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</si>
  <si>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</si>
  <si>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</si>
  <si>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</si>
  <si>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</si>
  <si>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</si>
  <si>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</si>
  <si>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</si>
  <si>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</si>
  <si>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</si>
  <si>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</si>
  <si>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</si>
  <si>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</si>
  <si>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</si>
  <si>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</si>
  <si>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</si>
  <si>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</si>
  <si>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</si>
  <si>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</si>
  <si>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</si>
  <si>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</si>
  <si>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</si>
  <si>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</si>
  <si>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</si>
  <si>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</si>
  <si>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</si>
  <si>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</si>
  <si>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</si>
  <si>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</si>
  <si>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</si>
  <si>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</si>
  <si>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</si>
  <si>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</si>
  <si>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</si>
  <si>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</si>
  <si>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</si>
  <si>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</si>
  <si>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</si>
  <si>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</si>
  <si>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</si>
  <si>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</si>
  <si>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</si>
  <si>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</si>
  <si>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</si>
  <si>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</si>
  <si>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</si>
  <si>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</si>
  <si>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</si>
  <si>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</si>
  <si>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</si>
  <si>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</si>
  <si>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</si>
  <si>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</si>
  <si>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</si>
  <si>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</si>
  <si>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</si>
  <si>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</si>
  <si>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</si>
  <si>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</si>
  <si>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</si>
  <si>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</si>
  <si>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</si>
  <si>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</si>
  <si>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</si>
  <si>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</si>
  <si>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</si>
  <si>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</si>
  <si>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</si>
  <si>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</si>
  <si>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</si>
  <si>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</si>
  <si>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</si>
  <si>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</si>
  <si>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</si>
  <si>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</si>
  <si>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</si>
  <si>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</si>
  <si>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</si>
  <si>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</si>
  <si>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</si>
  <si>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</si>
  <si>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</si>
  <si>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</si>
  <si>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</si>
  <si>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</si>
  <si>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</si>
  <si>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</si>
  <si>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</si>
  <si>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</si>
  <si>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</si>
  <si>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</si>
  <si>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</si>
  <si>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</si>
  <si>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</si>
  <si>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</si>
  <si>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</si>
  <si>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</si>
  <si>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</si>
  <si>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</si>
  <si>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</si>
  <si>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</si>
  <si>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</si>
  <si>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</si>
  <si>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</si>
  <si>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</si>
  <si>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</si>
  <si>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</si>
  <si>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</si>
  <si>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</si>
  <si>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</si>
  <si>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</si>
  <si>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</si>
  <si>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</si>
  <si>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</si>
  <si>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</si>
  <si>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</si>
  <si>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</si>
  <si>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</si>
  <si>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</si>
  <si>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</si>
  <si>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</si>
  <si>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</si>
  <si>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</si>
  <si>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</si>
  <si>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</si>
  <si>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</si>
  <si>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</si>
  <si>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</si>
  <si>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</si>
  <si>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</si>
  <si>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</si>
  <si>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</si>
  <si>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</si>
  <si>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</si>
  <si>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</si>
  <si>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</si>
  <si>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</si>
  <si>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</si>
  <si>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</si>
  <si>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</si>
  <si>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</si>
  <si>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</si>
  <si>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</si>
  <si>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</si>
  <si>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</si>
  <si>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</si>
  <si>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</si>
  <si>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</si>
  <si>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</si>
  <si>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</si>
  <si>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</si>
  <si>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</si>
  <si>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</si>
  <si>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</si>
  <si>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</si>
  <si>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手续费总计</t>
    <phoneticPr fontId="3" type="noConversion"/>
  </si>
  <si>
    <t>南方天天利货币Ｂ</t>
    <phoneticPr fontId="3" type="noConversion"/>
  </si>
  <si>
    <t>广发养老指数A</t>
    <phoneticPr fontId="3" type="noConversion"/>
  </si>
  <si>
    <t>易方达创业板ETF联接A</t>
    <phoneticPr fontId="3" type="noConversion"/>
  </si>
  <si>
    <t>华夏恒生ETF联接A</t>
    <phoneticPr fontId="3" type="noConversion"/>
  </si>
  <si>
    <t>华安德国30(DAX)联接</t>
    <phoneticPr fontId="3" type="noConversion"/>
  </si>
  <si>
    <t>华夏收益债券(QDII)A</t>
    <phoneticPr fontId="3" type="noConversion"/>
  </si>
  <si>
    <t>广发中证环保ETF联接A</t>
    <phoneticPr fontId="3" type="noConversion"/>
  </si>
  <si>
    <t>广发医药卫生联接A</t>
    <phoneticPr fontId="3" type="noConversion"/>
  </si>
  <si>
    <t>富国中证红利指数增强</t>
    <phoneticPr fontId="3" type="noConversion"/>
  </si>
  <si>
    <t>富国沪深300指数增强</t>
    <phoneticPr fontId="3" type="noConversion"/>
  </si>
  <si>
    <t>富国中证500指数(LOF)</t>
    <phoneticPr fontId="3" type="noConversion"/>
  </si>
  <si>
    <t>华宝标普油气上游股票</t>
    <phoneticPr fontId="3" type="noConversion"/>
  </si>
  <si>
    <t>蛋卷</t>
  </si>
  <si>
    <t>投入市值</t>
    <phoneticPr fontId="3" type="noConversion"/>
  </si>
  <si>
    <t>盈亏额</t>
    <phoneticPr fontId="3" type="noConversion"/>
  </si>
  <si>
    <t>收益率</t>
    <phoneticPr fontId="3" type="noConversion"/>
  </si>
  <si>
    <t>整体</t>
    <phoneticPr fontId="3" type="noConversion"/>
  </si>
  <si>
    <t>总市值</t>
    <phoneticPr fontId="3" type="noConversion"/>
  </si>
  <si>
    <t>天天基金总额</t>
    <phoneticPr fontId="3" type="noConversion"/>
  </si>
  <si>
    <t>股票总额</t>
    <phoneticPr fontId="3" type="noConversion"/>
  </si>
  <si>
    <t>且慢总额</t>
    <phoneticPr fontId="3" type="noConversion"/>
  </si>
  <si>
    <t>蛋卷总额</t>
    <phoneticPr fontId="3" type="noConversion"/>
  </si>
  <si>
    <t>支付宝基金总额</t>
    <phoneticPr fontId="3" type="noConversion"/>
  </si>
  <si>
    <t>股票</t>
    <phoneticPr fontId="3" type="noConversion"/>
  </si>
  <si>
    <t>地产定期</t>
    <phoneticPr fontId="3" type="noConversion"/>
  </si>
  <si>
    <t>场外基金总额</t>
    <phoneticPr fontId="3" type="noConversion"/>
  </si>
  <si>
    <t>支付宝（指数基金）</t>
    <phoneticPr fontId="3" type="noConversion"/>
  </si>
  <si>
    <t>天天基金（指数基金）</t>
    <phoneticPr fontId="3" type="noConversion"/>
  </si>
  <si>
    <t>且慢（指数基金）</t>
    <phoneticPr fontId="3" type="noConversion"/>
  </si>
  <si>
    <t>510050</t>
  </si>
  <si>
    <t>0</t>
  </si>
  <si>
    <t>2.945</t>
  </si>
  <si>
    <t>26.02</t>
  </si>
  <si>
    <t>666624701961</t>
  </si>
  <si>
    <t>510300</t>
  </si>
  <si>
    <t>3.869</t>
  </si>
  <si>
    <t>12.24</t>
  </si>
  <si>
    <t>510500</t>
  </si>
  <si>
    <t>5.325</t>
  </si>
  <si>
    <t>-5.01</t>
  </si>
  <si>
    <t>512580</t>
  </si>
  <si>
    <t>0.728</t>
  </si>
  <si>
    <t>-16.99</t>
  </si>
  <si>
    <t>512880</t>
  </si>
  <si>
    <t>0.941</t>
  </si>
  <si>
    <t>20.18</t>
  </si>
  <si>
    <t>512980</t>
  </si>
  <si>
    <t>0.752</t>
  </si>
  <si>
    <t>-13.46</t>
  </si>
  <si>
    <t>518880</t>
  </si>
  <si>
    <t>3.396</t>
  </si>
  <si>
    <t>18.91</t>
  </si>
  <si>
    <t>159902</t>
  </si>
  <si>
    <t>中 小 板</t>
  </si>
  <si>
    <t>2.949</t>
  </si>
  <si>
    <t>-0.03</t>
  </si>
  <si>
    <t>0184500716</t>
  </si>
  <si>
    <t>159915</t>
  </si>
  <si>
    <t>1.570</t>
  </si>
  <si>
    <t>12.22</t>
  </si>
  <si>
    <t>159938</t>
  </si>
  <si>
    <t>1.311</t>
  </si>
  <si>
    <t>3.15</t>
  </si>
  <si>
    <t>创金合信中证1000指数增强C</t>
  </si>
  <si>
    <t>中国工商银行 | 4358</t>
  </si>
  <si>
    <t>广发中证500ETF联接C</t>
  </si>
  <si>
    <t>中 小 板</t>
    <phoneticPr fontId="3" type="noConversion"/>
  </si>
  <si>
    <t>创金合信中证1000指数增强C</t>
    <phoneticPr fontId="3" type="noConversion"/>
  </si>
  <si>
    <t>None</t>
  </si>
  <si>
    <t>恒生</t>
    <phoneticPr fontId="3" type="noConversion"/>
  </si>
  <si>
    <t>中小板</t>
    <phoneticPr fontId="3" type="noConversion"/>
  </si>
  <si>
    <t>买入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</si>
</sst>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 &quot;¥&quot;* #,##0.00_ ;_ &quot;¥&quot;* \-#,##0.00_ ;_ &quot;¥&quot;* &quot;-&quot;??_ ;_ @_ "/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5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  <font>
      <b/>
      <sz val="11"/>
      <color theme="1"/>
      <name val="DengXian"/>
      <charset val="134"/>
      <scheme val="minor"/>
    </font>
    <font>
      <b/>
      <sz val="11"/>
      <color rgb="FFFF0000"/>
      <name val="DengXian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88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177" fontId="0" fillId="0" borderId="1" xfId="50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501" applyNumberFormat="1" applyFont="1">
      <alignment vertical="center"/>
    </xf>
    <xf numFmtId="0" fontId="0" fillId="0" borderId="0" xfId="0" applyAlignment="1">
      <alignment horizontal="center" vertical="center"/>
    </xf>
    <xf numFmtId="177" fontId="0" fillId="0" borderId="0" xfId="501" applyFont="1" applyAlignment="1">
      <alignment horizontal="center" vertical="center"/>
    </xf>
    <xf numFmtId="10" fontId="0" fillId="0" borderId="0" xfId="1" applyNumberFormat="1" applyFont="1" applyAlignment="1">
      <alignment horizontal="right" vertical="center"/>
    </xf>
    <xf numFmtId="44" fontId="0" fillId="0" borderId="0" xfId="501" applyNumberFormat="1" applyFont="1" applyAlignment="1">
      <alignment horizontal="right" vertical="center"/>
    </xf>
    <xf numFmtId="177" fontId="23" fillId="0" borderId="0" xfId="501" applyFont="1" applyAlignment="1">
      <alignment horizontal="center" vertical="center"/>
    </xf>
    <xf numFmtId="44" fontId="23" fillId="0" borderId="0" xfId="501" applyNumberFormat="1" applyFont="1">
      <alignment vertical="center"/>
    </xf>
    <xf numFmtId="44" fontId="24" fillId="0" borderId="0" xfId="501" applyNumberFormat="1" applyFont="1">
      <alignment vertical="center"/>
    </xf>
    <xf numFmtId="10" fontId="24" fillId="0" borderId="0" xfId="1" applyNumberFormat="1" applyFont="1" applyAlignment="1">
      <alignment horizontal="right" vertical="center"/>
    </xf>
    <xf numFmtId="180" fontId="0" fillId="0" borderId="0" xfId="50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0" xfId="0" applyFill="1">
      <alignment vertical="center"/>
    </xf>
    <xf numFmtId="58" fontId="0" fillId="9" borderId="0" xfId="0" applyNumberFormat="1" applyFill="1">
      <alignment vertical="center"/>
    </xf>
    <xf numFmtId="180" fontId="0" fillId="9" borderId="0" xfId="501" applyNumberFormat="1" applyFont="1" applyFill="1">
      <alignment vertical="center"/>
    </xf>
    <xf numFmtId="182" fontId="0" fillId="9" borderId="0" xfId="501" applyNumberFormat="1" applyFont="1" applyFill="1">
      <alignment vertical="center"/>
    </xf>
    <xf numFmtId="0" fontId="0" fillId="3" borderId="0" xfId="0" applyFill="1">
      <alignment vertical="center"/>
    </xf>
    <xf numFmtId="58" fontId="0" fillId="3" borderId="0" xfId="0" applyNumberFormat="1" applyFill="1">
      <alignment vertical="center"/>
    </xf>
    <xf numFmtId="180" fontId="0" fillId="3" borderId="0" xfId="501" applyNumberFormat="1" applyFont="1" applyFill="1">
      <alignment vertical="center"/>
    </xf>
    <xf numFmtId="182" fontId="0" fillId="3" borderId="0" xfId="501" applyNumberFormat="1" applyFont="1" applyFill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10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1.275903080125E-2</c:v>
                </c:pt>
                <c:pt idx="1">
                  <c:v>7.1544105399999988E-2</c:v>
                </c:pt>
                <c:pt idx="2">
                  <c:v>0.1212514607475</c:v>
                </c:pt>
                <c:pt idx="3">
                  <c:v>9.2742526401250011E-2</c:v>
                </c:pt>
                <c:pt idx="4">
                  <c:v>5.24638489175E-2</c:v>
                </c:pt>
                <c:pt idx="5">
                  <c:v>0.1169700786425</c:v>
                </c:pt>
                <c:pt idx="6">
                  <c:v>0.1812084853125</c:v>
                </c:pt>
                <c:pt idx="7">
                  <c:v>9.7958998446250001E-2</c:v>
                </c:pt>
                <c:pt idx="8">
                  <c:v>1.4215769687499998E-3</c:v>
                </c:pt>
                <c:pt idx="9">
                  <c:v>2.7964785291249995E-2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1460"/>
              <a:ext cx="12063730" cy="12781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1">
          <cell r="Q1">
            <v>5115.3999999999942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79"/>
  <sheetViews>
    <sheetView tabSelected="1" zoomScaleNormal="100" workbookViewId="0">
      <pane ySplit="1" topLeftCell="A128" activePane="bottomLeft" state="frozen"/>
      <selection pane="bottomLeft" activeCell="O150" sqref="O150"/>
    </sheetView>
  </sheetViews>
  <sheetFormatPr defaultColWidth="8.88671875" defaultRowHeight="13.8"/>
  <cols>
    <col min="1" max="1" width="11.6640625" bestFit="1" customWidth="1"/>
    <col min="2" max="2" width="24.88671875" customWidth="1"/>
    <col min="3" max="3" width="13.109375" bestFit="1" customWidth="1"/>
    <col min="4" max="4" width="5.109375" customWidth="1"/>
    <col min="5" max="5" width="7.44140625" customWidth="1"/>
    <col min="6" max="6" width="7.88671875" customWidth="1"/>
    <col min="7" max="7" width="10.44140625" customWidth="1"/>
    <col min="8" max="9" width="9" customWidth="1"/>
    <col min="10" max="11" width="13.6640625" customWidth="1"/>
    <col min="12" max="12" width="14.109375" bestFit="1" customWidth="1"/>
    <col min="13" max="13" width="14" customWidth="1"/>
    <col min="14" max="14" width="11" customWidth="1"/>
    <col min="15" max="15" width="7.88671875" customWidth="1"/>
    <col min="16" max="16" width="10.44140625" customWidth="1"/>
    <col min="17" max="18" width="11.44140625" customWidth="1"/>
    <col min="19" max="19" width="12.6640625" bestFit="1" customWidth="1"/>
    <col min="20" max="23" width="11.44140625" customWidth="1"/>
    <col min="24" max="24" width="9.6640625" bestFit="1" customWidth="1"/>
    <col min="25" max="25" width="10.44140625" bestFit="1" customWidth="1"/>
    <col min="26" max="26" width="11.109375" bestFit="1" customWidth="1"/>
    <col min="27" max="31" width="9.4414062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 ht="14.4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17.857830687830688</v>
      </c>
      <c r="I2" s="21">
        <f>$F2*$W$34</f>
        <v>1.4371428571428575</v>
      </c>
      <c r="J2" s="21">
        <f t="shared" ref="J2:J33" si="0">H2*(-$M2)</f>
        <v>60716.624338624337</v>
      </c>
      <c r="K2" s="21">
        <f t="shared" ref="K2:K33" si="1">I2*(-$M2)</f>
        <v>4886.2857142857156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3.579228749999995E-2</v>
      </c>
      <c r="U2" s="18" t="s">
        <v>140</v>
      </c>
      <c r="V2" s="18">
        <f>((SUM(T4:T6)+S8) - SUM(R4:R6))/SUM(R4:R6)</f>
        <v>3.1254022047862137E-2</v>
      </c>
    </row>
    <row r="3" spans="1:28" ht="14.4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28.711858309962199</v>
      </c>
      <c r="I3" s="21">
        <f>$F3*$W$25</f>
        <v>3.5449091574198266</v>
      </c>
      <c r="J3" s="21">
        <f t="shared" si="0"/>
        <v>212467.75149372028</v>
      </c>
      <c r="K3" s="21">
        <f t="shared" si="1"/>
        <v>26232.327764906717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  <c r="V3" s="24" t="s">
        <v>7648</v>
      </c>
    </row>
    <row r="4" spans="1:28" ht="14.4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9.0829039463886811</v>
      </c>
      <c r="I4" s="21">
        <f>F4*$W$15</f>
        <v>0.94632911392405072</v>
      </c>
      <c r="J4" s="21">
        <f t="shared" si="0"/>
        <v>35968.299627699176</v>
      </c>
      <c r="K4" s="21">
        <f t="shared" si="1"/>
        <v>3747.4632911392409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356145.35999999993</v>
      </c>
      <c r="S4" s="29">
        <v>27356.02</v>
      </c>
      <c r="T4" s="131">
        <f>SUM(天天基金网!F6:F40)</f>
        <v>383501.37999999995</v>
      </c>
      <c r="U4" s="26">
        <f>T4/R4-1</f>
        <v>7.6811389596652457E-2</v>
      </c>
      <c r="V4" s="160">
        <f>SUM(O:O)</f>
        <v>654.87000000000239</v>
      </c>
    </row>
    <row r="5" spans="1:28" ht="14.4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23.669363395225464</v>
      </c>
      <c r="I5" s="21">
        <f>E5*$W$26</f>
        <v>3.1253740053050398</v>
      </c>
      <c r="J5" s="21">
        <f t="shared" si="0"/>
        <v>93730.679045092838</v>
      </c>
      <c r="K5" s="21">
        <f t="shared" si="1"/>
        <v>12376.481061007958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-2842.64</v>
      </c>
      <c r="T5" s="131">
        <f>R5+S5</f>
        <v>9157.36</v>
      </c>
      <c r="U5" s="26">
        <f>T5/R5-1</f>
        <v>-0.23688666666666658</v>
      </c>
    </row>
    <row r="6" spans="1:28" ht="14.4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384347.55000000005</v>
      </c>
      <c r="S6" s="29">
        <v>-4609.6499999999996</v>
      </c>
      <c r="T6" s="130">
        <f>SUM(涨乐财富通!I2:I40)</f>
        <v>379737.9</v>
      </c>
      <c r="U6" s="26">
        <f>T6/R6-1</f>
        <v>-1.1993441873117239E-2</v>
      </c>
      <c r="X6" s="40"/>
    </row>
    <row r="7" spans="1:28" ht="14.4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29.953650774295816</v>
      </c>
      <c r="I7" s="21">
        <f>F7*$W$25</f>
        <v>3.6982270454822581</v>
      </c>
      <c r="J7" s="21">
        <f t="shared" si="0"/>
        <v>118616.45706621143</v>
      </c>
      <c r="K7" s="21">
        <f t="shared" si="1"/>
        <v>14644.979100109742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 ht="14.4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24.611697612732094</v>
      </c>
      <c r="I8" s="21">
        <f>E8*$W$26</f>
        <v>3.249802652519894</v>
      </c>
      <c r="J8" s="21">
        <f t="shared" si="0"/>
        <v>97462.322546419091</v>
      </c>
      <c r="K8" s="21">
        <f t="shared" si="1"/>
        <v>12869.21850397878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5115.3999999999942</v>
      </c>
      <c r="S8" s="11">
        <f>SUM(N:N)</f>
        <v>3614.6999999999994</v>
      </c>
      <c r="T8" s="11">
        <f>Q8+R8+S8</f>
        <v>66330.099999999991</v>
      </c>
      <c r="U8" s="134">
        <f>SUM(S4:S6)+$S$8+$R$8-$V$4</f>
        <v>27978.959999999995</v>
      </c>
    </row>
    <row r="9" spans="1:28" ht="14.4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 ht="14.4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24.503156498673739</v>
      </c>
      <c r="I10" s="21">
        <f>E10*$W$26</f>
        <v>3.2354705570291773</v>
      </c>
      <c r="J10" s="21">
        <f t="shared" si="0"/>
        <v>97032.499734748009</v>
      </c>
      <c r="K10" s="21">
        <f t="shared" si="1"/>
        <v>12812.463405835542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 ht="14.4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29.536068193926475</v>
      </c>
      <c r="I11" s="21">
        <f>F11*$W$24</f>
        <v>3.646670218433671</v>
      </c>
      <c r="J11" s="21">
        <f t="shared" si="0"/>
        <v>117955.24193926477</v>
      </c>
      <c r="K11" s="21">
        <f t="shared" si="1"/>
        <v>14563.342184336709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 ht="14.4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27.899408284023671</v>
      </c>
      <c r="I12" s="21">
        <f>F12*$W$19</f>
        <v>2.1955621301775148</v>
      </c>
      <c r="J12" s="21">
        <f t="shared" si="0"/>
        <v>108461.18165680474</v>
      </c>
      <c r="K12" s="21">
        <f t="shared" si="1"/>
        <v>8535.4234260355024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 ht="14.4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29.558999923890703</v>
      </c>
      <c r="I13" s="21">
        <f>F13*$W$24</f>
        <v>3.6495014841312123</v>
      </c>
      <c r="J13" s="21">
        <f t="shared" si="0"/>
        <v>118138.45499581397</v>
      </c>
      <c r="K13" s="21">
        <f t="shared" si="1"/>
        <v>14585.962581627216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 ht="14.4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26.176690884577937</v>
      </c>
      <c r="I14" s="21">
        <f>F14*$W$19</f>
        <v>2.0599917609167853</v>
      </c>
      <c r="J14" s="21">
        <f t="shared" si="0"/>
        <v>95461.15631787882</v>
      </c>
      <c r="K14" s="21">
        <f t="shared" si="1"/>
        <v>7512.3779537113332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 ht="14.4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24.567294429708223</v>
      </c>
      <c r="I15" s="21">
        <f>E15*$W$26</f>
        <v>3.2439395225464192</v>
      </c>
      <c r="J15" s="21">
        <f t="shared" si="0"/>
        <v>194572.97188328914</v>
      </c>
      <c r="K15" s="21">
        <f t="shared" si="1"/>
        <v>25692.00101856764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2.6859999999999999</v>
      </c>
      <c r="T15" s="86">
        <v>9.7899999999999991</v>
      </c>
      <c r="U15" s="32">
        <f t="shared" ref="U15:U35" si="3">T15/S15</f>
        <v>3.6448250186150406</v>
      </c>
      <c r="V15" s="86">
        <v>1.02</v>
      </c>
      <c r="W15" s="32">
        <f t="shared" ref="W15:W35" si="4">V15/S15</f>
        <v>0.379746835443038</v>
      </c>
      <c r="X15" s="51">
        <v>0.13339999999999999</v>
      </c>
      <c r="Y15" s="42">
        <f>SUMIF(C:C,"=红利",J:J)/SUMIFS(M:M,C:C,"=红利",M:M,"&lt;0")*-1</f>
        <v>9.4805218206902246</v>
      </c>
      <c r="Z15" s="42">
        <f>SUMIF(C:C,"=红利",K:K)/SUMIFS(M:M,C:C,"=红利",M:M,"&lt;0")*-1</f>
        <v>0.98775610389213786</v>
      </c>
      <c r="AA15" s="33">
        <f>(SUMIF(C:C,"=红利",M:M)*-1)/$R$2</f>
        <v>8.2900000000000001E-2</v>
      </c>
      <c r="AB15" s="2"/>
    </row>
    <row r="16" spans="1:28" ht="14.4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28.802252835071158</v>
      </c>
      <c r="I16" s="21">
        <f>F16*$W$24</f>
        <v>3.5560697161123374</v>
      </c>
      <c r="J16" s="21">
        <f t="shared" si="0"/>
        <v>112144.45163863307</v>
      </c>
      <c r="K16" s="21">
        <f t="shared" si="1"/>
        <v>13845.913046654996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10.24</v>
      </c>
      <c r="U16" s="32">
        <f t="shared" si="3"/>
        <v>3.4735413839891454</v>
      </c>
      <c r="V16" s="86">
        <v>1.2</v>
      </c>
      <c r="W16" s="32">
        <f t="shared" si="4"/>
        <v>0.40705563093622793</v>
      </c>
      <c r="X16" s="51">
        <v>0.12559999999999999</v>
      </c>
      <c r="Y16" s="42">
        <f>SUMIF(C:C,"=50ETF",J:J)/SUMIFS(M:M,C:C,"=50ETF",M:M,"&lt;0")*-1</f>
        <v>8.2878697421981009</v>
      </c>
      <c r="Z16" s="42">
        <f>SUMIF(C:C,"=50ETF",K:K)/SUMIFS(M:M,C:C,"=50ETF",M:M,"&lt;0")*-1</f>
        <v>0.97123473541383998</v>
      </c>
      <c r="AA16" s="33">
        <f>(SUMIF(C:C,"=50ETF",M:M)*-1)/$R$2</f>
        <v>8.0543625000000004E-3</v>
      </c>
      <c r="AB16" s="2"/>
    </row>
    <row r="17" spans="1:28" ht="14.4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3.8797999999999999</v>
      </c>
      <c r="T17" s="86">
        <v>12.85</v>
      </c>
      <c r="U17" s="32">
        <f t="shared" si="3"/>
        <v>3.3120263931130469</v>
      </c>
      <c r="V17" s="86">
        <v>1.45</v>
      </c>
      <c r="W17" s="32">
        <f t="shared" si="4"/>
        <v>0.3737306046703438</v>
      </c>
      <c r="X17" s="51">
        <v>0.1222</v>
      </c>
      <c r="Y17" s="42">
        <f>SUMIF(C:C,"=300ETF",J:J)/SUMIFS(M:M,C:C,"=300ETF",M:M,"&lt;0")*-1</f>
        <v>11.276089921961278</v>
      </c>
      <c r="Z17" s="42">
        <f>SUMIF(C:C,"=300ETF",K:K)/SUMIFS(M:M,C:C,"=300ETF",M:M,"&lt;0")*-1</f>
        <v>1.2723992518944633</v>
      </c>
      <c r="AA17" s="183">
        <f>(SUMIF(C:C,"=300ETF",M:M)*-1)/$R$2</f>
        <v>6.3755074999999994E-2</v>
      </c>
      <c r="AB17" s="2"/>
    </row>
    <row r="18" spans="1:28" ht="14.4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9.2542107222635881</v>
      </c>
      <c r="I18" s="21">
        <f>F18*$W$15</f>
        <v>0.96417721518987354</v>
      </c>
      <c r="J18" s="21">
        <f t="shared" si="0"/>
        <v>36646.674460163806</v>
      </c>
      <c r="K18" s="21">
        <f t="shared" si="1"/>
        <v>3818.1417721518992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1.952</v>
      </c>
      <c r="T18" s="86">
        <v>12.85</v>
      </c>
      <c r="U18" s="32">
        <f t="shared" si="3"/>
        <v>6.5829918032786887</v>
      </c>
      <c r="V18" s="86">
        <v>1.45</v>
      </c>
      <c r="W18" s="32">
        <f t="shared" si="4"/>
        <v>0.74282786885245899</v>
      </c>
      <c r="X18" s="112">
        <v>0.1222</v>
      </c>
      <c r="Y18" s="42">
        <f>SUMIF(C:C,"=300ETF",J:J)/SUMIFS(M:M,C:C,"=300ETF",M:M,"&lt;0")*-1</f>
        <v>11.276089921961278</v>
      </c>
      <c r="Z18" s="42">
        <f>SUMIF(C:C,"=300ETF",K:K)/SUMIFS(M:M,C:C,"=300ETF",M:M,"&lt;0")*-1</f>
        <v>1.2723992518944633</v>
      </c>
      <c r="AA18" s="184"/>
      <c r="AB18" s="2"/>
    </row>
    <row r="19" spans="1:28" ht="14.4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5.3403999999999998</v>
      </c>
      <c r="T19" s="86">
        <v>23</v>
      </c>
      <c r="U19" s="32">
        <f t="shared" si="3"/>
        <v>4.3067934986143364</v>
      </c>
      <c r="V19" s="86">
        <v>1.81</v>
      </c>
      <c r="W19" s="32">
        <f t="shared" si="4"/>
        <v>0.33892592315182385</v>
      </c>
      <c r="X19" s="112">
        <v>7.4200000000000002E-2</v>
      </c>
      <c r="Y19" s="42">
        <f>SUMIF(C:C,"=500ETF",J:J)/SUMIFS(M:M,C:C,"=500ETF",M:M,"&lt;0")*-1</f>
        <v>23.458414956917647</v>
      </c>
      <c r="Z19" s="42">
        <f>SUMIF(C:C,"=500ETF",K:K)/SUMIFS(M:M,C:C,"=500ETF",M:M,"&lt;0")*-1</f>
        <v>1.8460752640009102</v>
      </c>
      <c r="AA19" s="183">
        <f>(SUMIF(C:C,"=500ETF",M:M)*-1)/$R$2</f>
        <v>0.29240731249999996</v>
      </c>
      <c r="AB19" s="2"/>
    </row>
    <row r="20" spans="1:28" ht="14.4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28.360235188375405</v>
      </c>
      <c r="I20" s="21">
        <f>F20*$W$19</f>
        <v>2.2318272039547602</v>
      </c>
      <c r="J20" s="21">
        <f t="shared" si="0"/>
        <v>224147.38763014009</v>
      </c>
      <c r="K20" s="21">
        <f t="shared" si="1"/>
        <v>17639.424852632765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1.9630000000000001</v>
      </c>
      <c r="T20" s="86">
        <v>23</v>
      </c>
      <c r="U20" s="32">
        <f t="shared" si="3"/>
        <v>11.716760061130921</v>
      </c>
      <c r="V20" s="86">
        <v>1.81</v>
      </c>
      <c r="W20" s="32">
        <f t="shared" si="4"/>
        <v>0.92205807437595511</v>
      </c>
      <c r="X20" s="112">
        <v>7.4200000000000002E-2</v>
      </c>
      <c r="Y20" s="42">
        <f>SUMIF(C:C,"=500ETF",J:J)/SUMIFS(M:M,C:C,"=500ETF",M:M,"&lt;0")*-1</f>
        <v>23.458414956917647</v>
      </c>
      <c r="Z20" s="42">
        <f>SUMIF(C:C,"=500ETF",K:K)/SUMIFS(M:M,C:C,"=500ETF",M:M,"&lt;0")*-1</f>
        <v>1.8460752640009102</v>
      </c>
      <c r="AA20" s="184"/>
      <c r="AB20" s="2"/>
    </row>
    <row r="21" spans="1:28" ht="14.4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37.088408551068881</v>
      </c>
      <c r="I21" s="21">
        <f>F21*$W$29</f>
        <v>3.0181710213776718</v>
      </c>
      <c r="J21" s="21">
        <f t="shared" si="0"/>
        <v>148353.63420427553</v>
      </c>
      <c r="K21" s="21">
        <f t="shared" si="1"/>
        <v>12072.684085510688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0.66520000000000001</v>
      </c>
      <c r="T21" s="86">
        <v>32.43</v>
      </c>
      <c r="U21" s="32">
        <f t="shared" si="3"/>
        <v>48.752254960914009</v>
      </c>
      <c r="V21" s="86">
        <v>2.13</v>
      </c>
      <c r="W21" s="32">
        <f t="shared" si="4"/>
        <v>3.2020444978953697</v>
      </c>
      <c r="X21" s="112">
        <v>5.5100000000000003E-2</v>
      </c>
      <c r="Y21" s="42">
        <f>SUMIF(C:C,"=1000ETF",J:J)/SUMIFS(M:M,C:C,"=1000ETF",M:M,"&lt;0")*-1</f>
        <v>10.640382057588951</v>
      </c>
      <c r="Z21" s="42">
        <f>SUMIF(C:C,"=1000ETF",K:K)/SUMIFS(M:M,C:C,"=1000ETF",M:M,"&lt;0")*-1</f>
        <v>0.69885950609511116</v>
      </c>
      <c r="AA21" s="33">
        <f>(SUMIF(C:C,"=1000ETF",M:M)*-1)/$R$2</f>
        <v>1.0938512499999997E-2</v>
      </c>
      <c r="AB21" s="2"/>
    </row>
    <row r="22" spans="1:28" ht="14.4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27.735750131076326</v>
      </c>
      <c r="I22" s="21">
        <f>F22*$W$19</f>
        <v>2.1826829450977456</v>
      </c>
      <c r="J22" s="21">
        <f t="shared" si="0"/>
        <v>107192.29503407986</v>
      </c>
      <c r="K22" s="21">
        <f t="shared" si="1"/>
        <v>8435.5675657254142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1.5669</v>
      </c>
      <c r="T22" s="86">
        <v>55.5</v>
      </c>
      <c r="U22" s="32">
        <f>T22/S22</f>
        <v>35.420256557533982</v>
      </c>
      <c r="V22" s="86">
        <v>4.6900000000000004</v>
      </c>
      <c r="W22" s="32">
        <f t="shared" si="4"/>
        <v>2.993171229816836</v>
      </c>
      <c r="X22" s="112">
        <v>8.9099999999999999E-2</v>
      </c>
      <c r="Y22" s="42">
        <f>SUMIF(C:C,"=创业板",J:J)/SUMIFS(M:M,C:C,"=创业板",M:M,"&lt;0")*-1</f>
        <v>47.721410253660913</v>
      </c>
      <c r="Z22" s="42">
        <f>SUMIF(C:C,"=创业板",K:K)/SUMIFS(M:M,C:C,"=创业板",M:M,"&lt;0")*-1</f>
        <v>4.0326741277417959</v>
      </c>
      <c r="AA22" s="183">
        <f>(SUMIF(C:C,"=创业板",M:M)*-1)/$R$2</f>
        <v>2.4085612499999999E-2</v>
      </c>
      <c r="AB22" s="2"/>
    </row>
    <row r="23" spans="1:28" ht="14.4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28.312860459890647</v>
      </c>
      <c r="I23" s="21">
        <f>F23*$W$19</f>
        <v>2.2280990188000898</v>
      </c>
      <c r="J23" s="21">
        <f t="shared" si="0"/>
        <v>111699.61395775598</v>
      </c>
      <c r="K23" s="21">
        <f t="shared" si="1"/>
        <v>8790.273967979927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1.6890000000000001</v>
      </c>
      <c r="T23" s="86">
        <v>55.5</v>
      </c>
      <c r="U23" s="32">
        <f>T23/S23</f>
        <v>32.859680284191832</v>
      </c>
      <c r="V23" s="86">
        <v>4.6900000000000004</v>
      </c>
      <c r="W23" s="32">
        <f t="shared" si="4"/>
        <v>2.7767910005920666</v>
      </c>
      <c r="X23" s="112">
        <v>8.9099999999999999E-2</v>
      </c>
      <c r="Y23" s="42">
        <f>SUMIF(C:C,"=创业板",J:J)/SUMIFS(M:M,C:C,"=创业板",M:M,"&lt;0")*-1</f>
        <v>47.721410253660913</v>
      </c>
      <c r="Z23" s="42">
        <f>SUMIF(C:C,"=创业板",K:K)/SUMIFS(M:M,C:C,"=创业板",M:M,"&lt;0")*-1</f>
        <v>4.0326741277417959</v>
      </c>
      <c r="AA23" s="185"/>
      <c r="AB23" s="2"/>
    </row>
    <row r="24" spans="1:28" ht="14.4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10.296630677587491</v>
      </c>
      <c r="I24" s="21">
        <f>F24*$W$15</f>
        <v>1.0727848101265824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1.3139000000000001</v>
      </c>
      <c r="T24" s="86">
        <v>30.13</v>
      </c>
      <c r="U24" s="32">
        <f t="shared" si="3"/>
        <v>22.93172996422863</v>
      </c>
      <c r="V24" s="86">
        <v>3.72</v>
      </c>
      <c r="W24" s="32">
        <f t="shared" si="4"/>
        <v>2.8312656975416699</v>
      </c>
      <c r="X24" s="112">
        <v>9.8199999999999996E-2</v>
      </c>
      <c r="Y24" s="42">
        <f>SUMIF(C:C,"=医药",J:J)/SUMIFS(M:M,C:C,"=医药",M:M,"&lt;0")*-1</f>
        <v>28.161466699412337</v>
      </c>
      <c r="Z24" s="42">
        <f>SUMIF(C:C,"=医药",K:K)/SUMIFS(M:M,C:C,"=医药",M:M,"&lt;0")*-1</f>
        <v>3.4769550654435406</v>
      </c>
      <c r="AA24" s="183">
        <f>(SUMIF(C:C,"=医药",M:M)*-1)/$R$2</f>
        <v>6.1076224999999998E-2</v>
      </c>
      <c r="AB24" s="2"/>
    </row>
    <row r="25" spans="1:28" ht="14.4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44.349680170575695</v>
      </c>
      <c r="I25" s="21">
        <f>F25*$W$30</f>
        <v>3.5714285714285721</v>
      </c>
      <c r="J25" s="21">
        <f t="shared" si="0"/>
        <v>177434.20042643926</v>
      </c>
      <c r="K25" s="21">
        <f t="shared" si="1"/>
        <v>14288.571428571431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0.82010000000000005</v>
      </c>
      <c r="T25" s="86">
        <v>30.13</v>
      </c>
      <c r="U25" s="32">
        <f t="shared" si="3"/>
        <v>36.739422021704669</v>
      </c>
      <c r="V25" s="86">
        <v>3.72</v>
      </c>
      <c r="W25" s="32">
        <f t="shared" si="4"/>
        <v>4.5360321911961954</v>
      </c>
      <c r="X25" s="112">
        <v>9.8199999999999996E-2</v>
      </c>
      <c r="Y25" s="42">
        <f>SUMIF(C:C,"=医药",J:J)/SUMIFS(M:M,C:C,"=医药",M:M,"&lt;0")*-1</f>
        <v>28.161466699412337</v>
      </c>
      <c r="Z25" s="42">
        <f>SUMIF(C:C,"=医药",K:K)/SUMIFS(M:M,C:C,"=医药",M:M,"&lt;0")*-1</f>
        <v>3.4769550654435406</v>
      </c>
      <c r="AA25" s="184"/>
      <c r="AB25" s="2"/>
    </row>
    <row r="26" spans="1:28" ht="14.4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27.77881806606247</v>
      </c>
      <c r="I26" s="21">
        <f>F26*$W$19</f>
        <v>2.186072204329264</v>
      </c>
      <c r="J26" s="21">
        <f t="shared" si="0"/>
        <v>107525.41560557263</v>
      </c>
      <c r="K26" s="21">
        <f t="shared" si="1"/>
        <v>8461.7827063515851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0.9425</v>
      </c>
      <c r="T26" s="86">
        <v>23.25</v>
      </c>
      <c r="U26" s="32">
        <f t="shared" si="3"/>
        <v>24.668435013262599</v>
      </c>
      <c r="V26" s="86">
        <v>3.07</v>
      </c>
      <c r="W26" s="32">
        <f t="shared" si="4"/>
        <v>3.2572944297082227</v>
      </c>
      <c r="X26" s="112">
        <v>0.15459999999999999</v>
      </c>
      <c r="Y26" s="42">
        <f>SUMIF(C:C,"=养老",J:J)/SUMIFS(M:M,C:C,"=养老",M:M,"&lt;0")*-1</f>
        <v>23.010711094096092</v>
      </c>
      <c r="Z26" s="42">
        <f>SUMIF(C:C,"=养老",K:K)/SUMIFS(M:M,C:C,"=养老",M:M,"&lt;0")*-1</f>
        <v>3.0015457748366106</v>
      </c>
      <c r="AA26" s="33">
        <f>(SUMIF(C:C,"=养老",M:M)*-1)/$R$2</f>
        <v>7.2749999999999995E-2</v>
      </c>
      <c r="AB26" s="2"/>
    </row>
    <row r="27" spans="1:28" ht="14.4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33.728583957610084</v>
      </c>
      <c r="I27" s="21">
        <f>F27*$W$29</f>
        <v>2.7447560752786404</v>
      </c>
      <c r="J27" s="21">
        <f t="shared" si="0"/>
        <v>134914.33583044034</v>
      </c>
      <c r="K27" s="21">
        <f t="shared" si="1"/>
        <v>10979.024301114561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0.93979999999999997</v>
      </c>
      <c r="T27" s="86">
        <v>29.65</v>
      </c>
      <c r="U27" s="32">
        <f t="shared" si="3"/>
        <v>31.549265801234306</v>
      </c>
      <c r="V27" s="86">
        <v>1.64</v>
      </c>
      <c r="W27" s="32">
        <f t="shared" si="4"/>
        <v>1.7450521387529261</v>
      </c>
      <c r="X27" s="112">
        <v>5.5300000000000002E-2</v>
      </c>
      <c r="Y27" s="42">
        <f>SUMIF(C:C,"=证券",J:J)/SUMIFS(M:M,C:C,"=证券",M:M,"&lt;0")*-1</f>
        <v>25.140997529529791</v>
      </c>
      <c r="Z27" s="42">
        <f>SUMIF(C:C,"=证券",K:K)/SUMIFS(M:M,C:C,"=证券",M:M,"&lt;0")*-1</f>
        <v>1.3905981770127775</v>
      </c>
      <c r="AA27" s="33">
        <f>(SUMIF(C:C,"=证券",M:M)*-1)/$R$2</f>
        <v>3.1965149999999998E-2</v>
      </c>
      <c r="AB27" s="2"/>
    </row>
    <row r="28" spans="1:28" ht="14.4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26.025953112126434</v>
      </c>
      <c r="I28" s="21">
        <f>F28*$W$19</f>
        <v>2.0481293536064715</v>
      </c>
      <c r="J28" s="21">
        <f t="shared" si="0"/>
        <v>204498.1457999401</v>
      </c>
      <c r="K28" s="21">
        <f t="shared" si="1"/>
        <v>16093.114952082242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0.72850000000000004</v>
      </c>
      <c r="T28" s="86">
        <v>26.42</v>
      </c>
      <c r="U28" s="32">
        <f t="shared" si="3"/>
        <v>36.266300617707621</v>
      </c>
      <c r="V28" s="86">
        <v>2.15</v>
      </c>
      <c r="W28" s="32">
        <f t="shared" si="4"/>
        <v>2.9512697323266983</v>
      </c>
      <c r="X28" s="112">
        <v>9.7900000000000001E-2</v>
      </c>
      <c r="Y28" s="42">
        <f>SUMIF(C:C,"=环保",J:J)/SUMIFS(M:M,C:C,"=环保",M:M,"&lt;0")*-1</f>
        <v>31.462916967736909</v>
      </c>
      <c r="Z28" s="42">
        <f>SUMIF(C:C,"=环保",K:K)/SUMIFS(M:M,C:C,"=环保",M:M,"&lt;0")*-1</f>
        <v>2.5603812066856304</v>
      </c>
      <c r="AA28" s="183">
        <f>(SUMIF(C:C,"=环保",M:M)*-1)/$R$2</f>
        <v>6.0069037499999992E-2</v>
      </c>
      <c r="AB28" s="2"/>
    </row>
    <row r="29" spans="1:28" ht="14.4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25.905362894165233</v>
      </c>
      <c r="I29" s="21">
        <f>F29*$W$19</f>
        <v>2.0386394277582203</v>
      </c>
      <c r="J29" s="21">
        <f t="shared" si="0"/>
        <v>1293570.825331436</v>
      </c>
      <c r="K29" s="21">
        <f t="shared" si="1"/>
        <v>101798.3997326043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0.54730000000000001</v>
      </c>
      <c r="T29" s="86">
        <v>26.42</v>
      </c>
      <c r="U29" s="32">
        <f t="shared" si="3"/>
        <v>48.273341860040198</v>
      </c>
      <c r="V29" s="86">
        <v>2.15</v>
      </c>
      <c r="W29" s="32">
        <f t="shared" si="4"/>
        <v>3.928375662342408</v>
      </c>
      <c r="X29" s="112">
        <v>9.7900000000000001E-2</v>
      </c>
      <c r="Y29" s="42">
        <f>SUMIF(C:C,"=环保",J:J)/SUMIFS(M:M,C:C,"=环保",M:M,"&lt;0")*-1</f>
        <v>31.462916967736909</v>
      </c>
      <c r="Z29" s="42">
        <f>SUMIF(C:C,"=环保",K:K)/SUMIFS(M:M,C:C,"=环保",M:M,"&lt;0")*-1</f>
        <v>2.5603812066856304</v>
      </c>
      <c r="AA29" s="184"/>
      <c r="AB29" s="2"/>
    </row>
    <row r="30" spans="1:28" ht="14.4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9.7936448250186139</v>
      </c>
      <c r="I30" s="21">
        <f>F30*$W$15</f>
        <v>1.020379746835443</v>
      </c>
      <c r="J30" s="21">
        <f t="shared" si="0"/>
        <v>195872.89650037227</v>
      </c>
      <c r="K30" s="21">
        <f t="shared" si="1"/>
        <v>20407.594936708858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0.75039999999999996</v>
      </c>
      <c r="T30" s="86">
        <v>33.28</v>
      </c>
      <c r="U30" s="32">
        <f t="shared" si="3"/>
        <v>44.349680170575695</v>
      </c>
      <c r="V30" s="86">
        <v>2.68</v>
      </c>
      <c r="W30" s="32">
        <f t="shared" si="4"/>
        <v>3.5714285714285721</v>
      </c>
      <c r="X30" s="71">
        <v>7.7600000000000002E-2</v>
      </c>
      <c r="Y30" s="42">
        <f>SUMIF(C:C,"=传媒",J:J)/SUMIFS(M:M,C:C,"=传媒",M:M,"&lt;0")*-1</f>
        <v>38.461731281406671</v>
      </c>
      <c r="Z30" s="42">
        <f>SUMIF(C:C,"=传媒",K:K)/SUMIFS(M:M,C:C,"=传媒",M:M,"&lt;0")*-1</f>
        <v>3.0972788411709704</v>
      </c>
      <c r="AA30" s="183">
        <f>(SUMIF(C:C,"=传媒",M:M)*-1)/$R$2</f>
        <v>4.5025412500000001E-2</v>
      </c>
      <c r="AB30" s="2"/>
    </row>
    <row r="31" spans="1:28" ht="14.4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37.831749849669272</v>
      </c>
      <c r="I31" s="21">
        <f>F31*$W$21</f>
        <v>2.4847865303668071</v>
      </c>
      <c r="J31" s="21">
        <f t="shared" si="0"/>
        <v>757573.22438965726</v>
      </c>
      <c r="K31" s="21">
        <f t="shared" si="1"/>
        <v>49757.353313289233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0.75449999999999995</v>
      </c>
      <c r="T31" s="86">
        <v>33.28</v>
      </c>
      <c r="U31" s="32">
        <f t="shared" si="3"/>
        <v>44.108681245858186</v>
      </c>
      <c r="V31" s="86">
        <v>2.68</v>
      </c>
      <c r="W31" s="32">
        <f t="shared" si="4"/>
        <v>3.5520212060967533</v>
      </c>
      <c r="X31" s="124">
        <v>7.7600000000000002E-2</v>
      </c>
      <c r="Y31" s="42">
        <f>SUMIF(C:C,"=传媒",J:J)/SUMIFS(M:M,C:C,"=传媒",M:M,"&lt;0")*-1</f>
        <v>38.461731281406671</v>
      </c>
      <c r="Z31" s="42">
        <f>SUMIF(C:C,"=传媒",K:K)/SUMIFS(M:M,C:C,"=传媒",M:M,"&lt;0")*-1</f>
        <v>3.0972788411709704</v>
      </c>
      <c r="AA31" s="183"/>
      <c r="AB31" s="2"/>
    </row>
    <row r="32" spans="1:28" ht="14.4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37.051713770294647</v>
      </c>
      <c r="I32" s="21">
        <f>F32*$W$21</f>
        <v>2.433553818400481</v>
      </c>
      <c r="J32" s="21">
        <f t="shared" si="0"/>
        <v>371777.26648827421</v>
      </c>
      <c r="K32" s="21">
        <f t="shared" si="1"/>
        <v>24418.303349368613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2.8860000000000001</v>
      </c>
      <c r="T32" s="86">
        <v>33.979999999999997</v>
      </c>
      <c r="U32" s="32">
        <f t="shared" si="3"/>
        <v>11.774081774081772</v>
      </c>
      <c r="V32" s="86">
        <v>6.34</v>
      </c>
      <c r="W32" s="32">
        <f t="shared" si="4"/>
        <v>2.1968121968121967</v>
      </c>
      <c r="X32" s="71">
        <v>0.20069999999999999</v>
      </c>
      <c r="Y32" s="42">
        <f>SUMIF(C:C,"=消费",J:J)/SUMIF(C:C,"=消费",M:M)*-1</f>
        <v>52.069887014290053</v>
      </c>
      <c r="Z32" s="42">
        <f>SUMIF(C:C,"=消费",K:K)/SUMIFS(M:M,C:C,"=消费",M:M,"&lt;0")*-1</f>
        <v>-5.3743974872661138</v>
      </c>
      <c r="AA32" s="57">
        <f>(SUMIF(C:C,"=消费",M:M)*-1)/$R$2</f>
        <v>-4.4255500000000003E-3</v>
      </c>
      <c r="AB32" s="2"/>
    </row>
    <row r="33" spans="1:28" ht="14.4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1.0722</v>
      </c>
      <c r="T33" s="70">
        <v>8.48</v>
      </c>
      <c r="U33" s="32">
        <f t="shared" si="3"/>
        <v>7.9089722066778583</v>
      </c>
      <c r="V33" s="70">
        <v>1.1399999999999999</v>
      </c>
      <c r="W33" s="32">
        <f t="shared" si="4"/>
        <v>1.0632344711807498</v>
      </c>
      <c r="X33" s="71">
        <f>V33/T33</f>
        <v>0.13443396226415091</v>
      </c>
      <c r="Y33" s="42">
        <f>SUMIF(C:C,"=金融地产",J:J)/SUMIFS(M:M,C:C,"=金融地产",M:M,"&lt;0")*-1</f>
        <v>7.1818740284772744</v>
      </c>
      <c r="Z33" s="42">
        <f>SUMIF(C:C,"=金融地产",K:K)/SUMIFS(M:M,C:C,"=金融地产",M:M,"&lt;0")*-1</f>
        <v>0.96548778213019948</v>
      </c>
      <c r="AA33" s="33">
        <f>(SUMIF(C:C,"=海外互联网",M:M)*-1)/$R$2</f>
        <v>2.4E-2</v>
      </c>
      <c r="AB33" s="2"/>
    </row>
    <row r="34" spans="1:28" ht="14.4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33.173440526219622</v>
      </c>
      <c r="I34" s="21">
        <f>F34*$W$29</f>
        <v>2.6995797551617029</v>
      </c>
      <c r="J34" s="21">
        <f t="shared" ref="J34:J65" si="5">H34*(-$M34)</f>
        <v>132693.76210487849</v>
      </c>
      <c r="K34" s="21">
        <f t="shared" ref="K34:K65" si="6">I34*(-$M34)</f>
        <v>10798.319020646812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1.1339999999999999</v>
      </c>
      <c r="T34" s="75">
        <v>20.13</v>
      </c>
      <c r="U34" s="76">
        <f t="shared" si="3"/>
        <v>17.751322751322753</v>
      </c>
      <c r="V34" s="70">
        <v>1.62</v>
      </c>
      <c r="W34" s="32">
        <f t="shared" si="4"/>
        <v>1.4285714285714288</v>
      </c>
      <c r="X34" s="112">
        <f>V34/T34</f>
        <v>8.0476900149031305E-2</v>
      </c>
      <c r="Y34" s="42">
        <f>SUMIF(C:C,"=德国30",J:J)/SUMIFS(M:M,C:C,"=德国30",M:M,"&lt;0")*-1</f>
        <v>19.416176897504332</v>
      </c>
      <c r="Z34" s="42">
        <f>SUMIF(C:C,"=德国30",K:K)/SUMIFS(M:M,C:C,"=德国30",M:M,"&lt;0")*-1</f>
        <v>1.5625537294563845</v>
      </c>
      <c r="AA34" s="33">
        <f>(SUMIF(C:C,"=德国30",M:M)*-1)/$R$2</f>
        <v>2.8250000000000001E-2</v>
      </c>
      <c r="AB34" s="2"/>
    </row>
    <row r="35" spans="1:28" ht="14.4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32.603404255319155</v>
      </c>
      <c r="I35" s="21">
        <f>F35*$W$28</f>
        <v>2.6531914893617019</v>
      </c>
      <c r="J35" s="21">
        <f t="shared" si="5"/>
        <v>131923.48067234046</v>
      </c>
      <c r="K35" s="21">
        <f t="shared" si="6"/>
        <v>10735.635255319148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1.4693000000000001</v>
      </c>
      <c r="T35" s="70">
        <v>9.31</v>
      </c>
      <c r="U35" s="32">
        <f t="shared" si="3"/>
        <v>6.3363506431634109</v>
      </c>
      <c r="V35" s="70">
        <v>1.02</v>
      </c>
      <c r="W35" s="32">
        <f t="shared" si="4"/>
        <v>0.69420812631865514</v>
      </c>
      <c r="X35" s="112">
        <f>V35/T35</f>
        <v>0.10955961331901182</v>
      </c>
      <c r="Y35" s="42">
        <f>SUMIF(C:C,"=恒生",J:J)/SUMIFS(M:M,C:C,"=恒生",M:M,"&lt;0")*-1</f>
        <v>9.2160812026891108</v>
      </c>
      <c r="Z35" s="42">
        <f>SUMIF(C:C,"=恒生",K:K)/SUMIFS(M:M,C:C,"=恒生",M:M,"&lt;0")*-1</f>
        <v>1.0097102928832322</v>
      </c>
      <c r="AA35" s="33">
        <f>(SUMIF(C:C,"=恒生",M:M)*-1)/$R$2</f>
        <v>1.2375000000000001E-2</v>
      </c>
    </row>
    <row r="36" spans="1:28" ht="14.4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1.1619999999999999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 ht="14.4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41.954797441364605</v>
      </c>
      <c r="I37" s="21">
        <f>F37*$W$30</f>
        <v>3.378571428571429</v>
      </c>
      <c r="J37" s="21">
        <f t="shared" si="5"/>
        <v>269940.94266950962</v>
      </c>
      <c r="K37" s="21">
        <f t="shared" si="6"/>
        <v>21738.032642857146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1.0754999999999999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 ht="14.4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33.292463967055596</v>
      </c>
      <c r="I38" s="21">
        <f>F38*$W$28</f>
        <v>2.7092656142759091</v>
      </c>
      <c r="J38" s="21">
        <f t="shared" si="5"/>
        <v>638883.71522635559</v>
      </c>
      <c r="K38" s="21">
        <f t="shared" si="6"/>
        <v>51990.915508579266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1.538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 ht="14.4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3.7810999999999999</v>
      </c>
      <c r="T39" s="72"/>
      <c r="U39" s="72"/>
      <c r="V39" s="72"/>
      <c r="W39" s="72"/>
      <c r="X39" s="72"/>
      <c r="Y39" s="2"/>
      <c r="Z39" s="41"/>
      <c r="AA39" s="183">
        <f>(SUMIF(C:C,"=可转债",M:M)*-1)/$R$2</f>
        <v>8.7999999999999995E-2</v>
      </c>
    </row>
    <row r="40" spans="1:28" ht="14.4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28.047297297297298</v>
      </c>
      <c r="I40" s="21">
        <f>F40*$W$27</f>
        <v>1.5513513513513513</v>
      </c>
      <c r="J40" s="21">
        <f t="shared" si="5"/>
        <v>359122.08216216217</v>
      </c>
      <c r="K40" s="21">
        <f t="shared" si="6"/>
        <v>19863.750918918919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2.2978999999999998</v>
      </c>
      <c r="T40" s="72"/>
      <c r="U40" s="72"/>
      <c r="V40" s="72"/>
      <c r="W40" s="72"/>
      <c r="X40" s="72"/>
      <c r="Y40" s="68"/>
      <c r="Z40" s="68"/>
      <c r="AA40" s="184"/>
    </row>
    <row r="41" spans="1:28" ht="14.4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41.954797441364605</v>
      </c>
      <c r="I41" s="21">
        <f>F41*$W$30</f>
        <v>3.378571428571429</v>
      </c>
      <c r="J41" s="21">
        <f t="shared" si="5"/>
        <v>269940.94266950962</v>
      </c>
      <c r="K41" s="21">
        <f t="shared" si="6"/>
        <v>21738.032642857146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2.581</v>
      </c>
      <c r="T41" s="72"/>
      <c r="U41" s="72"/>
      <c r="V41" s="72"/>
      <c r="W41" s="72"/>
      <c r="X41" s="72"/>
      <c r="Y41" s="68"/>
      <c r="Z41" s="68"/>
      <c r="AA41" s="184"/>
    </row>
    <row r="42" spans="1:28" ht="14.4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25.857988165680474</v>
      </c>
      <c r="I42" s="21">
        <f>F42*$W$19</f>
        <v>2.0349112426035503</v>
      </c>
      <c r="J42" s="21">
        <f t="shared" si="5"/>
        <v>170810.62958579883</v>
      </c>
      <c r="K42" s="21">
        <f t="shared" si="6"/>
        <v>13442.053893491124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0.40300000000000002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 ht="14.4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1.286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 ht="14.4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25.444535989813502</v>
      </c>
      <c r="I44" s="21">
        <f>F44*$W$19</f>
        <v>2.0023743539809753</v>
      </c>
      <c r="J44" s="21">
        <f t="shared" si="5"/>
        <v>165392.02838738676</v>
      </c>
      <c r="K44" s="21">
        <f t="shared" si="6"/>
        <v>13015.633538311738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 ht="27.6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7.4660697631038975</v>
      </c>
      <c r="I45" s="21">
        <f>F45*$W$33</f>
        <v>1.0036933407946278</v>
      </c>
      <c r="J45" s="21">
        <f t="shared" si="5"/>
        <v>47782.846483864945</v>
      </c>
      <c r="K45" s="21">
        <f t="shared" si="6"/>
        <v>6423.6373810856176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3.1026528750000004E-2</v>
      </c>
    </row>
    <row r="46" spans="1:28" ht="14.4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24.983709085461765</v>
      </c>
      <c r="I46" s="21">
        <f>F46*$W$19</f>
        <v>1.9661092802037301</v>
      </c>
      <c r="J46" s="21">
        <f t="shared" si="5"/>
        <v>478366.32574151753</v>
      </c>
      <c r="K46" s="21">
        <f t="shared" si="6"/>
        <v>37645.349982267246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 ht="14.4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12.06571215011083</v>
      </c>
      <c r="I47" s="21">
        <f>F47*$W$17</f>
        <v>1.3615005928140624</v>
      </c>
      <c r="J47" s="21">
        <f t="shared" si="5"/>
        <v>79135.506936053396</v>
      </c>
      <c r="K47" s="21">
        <f t="shared" si="6"/>
        <v>8929.6875530955203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 ht="14.4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23.795034079844211</v>
      </c>
      <c r="I48" s="21">
        <f>F48*$W$19</f>
        <v>1.8725657254138268</v>
      </c>
      <c r="J48" s="21">
        <f t="shared" si="5"/>
        <v>302435.83495618316</v>
      </c>
      <c r="K48" s="21">
        <f t="shared" si="6"/>
        <v>23800.385272638756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 ht="14.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23.312673207999403</v>
      </c>
      <c r="I49" s="21">
        <f>F49*$W$19</f>
        <v>1.8346060220208227</v>
      </c>
      <c r="J49" s="21">
        <f t="shared" si="5"/>
        <v>151460.1065650513</v>
      </c>
      <c r="K49" s="21">
        <f t="shared" si="6"/>
        <v>11919.251864467082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 ht="14.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 ht="14.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24.26138540114918</v>
      </c>
      <c r="I51" s="21">
        <f>F51*$W$27</f>
        <v>1.3419450947010001</v>
      </c>
      <c r="J51" s="21">
        <f t="shared" si="5"/>
        <v>154884.19917322832</v>
      </c>
      <c r="K51" s="21">
        <f t="shared" si="6"/>
        <v>8566.9506456692907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 ht="14.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51.996936626459885</v>
      </c>
      <c r="I52" s="21">
        <f>F52*$W$22</f>
        <v>4.3939753653711149</v>
      </c>
      <c r="J52" s="21">
        <f t="shared" si="5"/>
        <v>335925.68910587783</v>
      </c>
      <c r="K52" s="21">
        <f t="shared" si="6"/>
        <v>28387.233908226433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 ht="14.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11.419867003453785</v>
      </c>
      <c r="I53" s="21">
        <f>F53*$W$17</f>
        <v>1.2886231249033455</v>
      </c>
      <c r="J53" s="21">
        <f t="shared" si="5"/>
        <v>70890.42320531985</v>
      </c>
      <c r="K53" s="21">
        <f t="shared" si="6"/>
        <v>7999.3084550750045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 ht="14.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27.707453671928622</v>
      </c>
      <c r="I54" s="21">
        <f>F54*$W$28</f>
        <v>2.2547700754975977</v>
      </c>
      <c r="J54" s="21">
        <f t="shared" si="5"/>
        <v>177850.82022566919</v>
      </c>
      <c r="K54" s="21">
        <f t="shared" si="6"/>
        <v>14473.09854221002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 ht="27.6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6.722626375676179</v>
      </c>
      <c r="I55" s="21">
        <f>F55*$W$33</f>
        <v>0.90374930050363722</v>
      </c>
      <c r="J55" s="21">
        <f t="shared" si="5"/>
        <v>43024.808804327549</v>
      </c>
      <c r="K55" s="21">
        <f t="shared" si="6"/>
        <v>5783.9955232232778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 ht="14.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9.5202829486224871</v>
      </c>
      <c r="I56" s="21">
        <f>F56*$W$15</f>
        <v>0.9918987341772153</v>
      </c>
      <c r="J56" s="21">
        <f t="shared" si="5"/>
        <v>60929.810871183916</v>
      </c>
      <c r="K56" s="21">
        <f t="shared" si="6"/>
        <v>6348.1518987341778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 ht="14.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24.66103448275862</v>
      </c>
      <c r="I57" s="21">
        <f>E57*$W$26</f>
        <v>3.2563172413793104</v>
      </c>
      <c r="J57" s="21">
        <f t="shared" si="5"/>
        <v>157830.62068965516</v>
      </c>
      <c r="K57" s="21">
        <f t="shared" si="6"/>
        <v>20840.430344827586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 ht="14.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9.4546760982874147</v>
      </c>
      <c r="I58" s="21">
        <f>F58*$W$15</f>
        <v>0.98506329113924052</v>
      </c>
      <c r="J58" s="21">
        <f t="shared" si="5"/>
        <v>60509.927029039456</v>
      </c>
      <c r="K58" s="21">
        <f t="shared" si="6"/>
        <v>6304.4050632911394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 ht="14.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 ht="14.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8.2878697421981009</v>
      </c>
      <c r="I60" s="21">
        <f>F60*$W$16</f>
        <v>0.97123473541383987</v>
      </c>
      <c r="J60" s="21">
        <f t="shared" si="5"/>
        <v>53402.805805156037</v>
      </c>
      <c r="K60" s="21">
        <f t="shared" si="6"/>
        <v>6258.1413052917233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 ht="14.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21.248333333333338</v>
      </c>
      <c r="I61" s="21">
        <f>$F61*$W$34</f>
        <v>1.7100000000000004</v>
      </c>
      <c r="J61" s="21">
        <f t="shared" si="5"/>
        <v>135989.33333333337</v>
      </c>
      <c r="K61" s="21">
        <f t="shared" si="6"/>
        <v>10944.000000000002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 ht="14.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36.278038379530919</v>
      </c>
      <c r="I62" s="21">
        <f>F62*$W$30</f>
        <v>2.9214285714285717</v>
      </c>
      <c r="J62" s="21">
        <f t="shared" si="5"/>
        <v>231514.83196588489</v>
      </c>
      <c r="K62" s="21">
        <f t="shared" si="6"/>
        <v>18643.622285714289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 ht="14.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 ht="14.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31.786470234515935</v>
      </c>
      <c r="I64" s="21">
        <f>F64*$W$21</f>
        <v>2.0877330126277811</v>
      </c>
      <c r="J64" s="21">
        <f t="shared" si="5"/>
        <v>103644.55417017439</v>
      </c>
      <c r="K64" s="21">
        <f t="shared" si="6"/>
        <v>6807.3666476247745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 ht="14.4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23.347127555988319</v>
      </c>
      <c r="I65" s="21">
        <f>F65*$W$19</f>
        <v>1.8373174294060373</v>
      </c>
      <c r="J65" s="21">
        <f t="shared" si="5"/>
        <v>151908.085443038</v>
      </c>
      <c r="K65" s="21">
        <f t="shared" si="6"/>
        <v>11954.505854430381</v>
      </c>
      <c r="L65" s="5" t="s">
        <v>24</v>
      </c>
      <c r="M65" s="1">
        <v>-6506.5</v>
      </c>
      <c r="N65" s="1"/>
      <c r="O65" s="4">
        <v>1.3</v>
      </c>
      <c r="P65" s="4"/>
    </row>
    <row r="66" spans="1:19" ht="14.4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30.177645820805772</v>
      </c>
      <c r="I66" s="21">
        <f>F66*$W$21</f>
        <v>1.9820655441972339</v>
      </c>
      <c r="J66" s="21">
        <f t="shared" ref="J66:J99" si="7">H66*(-$M66)</f>
        <v>97155.120061334936</v>
      </c>
      <c r="K66" s="21">
        <f t="shared" ref="K66:K99" si="8">I66*(-$M66)</f>
        <v>6381.1410956103427</v>
      </c>
      <c r="L66" s="5" t="s">
        <v>24</v>
      </c>
      <c r="M66" s="1">
        <v>-3219.44</v>
      </c>
      <c r="N66" s="1"/>
      <c r="O66" s="4">
        <v>0.64</v>
      </c>
      <c r="P66" s="4"/>
    </row>
    <row r="67" spans="1:19" ht="14.4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22.154145756872147</v>
      </c>
      <c r="I67" s="21">
        <f>F67*$W$19</f>
        <v>1.7434349486929819</v>
      </c>
      <c r="J67" s="21">
        <f t="shared" si="7"/>
        <v>136780.36052730132</v>
      </c>
      <c r="K67" s="21">
        <f t="shared" si="8"/>
        <v>10764.019676278931</v>
      </c>
      <c r="L67" s="5" t="s">
        <v>24</v>
      </c>
      <c r="M67" s="1">
        <v>-6174.03</v>
      </c>
      <c r="N67" s="1"/>
      <c r="O67" s="4">
        <v>1.23</v>
      </c>
      <c r="P67" s="4"/>
    </row>
    <row r="68" spans="1:19" ht="14.4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11.048920047425124</v>
      </c>
      <c r="I68" s="21">
        <f>F68*$W$17</f>
        <v>1.246765297180267</v>
      </c>
      <c r="J68" s="21">
        <f t="shared" si="7"/>
        <v>70046.506957059639</v>
      </c>
      <c r="K68" s="21">
        <f t="shared" si="8"/>
        <v>7904.0805515748234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 ht="14.4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28.848116294999617</v>
      </c>
      <c r="I69" s="21">
        <f>F69*$W$24</f>
        <v>3.5617322475074209</v>
      </c>
      <c r="J69" s="21">
        <f t="shared" si="7"/>
        <v>185120.67011431613</v>
      </c>
      <c r="K69" s="21">
        <f t="shared" si="8"/>
        <v>22855.92077083492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 ht="14.4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 ht="14.4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9.4473864482501853</v>
      </c>
      <c r="I71" s="21">
        <f>F71*$W$15</f>
        <v>0.9843037974683545</v>
      </c>
      <c r="J71" s="21">
        <f t="shared" si="7"/>
        <v>60463.273268801189</v>
      </c>
      <c r="K71" s="21">
        <f t="shared" si="8"/>
        <v>6299.5443037974692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 ht="14.4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 ht="14.4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 ht="14.4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22.142387267904507</v>
      </c>
      <c r="I74" s="21">
        <f>E74*$W$26</f>
        <v>2.9237474801061007</v>
      </c>
      <c r="J74" s="21">
        <f t="shared" si="7"/>
        <v>141711.27851458883</v>
      </c>
      <c r="K74" s="21">
        <f t="shared" si="8"/>
        <v>18711.983872679044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 ht="14.4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28.711858309962199</v>
      </c>
      <c r="I75" s="21">
        <f>F75*$W$25</f>
        <v>3.5449091574198266</v>
      </c>
      <c r="J75" s="21">
        <f t="shared" si="7"/>
        <v>183755.89318375807</v>
      </c>
      <c r="K75" s="21">
        <f t="shared" si="8"/>
        <v>22687.418607486889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 ht="14.4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24.66103448275862</v>
      </c>
      <c r="I76" s="21">
        <f>E76*$W$26</f>
        <v>2.9211416445623342</v>
      </c>
      <c r="J76" s="21">
        <f t="shared" si="7"/>
        <v>157830.62068965516</v>
      </c>
      <c r="K76" s="21">
        <f t="shared" si="8"/>
        <v>18695.306525198939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 ht="14.4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32.463965884861409</v>
      </c>
      <c r="I77" s="21">
        <f>F77*$W$30</f>
        <v>2.6142857142857148</v>
      </c>
      <c r="J77" s="21">
        <f t="shared" si="7"/>
        <v>206784.74957782516</v>
      </c>
      <c r="K77" s="21">
        <f t="shared" si="8"/>
        <v>16652.137285714289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 ht="14.4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22.175679724365217</v>
      </c>
      <c r="I78" s="21">
        <f>F78*$W$19</f>
        <v>1.745129578308741</v>
      </c>
      <c r="J78" s="21">
        <f t="shared" si="7"/>
        <v>137046.58772376602</v>
      </c>
      <c r="K78" s="21">
        <f t="shared" si="8"/>
        <v>10784.970599131151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 ht="14.4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22.102464234888775</v>
      </c>
      <c r="I79" s="21">
        <f>F79*$W$19</f>
        <v>1.7393678376151598</v>
      </c>
      <c r="J79" s="21">
        <f t="shared" si="7"/>
        <v>11345.194891768408</v>
      </c>
      <c r="K79" s="21">
        <f t="shared" si="8"/>
        <v>892.81751104786144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 ht="14.4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 ht="14.4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21.839749831473299</v>
      </c>
      <c r="I81" s="21">
        <f>F81*$W$19</f>
        <v>1.7186933563028985</v>
      </c>
      <c r="J81" s="21">
        <f t="shared" si="7"/>
        <v>144003.01128379896</v>
      </c>
      <c r="K81" s="21">
        <f t="shared" si="8"/>
        <v>11332.410887985918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 ht="14.4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11.1184726016805</v>
      </c>
      <c r="I82" s="21">
        <f>F82*$W$17</f>
        <v>1.2546136398783443</v>
      </c>
      <c r="J82" s="21">
        <f t="shared" si="7"/>
        <v>70931.185440228888</v>
      </c>
      <c r="K82" s="21">
        <f t="shared" si="8"/>
        <v>8003.9080846950874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 ht="14.4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 ht="14.4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28.520069152134692</v>
      </c>
      <c r="I84" s="21">
        <f>F84*$W$21</f>
        <v>1.8731960312687912</v>
      </c>
      <c r="J84" s="21">
        <f t="shared" si="7"/>
        <v>90112.866095159334</v>
      </c>
      <c r="K84" s="21">
        <f t="shared" si="8"/>
        <v>5918.6063762778113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 ht="14.4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21.426297655606323</v>
      </c>
      <c r="I85" s="21">
        <f>F85*$W$19</f>
        <v>1.6861564676803236</v>
      </c>
      <c r="J85" s="21">
        <f t="shared" si="7"/>
        <v>138602.22001160964</v>
      </c>
      <c r="K85" s="21">
        <f t="shared" si="8"/>
        <v>10907.3920965658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 ht="14.4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11.276664959016394</v>
      </c>
      <c r="I86" s="21">
        <f>F86*$W$18</f>
        <v>1.2724641393442624</v>
      </c>
      <c r="J86" s="21">
        <f t="shared" si="7"/>
        <v>72170.655737704918</v>
      </c>
      <c r="K86" s="21">
        <f t="shared" si="8"/>
        <v>8143.7704918032796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 ht="14.4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 ht="14.4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22.480344827586205</v>
      </c>
      <c r="I88" s="21">
        <f>E88*$W$26</f>
        <v>2.9683724137931033</v>
      </c>
      <c r="J88" s="21">
        <f t="shared" si="7"/>
        <v>143874.20689655171</v>
      </c>
      <c r="K88" s="21">
        <f t="shared" si="8"/>
        <v>18997.583448275862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 ht="27.6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7.356925946651744</v>
      </c>
      <c r="I89" s="21">
        <f>F89*$W$33</f>
        <v>0.98902070509233342</v>
      </c>
      <c r="J89" s="21">
        <f t="shared" si="7"/>
        <v>47084.326058571161</v>
      </c>
      <c r="K89" s="21">
        <f t="shared" si="8"/>
        <v>6329.7325125909338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 ht="14.4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47.286042504307865</v>
      </c>
      <c r="I90" s="21">
        <f>F90*$W$22</f>
        <v>3.9958835918054758</v>
      </c>
      <c r="J90" s="21">
        <f t="shared" si="7"/>
        <v>303008.9603676048</v>
      </c>
      <c r="K90" s="21">
        <f t="shared" si="8"/>
        <v>25605.622056289489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 ht="14.4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19.936147105085762</v>
      </c>
      <c r="I91" s="21">
        <f>F91*$W$19</f>
        <v>1.5688880982697924</v>
      </c>
      <c r="J91" s="21">
        <f t="shared" si="7"/>
        <v>129224.1119204554</v>
      </c>
      <c r="K91" s="21">
        <f t="shared" si="8"/>
        <v>10169.375764174967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 ht="14.4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25.680855993171562</v>
      </c>
      <c r="I92" s="21">
        <f>F92*$W$25</f>
        <v>3.1706865016461405</v>
      </c>
      <c r="J92" s="21">
        <f t="shared" si="7"/>
        <v>164357.478356298</v>
      </c>
      <c r="K92" s="21">
        <f t="shared" si="8"/>
        <v>20292.393610535299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 ht="14.4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20.191530112789955</v>
      </c>
      <c r="I93" s="21">
        <f>F93*$W$27</f>
        <v>1.1168333688018728</v>
      </c>
      <c r="J93" s="21">
        <f t="shared" si="7"/>
        <v>128902.3244094488</v>
      </c>
      <c r="K93" s="21">
        <f t="shared" si="8"/>
        <v>7129.8418897637794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 ht="14.4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23.021556733053171</v>
      </c>
      <c r="I94" s="21">
        <f>F94*$W$29</f>
        <v>1.8734423533710944</v>
      </c>
      <c r="J94" s="21">
        <f t="shared" si="7"/>
        <v>147337.9630915403</v>
      </c>
      <c r="K94" s="21">
        <f t="shared" si="8"/>
        <v>11990.031061575004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 ht="14.4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25.537572247286917</v>
      </c>
      <c r="I95" s="21">
        <f>F95*$W$25</f>
        <v>3.1529959761004758</v>
      </c>
      <c r="J95" s="21">
        <f t="shared" si="7"/>
        <v>163440.46238263627</v>
      </c>
      <c r="K95" s="21">
        <f t="shared" si="8"/>
        <v>20179.174247043044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 ht="14.4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9.2432762472077439</v>
      </c>
      <c r="I96" s="21">
        <f>F96*$W$15</f>
        <v>0.96303797468354435</v>
      </c>
      <c r="J96" s="21">
        <f t="shared" si="7"/>
        <v>59156.967982129558</v>
      </c>
      <c r="K96" s="21">
        <f t="shared" si="8"/>
        <v>6163.4430379746836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 ht="14.4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10.302382172131148</v>
      </c>
      <c r="I97" s="21">
        <f>F97*$W$18</f>
        <v>1.1625256147540983</v>
      </c>
      <c r="J97" s="21">
        <f t="shared" si="7"/>
        <v>65935.245901639355</v>
      </c>
      <c r="K97" s="21">
        <f t="shared" si="8"/>
        <v>7440.1639344262294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 ht="14.4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19.168619460010188</v>
      </c>
      <c r="I98" s="21">
        <f>F98*$W$20</f>
        <v>1.5084870096790624</v>
      </c>
      <c r="J98" s="21">
        <f t="shared" si="7"/>
        <v>122679.16454406521</v>
      </c>
      <c r="K98" s="21">
        <f t="shared" si="8"/>
        <v>9654.3168619459993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 ht="14.4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20.169002079002077</v>
      </c>
      <c r="I99" s="21">
        <f>F99*$W$32</f>
        <v>3.7631392931392931</v>
      </c>
      <c r="J99" s="21">
        <f t="shared" si="7"/>
        <v>129081.6133056133</v>
      </c>
      <c r="K99" s="21">
        <f t="shared" si="8"/>
        <v>24084.091476091475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 ht="14.4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43.841385435168746</v>
      </c>
      <c r="I100" s="21">
        <f>F100*$W$23</f>
        <v>3.7047945529899353</v>
      </c>
      <c r="J100" s="21">
        <f>H100*(-M100)</f>
        <v>280584.86678508</v>
      </c>
      <c r="K100" s="21">
        <f>I100*(-$M100)</f>
        <v>23710.685139135585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 ht="14.4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 ht="14.4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19.826021220159149</v>
      </c>
      <c r="I102" s="21">
        <f>E102*$W$26</f>
        <v>2.6178875331564986</v>
      </c>
      <c r="J102" s="21">
        <f>H102*(-$M102)</f>
        <v>126886.53580901855</v>
      </c>
      <c r="K102" s="21">
        <f>I102*(-$M102)</f>
        <v>16754.48021220159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 ht="14.4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 ht="14.4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9.3817795979151146</v>
      </c>
      <c r="I104" s="21">
        <f>F104*$W$15</f>
        <v>0.97746835443037972</v>
      </c>
      <c r="J104" s="21">
        <f>H104*(-$M104)</f>
        <v>60043.389426656737</v>
      </c>
      <c r="K104" s="21">
        <f>I104*(-$M104)</f>
        <v>6255.7974683544298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 ht="14.4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 ht="14.4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20.750382068262862</v>
      </c>
      <c r="I106" s="21">
        <f>F106*$W$20</f>
        <v>1.6329648497198164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 ht="14.4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10.671029713114754</v>
      </c>
      <c r="I107" s="21">
        <f>F107*$W$18</f>
        <v>1.2041239754098361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 ht="14.4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 ht="14.4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17.786041772796739</v>
      </c>
      <c r="I109" s="21">
        <f>F109*$W$20</f>
        <v>1.3996841569026999</v>
      </c>
      <c r="J109" s="21">
        <f t="shared" si="11"/>
        <v>113830.66734589913</v>
      </c>
      <c r="K109" s="21">
        <f t="shared" si="12"/>
        <v>8957.9786041772786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 ht="14.4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9.1889757027155774</v>
      </c>
      <c r="I110" s="21">
        <f>F110*$W$35</f>
        <v>1.0067406247873136</v>
      </c>
      <c r="J110" s="21">
        <f t="shared" si="11"/>
        <v>58809.444497379693</v>
      </c>
      <c r="K110" s="21">
        <f t="shared" si="12"/>
        <v>6443.1399986388069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 ht="14.4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 ht="14.4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 ht="14.4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19.153677248677251</v>
      </c>
      <c r="I113" s="21">
        <f>$F113*$W$34</f>
        <v>1.5414285714285716</v>
      </c>
      <c r="J113" s="21">
        <f t="shared" si="11"/>
        <v>122583.53439153441</v>
      </c>
      <c r="K113" s="21">
        <f t="shared" si="12"/>
        <v>9865.1428571428587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 ht="14.4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 ht="14.4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9.2432762472077439</v>
      </c>
      <c r="I115" s="21">
        <f>F115*$W$15</f>
        <v>0.96303797468354435</v>
      </c>
      <c r="J115" s="21">
        <f t="shared" si="11"/>
        <v>59156.967982129558</v>
      </c>
      <c r="K115" s="21">
        <f t="shared" si="12"/>
        <v>6163.4430379746836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 ht="14.4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20.045570291777189</v>
      </c>
      <c r="I116" s="21">
        <f>E116*$W$26</f>
        <v>2.6468774535809017</v>
      </c>
      <c r="J116" s="21">
        <f t="shared" si="11"/>
        <v>128291.64986737401</v>
      </c>
      <c r="K116" s="21">
        <f t="shared" si="12"/>
        <v>16940.015702917772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 ht="14.4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 ht="14.4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 ht="14.4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10.664446721311476</v>
      </c>
      <c r="I119" s="21">
        <f>F119*$W$18</f>
        <v>1.2033811475409837</v>
      </c>
      <c r="J119" s="21">
        <f t="shared" si="11"/>
        <v>68252.459016393448</v>
      </c>
      <c r="K119" s="21">
        <f t="shared" si="12"/>
        <v>7701.6393442622957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 ht="14.4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 ht="14.4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25.112912890420198</v>
      </c>
      <c r="I121" s="21">
        <f>F121*$W$19</f>
        <v>1.9762770578982849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 ht="14.4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18.674391534391539</v>
      </c>
      <c r="I122" s="21">
        <f>$F122*$W$34</f>
        <v>1.5028571428571431</v>
      </c>
      <c r="J122" s="21">
        <f t="shared" ref="J122:J128" si="13">H122*(-$M122)</f>
        <v>119516.10582010585</v>
      </c>
      <c r="K122" s="21">
        <f t="shared" ref="K122:K128" si="14">I122*(-$M122)</f>
        <v>9618.2857142857156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 ht="14.4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 ht="14.4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35.904466534128559</v>
      </c>
      <c r="I124" s="21">
        <f>$F124*$W$31</f>
        <v>2.8913452617627571</v>
      </c>
      <c r="J124" s="21">
        <f t="shared" si="13"/>
        <v>229788.58581842278</v>
      </c>
      <c r="K124" s="21">
        <f t="shared" si="14"/>
        <v>18504.609675281645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 ht="14.4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 ht="14.4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31.530990990990983</v>
      </c>
      <c r="I126" s="21">
        <f>F126*$W$32</f>
        <v>5.8830630630630631</v>
      </c>
      <c r="J126" s="21">
        <f t="shared" si="13"/>
        <v>-313431.9240864864</v>
      </c>
      <c r="K126" s="21">
        <f t="shared" si="14"/>
        <v>-58480.235394594602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 ht="14.4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 ht="14.4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12.307490076808083</v>
      </c>
      <c r="I128" s="21">
        <f>F128*$W$17</f>
        <v>1.3887829269549976</v>
      </c>
      <c r="J128" s="21">
        <f t="shared" si="13"/>
        <v>77764.383750708803</v>
      </c>
      <c r="K128" s="21">
        <f t="shared" si="14"/>
        <v>8774.9693726480746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 ht="14.4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 ht="14.4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 ht="14.4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 ht="14.4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 ht="14.4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22.179986517863835</v>
      </c>
      <c r="I133" s="21">
        <f>F133*$W$19</f>
        <v>1.7454685042318929</v>
      </c>
      <c r="J133" s="21">
        <f t="shared" si="17"/>
        <v>137099.81986368063</v>
      </c>
      <c r="K133" s="21">
        <f t="shared" si="18"/>
        <v>10789.159737098345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 ht="14.4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30.470159350571254</v>
      </c>
      <c r="I134" s="21">
        <f>F134*$W$21</f>
        <v>2.0012778111846061</v>
      </c>
      <c r="J134" s="21">
        <f t="shared" si="17"/>
        <v>194286.26766386046</v>
      </c>
      <c r="K134" s="21">
        <f t="shared" si="18"/>
        <v>12760.70768190018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 ht="14.4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 ht="14.4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 ht="14.4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 ht="14.4">
      <c r="A138" s="3">
        <v>43668</v>
      </c>
      <c r="B138" s="154" t="s">
        <v>19</v>
      </c>
      <c r="C138" s="154" t="s">
        <v>89</v>
      </c>
      <c r="D138" s="14" t="s">
        <v>12</v>
      </c>
      <c r="E138" s="21">
        <v>0.63</v>
      </c>
      <c r="F138" s="21">
        <v>0.63</v>
      </c>
      <c r="G138" s="20">
        <v>64800</v>
      </c>
      <c r="H138" s="21">
        <f>F138*$U$21</f>
        <v>30.713920625375824</v>
      </c>
      <c r="I138" s="21">
        <f>F138*$W$21</f>
        <v>2.0172880336740828</v>
      </c>
      <c r="J138" s="21">
        <f t="shared" ref="J138:J143" si="23">H138*(-$M138)</f>
        <v>-1253865.0956103427</v>
      </c>
      <c r="K138" s="21">
        <f t="shared" ref="K138:K143" si="24">I138*(-$M138)</f>
        <v>-82353.766686710762</v>
      </c>
      <c r="L138" s="5" t="s">
        <v>24</v>
      </c>
      <c r="M138" s="1">
        <v>40824</v>
      </c>
      <c r="N138" s="1">
        <v>-5250.81</v>
      </c>
      <c r="O138" s="4">
        <v>8.16</v>
      </c>
      <c r="Q138" s="36"/>
    </row>
    <row r="139" spans="1:22" ht="14.4">
      <c r="A139" s="3">
        <v>43668</v>
      </c>
      <c r="B139" s="154" t="s">
        <v>18</v>
      </c>
      <c r="C139" s="154" t="s">
        <v>78</v>
      </c>
      <c r="D139" s="3" t="s">
        <v>11</v>
      </c>
      <c r="E139" s="21">
        <v>5.1669999999999998</v>
      </c>
      <c r="F139" s="21">
        <v>5.1669999999999998</v>
      </c>
      <c r="G139" s="20">
        <v>7900</v>
      </c>
      <c r="H139" s="21">
        <f>F139*$U$19</f>
        <v>22.253202007340274</v>
      </c>
      <c r="I139" s="21">
        <f>F139*$W$19</f>
        <v>1.7512302449254737</v>
      </c>
      <c r="J139" s="21">
        <f t="shared" si="23"/>
        <v>908360.1286982249</v>
      </c>
      <c r="K139" s="21">
        <f t="shared" si="24"/>
        <v>71483.992736686399</v>
      </c>
      <c r="L139" s="5" t="s">
        <v>24</v>
      </c>
      <c r="M139" s="1">
        <v>-40819.300000000003</v>
      </c>
      <c r="N139" s="1"/>
      <c r="O139" s="4">
        <v>8.16</v>
      </c>
      <c r="Q139" s="36"/>
    </row>
    <row r="140" spans="1:22" ht="14.4">
      <c r="A140" s="3">
        <v>43677</v>
      </c>
      <c r="B140" s="155" t="s">
        <v>7313</v>
      </c>
      <c r="C140" s="155" t="s">
        <v>96</v>
      </c>
      <c r="D140" s="3" t="s">
        <v>11</v>
      </c>
      <c r="E140" s="60">
        <v>1.645</v>
      </c>
      <c r="F140" s="60">
        <v>2.5619999999999998</v>
      </c>
      <c r="G140" s="60">
        <v>3887.47</v>
      </c>
      <c r="H140" s="21"/>
      <c r="I140" s="21"/>
      <c r="J140" s="21">
        <f t="shared" si="23"/>
        <v>0</v>
      </c>
      <c r="K140" s="21">
        <f t="shared" si="24"/>
        <v>0</v>
      </c>
      <c r="L140" s="7" t="s">
        <v>10</v>
      </c>
      <c r="M140" s="1">
        <v>-6400</v>
      </c>
      <c r="N140" s="1"/>
      <c r="O140" s="4">
        <v>5.12</v>
      </c>
      <c r="Q140" s="36"/>
    </row>
    <row r="141" spans="1:22" ht="14.4">
      <c r="A141" s="3">
        <v>43725</v>
      </c>
      <c r="B141" s="173" t="s">
        <v>7714</v>
      </c>
      <c r="C141" s="173" t="s">
        <v>78</v>
      </c>
      <c r="D141" s="3" t="s">
        <v>11</v>
      </c>
      <c r="E141" s="21">
        <v>0.89990000000000003</v>
      </c>
      <c r="F141" s="21">
        <v>0.89990000000000003</v>
      </c>
      <c r="G141" s="20">
        <v>7778.64</v>
      </c>
      <c r="H141" s="21">
        <f>F141*$U$19</f>
        <v>3.8756834694030413</v>
      </c>
      <c r="I141" s="21">
        <f>F141*$W$19</f>
        <v>0.30499943824432629</v>
      </c>
      <c r="J141" s="21">
        <f t="shared" ref="J141:J142" si="25">H141*(-$M141)</f>
        <v>27129.78428582129</v>
      </c>
      <c r="K141" s="21">
        <f t="shared" ref="K141:K142" si="26">I141*(-$M141)</f>
        <v>2134.996067710284</v>
      </c>
      <c r="L141" s="7" t="s">
        <v>10</v>
      </c>
      <c r="M141" s="1">
        <v>-7000</v>
      </c>
      <c r="N141" s="1"/>
      <c r="O141" s="4">
        <v>0</v>
      </c>
      <c r="Q141" s="36"/>
    </row>
    <row r="142" spans="1:22" ht="14.4">
      <c r="A142" s="3">
        <v>43725</v>
      </c>
      <c r="B142" t="s">
        <v>7712</v>
      </c>
      <c r="C142" s="173" t="s">
        <v>89</v>
      </c>
      <c r="D142" s="3" t="s">
        <v>11</v>
      </c>
      <c r="E142" s="21">
        <v>0.97760000000000002</v>
      </c>
      <c r="F142" s="21">
        <v>0.97760000000000002</v>
      </c>
      <c r="G142" s="20">
        <v>3580.2</v>
      </c>
      <c r="H142" s="21">
        <f>F142*$U$21</f>
        <v>47.660204449789539</v>
      </c>
      <c r="I142" s="21">
        <f>F142*$W$21</f>
        <v>3.1303187011425133</v>
      </c>
      <c r="J142" s="21">
        <f t="shared" si="25"/>
        <v>166810.71557426339</v>
      </c>
      <c r="K142" s="21">
        <f t="shared" si="26"/>
        <v>10956.115453998797</v>
      </c>
      <c r="L142" s="7" t="s">
        <v>10</v>
      </c>
      <c r="M142" s="1">
        <v>-3500</v>
      </c>
      <c r="N142" s="1"/>
      <c r="O142" s="4">
        <v>0</v>
      </c>
      <c r="Q142" s="36"/>
    </row>
    <row r="143" spans="1:22" ht="14.4">
      <c r="A143" s="3">
        <v>43733</v>
      </c>
      <c r="B143" s="62" t="s">
        <v>7652</v>
      </c>
      <c r="C143" s="128" t="s">
        <v>7718</v>
      </c>
      <c r="D143" s="3" t="s">
        <v>11</v>
      </c>
      <c r="E143" s="21">
        <v>1.4622999999999999</v>
      </c>
      <c r="F143" s="21">
        <v>1.4622999999999999</v>
      </c>
      <c r="G143">
        <v>2390.62</v>
      </c>
      <c r="H143" s="21">
        <f>F143*$U$35</f>
        <v>9.2656455454978559</v>
      </c>
      <c r="I143" s="21">
        <f>F143*$W$35</f>
        <v>1.0151405431157694</v>
      </c>
      <c r="J143" s="21">
        <f t="shared" si="23"/>
        <v>32429.759409242495</v>
      </c>
      <c r="K143" s="21">
        <f t="shared" si="24"/>
        <v>3552.9919009051928</v>
      </c>
      <c r="L143" s="7" t="s">
        <v>10</v>
      </c>
      <c r="M143" s="1">
        <v>-3500</v>
      </c>
      <c r="N143" s="1"/>
      <c r="O143" s="4">
        <v>4.1900000000000004</v>
      </c>
      <c r="Q143" s="36"/>
    </row>
    <row r="144" spans="1:22" ht="14.4">
      <c r="A144" s="3">
        <v>43734</v>
      </c>
      <c r="B144" s="128" t="s">
        <v>7719</v>
      </c>
      <c r="C144" s="128" t="s">
        <v>7719</v>
      </c>
      <c r="D144" s="3" t="s">
        <v>7720</v>
      </c>
      <c r="E144" s="21">
        <v>2.9489999999999998</v>
      </c>
      <c r="F144" s="21">
        <v>2.9489999999999998</v>
      </c>
      <c r="G144" s="20">
        <v>1200</v>
      </c>
      <c r="H144" s="21"/>
      <c r="I144" s="21"/>
      <c r="J144" s="21"/>
      <c r="K144" s="21"/>
      <c r="L144" s="5" t="s">
        <v>24</v>
      </c>
      <c r="M144" s="1">
        <v>-3539.51</v>
      </c>
      <c r="N144" s="1"/>
      <c r="O144" s="4">
        <v>0.71</v>
      </c>
      <c r="Q144" s="36"/>
    </row>
    <row r="145" spans="1:19" ht="14.4">
      <c r="A145" s="3">
        <v>43775</v>
      </c>
      <c r="B145" s="182" t="s">
        <v>7719</v>
      </c>
      <c r="C145" s="182" t="s">
        <v>7719</v>
      </c>
      <c r="D145" s="14" t="s">
        <v>12</v>
      </c>
      <c r="E145" s="21">
        <v>3.1080000000000001</v>
      </c>
      <c r="F145" s="21">
        <v>3.1080000000000001</v>
      </c>
      <c r="G145" s="20">
        <v>1200</v>
      </c>
      <c r="H145" s="21"/>
      <c r="I145" s="21"/>
      <c r="J145" s="21"/>
      <c r="K145" s="21"/>
      <c r="L145" s="5" t="s">
        <v>24</v>
      </c>
      <c r="M145" s="67">
        <v>3728.85</v>
      </c>
      <c r="N145" s="67">
        <f>M144+M145</f>
        <v>189.33999999999969</v>
      </c>
      <c r="O145" s="4">
        <v>0.75</v>
      </c>
      <c r="Q145" s="36"/>
    </row>
    <row r="146" spans="1:19" ht="14.4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 ht="14.4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 ht="14.4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 ht="14.4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 ht="14.4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7">H150*(-M150)</f>
        <v>0</v>
      </c>
      <c r="K150" s="21"/>
      <c r="L150" s="5"/>
      <c r="M150" s="1"/>
      <c r="N150" s="1"/>
      <c r="O150" s="4"/>
      <c r="Q150" s="36"/>
    </row>
    <row r="151" spans="1:19" ht="14.4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 ht="14.4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8">H152*(-M152)</f>
        <v>0</v>
      </c>
      <c r="K152" s="21"/>
      <c r="L152" s="5"/>
      <c r="M152" s="1"/>
      <c r="N152" s="1"/>
      <c r="O152" s="4"/>
      <c r="Q152" s="36"/>
    </row>
    <row r="153" spans="1:19" ht="14.4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 ht="14.4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 ht="14.4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 ht="14.4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 ht="14.4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 ht="14.4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9">H158*(-M158)</f>
        <v>0</v>
      </c>
      <c r="K158" s="21"/>
      <c r="L158" s="5"/>
      <c r="M158" s="1"/>
      <c r="N158" s="1"/>
      <c r="O158" s="4"/>
      <c r="Q158" s="36"/>
      <c r="S158" s="15"/>
    </row>
    <row r="159" spans="1:19" ht="14.4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 ht="14.4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 ht="14.4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 ht="14.4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 ht="14.4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 ht="14.4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 ht="14.4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30">H165*(-M165)</f>
        <v>0</v>
      </c>
      <c r="K165" s="21"/>
      <c r="L165" s="5"/>
      <c r="M165" s="1"/>
      <c r="N165" s="1"/>
      <c r="O165" s="4"/>
      <c r="Q165" s="36"/>
    </row>
    <row r="166" spans="1:19" ht="14.4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 ht="14.4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31">H167*(-M167)</f>
        <v>0</v>
      </c>
      <c r="K167" s="21"/>
      <c r="L167" s="5"/>
      <c r="M167" s="1"/>
      <c r="N167" s="1"/>
      <c r="O167" s="4"/>
    </row>
    <row r="168" spans="1:19" ht="14.4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32">H168*(-M168)</f>
        <v>0</v>
      </c>
      <c r="K168" s="21"/>
      <c r="L168" s="5"/>
      <c r="M168" s="1"/>
      <c r="N168" s="1"/>
      <c r="O168" s="4"/>
    </row>
    <row r="169" spans="1:19" ht="14.4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 ht="14.4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32"/>
        <v>0</v>
      </c>
      <c r="K170" s="21"/>
      <c r="L170" s="5"/>
      <c r="M170" s="1"/>
      <c r="N170" s="1"/>
      <c r="O170" s="4"/>
    </row>
    <row r="171" spans="1:19" ht="14.4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2"/>
        <v>0</v>
      </c>
      <c r="K171" s="21"/>
      <c r="L171" s="5"/>
      <c r="M171" s="1"/>
      <c r="N171" s="1"/>
      <c r="O171" s="4"/>
    </row>
    <row r="172" spans="1:19">
      <c r="A172" s="3">
        <v>43688</v>
      </c>
      <c r="D172" s="3"/>
      <c r="E172" s="3"/>
      <c r="F172" s="3"/>
      <c r="G172" s="3"/>
      <c r="H172" s="3"/>
      <c r="I172" s="3"/>
      <c r="J172" s="21">
        <f t="shared" si="32"/>
        <v>0</v>
      </c>
      <c r="K172" s="21"/>
      <c r="L172" s="8" t="s">
        <v>128</v>
      </c>
      <c r="M172" s="1">
        <f>SUM(T4:T6)+T8</f>
        <v>838726.73999999987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32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2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2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32"/>
        <v>0</v>
      </c>
      <c r="K176" s="21"/>
      <c r="L176" s="8" t="s">
        <v>26</v>
      </c>
      <c r="M176" s="12">
        <f>XIRR($M2:$M175,$A2:$A175)</f>
        <v>7.0665469765663153E-2</v>
      </c>
      <c r="N176" s="12"/>
      <c r="O176" s="12"/>
    </row>
    <row r="177" spans="10:14">
      <c r="J177" s="21">
        <f t="shared" si="32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32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</sheetData>
  <autoFilter ref="A1:X143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9" priority="139" operator="greaterThan">
      <formula>3</formula>
    </cfRule>
  </conditionalFormatting>
  <conditionalFormatting sqref="O43:O47 O172:O174">
    <cfRule type="cellIs" dxfId="98" priority="138" operator="greaterThan">
      <formula>3</formula>
    </cfRule>
  </conditionalFormatting>
  <conditionalFormatting sqref="O48">
    <cfRule type="cellIs" dxfId="97" priority="136" operator="greaterThan">
      <formula>3</formula>
    </cfRule>
  </conditionalFormatting>
  <conditionalFormatting sqref="O49">
    <cfRule type="cellIs" dxfId="96" priority="135" operator="greaterThan">
      <formula>3</formula>
    </cfRule>
  </conditionalFormatting>
  <conditionalFormatting sqref="O50">
    <cfRule type="cellIs" dxfId="95" priority="134" operator="greaterThan">
      <formula>3</formula>
    </cfRule>
  </conditionalFormatting>
  <conditionalFormatting sqref="O52">
    <cfRule type="cellIs" dxfId="94" priority="133" operator="greaterThan">
      <formula>3</formula>
    </cfRule>
  </conditionalFormatting>
  <conditionalFormatting sqref="O53">
    <cfRule type="cellIs" dxfId="93" priority="132" operator="greaterThan">
      <formula>3</formula>
    </cfRule>
  </conditionalFormatting>
  <conditionalFormatting sqref="O54 O60 O78">
    <cfRule type="cellIs" dxfId="92" priority="131" operator="greaterThan">
      <formula>3</formula>
    </cfRule>
  </conditionalFormatting>
  <conditionalFormatting sqref="O51">
    <cfRule type="cellIs" dxfId="91" priority="130" operator="greaterThan">
      <formula>3</formula>
    </cfRule>
  </conditionalFormatting>
  <conditionalFormatting sqref="O25">
    <cfRule type="cellIs" dxfId="90" priority="128" operator="greaterThan">
      <formula>3</formula>
    </cfRule>
  </conditionalFormatting>
  <conditionalFormatting sqref="O55">
    <cfRule type="cellIs" dxfId="89" priority="126" operator="greaterThan">
      <formula>3</formula>
    </cfRule>
  </conditionalFormatting>
  <conditionalFormatting sqref="O56">
    <cfRule type="cellIs" dxfId="88" priority="125" operator="greaterThan">
      <formula>3</formula>
    </cfRule>
  </conditionalFormatting>
  <conditionalFormatting sqref="O57">
    <cfRule type="cellIs" dxfId="87" priority="123" operator="greaterThan">
      <formula>3</formula>
    </cfRule>
  </conditionalFormatting>
  <conditionalFormatting sqref="O58">
    <cfRule type="cellIs" dxfId="86" priority="122" operator="greaterThan">
      <formula>3</formula>
    </cfRule>
  </conditionalFormatting>
  <conditionalFormatting sqref="O59">
    <cfRule type="cellIs" dxfId="85" priority="121" operator="greaterThan">
      <formula>3</formula>
    </cfRule>
  </conditionalFormatting>
  <conditionalFormatting sqref="O70">
    <cfRule type="cellIs" dxfId="84" priority="120" operator="greaterThan">
      <formula>3</formula>
    </cfRule>
  </conditionalFormatting>
  <conditionalFormatting sqref="O61">
    <cfRule type="cellIs" dxfId="83" priority="118" operator="greaterThan">
      <formula>3</formula>
    </cfRule>
  </conditionalFormatting>
  <conditionalFormatting sqref="O62:O63 O69">
    <cfRule type="cellIs" dxfId="82" priority="117" operator="greaterThan">
      <formula>3</formula>
    </cfRule>
  </conditionalFormatting>
  <conditionalFormatting sqref="O66">
    <cfRule type="cellIs" dxfId="81" priority="113" operator="greaterThan">
      <formula>3</formula>
    </cfRule>
  </conditionalFormatting>
  <conditionalFormatting sqref="O65">
    <cfRule type="cellIs" dxfId="80" priority="114" operator="greaterThan">
      <formula>3</formula>
    </cfRule>
  </conditionalFormatting>
  <conditionalFormatting sqref="O64">
    <cfRule type="cellIs" dxfId="79" priority="115" operator="greaterThan">
      <formula>3</formula>
    </cfRule>
  </conditionalFormatting>
  <conditionalFormatting sqref="O68">
    <cfRule type="cellIs" dxfId="78" priority="111" operator="greaterThan">
      <formula>3</formula>
    </cfRule>
  </conditionalFormatting>
  <conditionalFormatting sqref="O67">
    <cfRule type="cellIs" dxfId="77" priority="112" operator="greaterThan">
      <formula>3</formula>
    </cfRule>
  </conditionalFormatting>
  <conditionalFormatting sqref="O17:O18">
    <cfRule type="cellIs" dxfId="76" priority="110" operator="greaterThan">
      <formula>3</formula>
    </cfRule>
  </conditionalFormatting>
  <conditionalFormatting sqref="O77">
    <cfRule type="cellIs" dxfId="75" priority="109" operator="greaterThan">
      <formula>3</formula>
    </cfRule>
  </conditionalFormatting>
  <conditionalFormatting sqref="O71">
    <cfRule type="cellIs" dxfId="74" priority="108" operator="greaterThan">
      <formula>3</formula>
    </cfRule>
  </conditionalFormatting>
  <conditionalFormatting sqref="O74">
    <cfRule type="cellIs" dxfId="73" priority="107" operator="greaterThan">
      <formula>3</formula>
    </cfRule>
  </conditionalFormatting>
  <conditionalFormatting sqref="O76">
    <cfRule type="cellIs" dxfId="72" priority="106" operator="greaterThan">
      <formula>3</formula>
    </cfRule>
  </conditionalFormatting>
  <conditionalFormatting sqref="O72">
    <cfRule type="cellIs" dxfId="71" priority="103" operator="greaterThan">
      <formula>3</formula>
    </cfRule>
  </conditionalFormatting>
  <conditionalFormatting sqref="O79">
    <cfRule type="cellIs" dxfId="70" priority="102" operator="greaterThan">
      <formula>3</formula>
    </cfRule>
  </conditionalFormatting>
  <conditionalFormatting sqref="O81">
    <cfRule type="cellIs" dxfId="69" priority="101" operator="greaterThan">
      <formula>3</formula>
    </cfRule>
  </conditionalFormatting>
  <conditionalFormatting sqref="O82">
    <cfRule type="cellIs" dxfId="68" priority="100" operator="greaterThan">
      <formula>3</formula>
    </cfRule>
  </conditionalFormatting>
  <conditionalFormatting sqref="O84">
    <cfRule type="cellIs" dxfId="67" priority="99" operator="greaterThan">
      <formula>3</formula>
    </cfRule>
  </conditionalFormatting>
  <conditionalFormatting sqref="O166:O171">
    <cfRule type="cellIs" dxfId="66" priority="94" operator="greaterThan">
      <formula>3</formula>
    </cfRule>
  </conditionalFormatting>
  <conditionalFormatting sqref="O85">
    <cfRule type="cellIs" dxfId="65" priority="93" operator="greaterThan">
      <formula>3</formula>
    </cfRule>
  </conditionalFormatting>
  <conditionalFormatting sqref="O86">
    <cfRule type="cellIs" dxfId="64" priority="92" operator="greaterThan">
      <formula>3</formula>
    </cfRule>
  </conditionalFormatting>
  <conditionalFormatting sqref="O87">
    <cfRule type="cellIs" dxfId="63" priority="91" operator="greaterThan">
      <formula>3</formula>
    </cfRule>
  </conditionalFormatting>
  <conditionalFormatting sqref="O88">
    <cfRule type="cellIs" dxfId="62" priority="90" operator="greaterThan">
      <formula>3</formula>
    </cfRule>
  </conditionalFormatting>
  <conditionalFormatting sqref="O89">
    <cfRule type="cellIs" dxfId="61" priority="88" operator="greaterThan">
      <formula>3</formula>
    </cfRule>
  </conditionalFormatting>
  <conditionalFormatting sqref="O90">
    <cfRule type="cellIs" dxfId="60" priority="87" operator="greaterThan">
      <formula>3</formula>
    </cfRule>
  </conditionalFormatting>
  <conditionalFormatting sqref="O75">
    <cfRule type="cellIs" dxfId="59" priority="84" operator="greaterThan">
      <formula>3</formula>
    </cfRule>
  </conditionalFormatting>
  <conditionalFormatting sqref="O92">
    <cfRule type="cellIs" dxfId="58" priority="83" operator="greaterThan">
      <formula>3</formula>
    </cfRule>
  </conditionalFormatting>
  <conditionalFormatting sqref="O91">
    <cfRule type="cellIs" dxfId="57" priority="82" operator="greaterThan">
      <formula>3</formula>
    </cfRule>
  </conditionalFormatting>
  <conditionalFormatting sqref="O93">
    <cfRule type="cellIs" dxfId="56" priority="81" operator="greaterThan">
      <formula>3</formula>
    </cfRule>
  </conditionalFormatting>
  <conditionalFormatting sqref="O95">
    <cfRule type="cellIs" dxfId="55" priority="78" operator="greaterThan">
      <formula>3</formula>
    </cfRule>
  </conditionalFormatting>
  <conditionalFormatting sqref="O94">
    <cfRule type="cellIs" dxfId="54" priority="79" operator="greaterThan">
      <formula>3</formula>
    </cfRule>
  </conditionalFormatting>
  <conditionalFormatting sqref="O96">
    <cfRule type="cellIs" dxfId="53" priority="76" operator="greaterThan">
      <formula>3</formula>
    </cfRule>
  </conditionalFormatting>
  <conditionalFormatting sqref="O97">
    <cfRule type="cellIs" dxfId="52" priority="75" operator="greaterThan">
      <formula>3</formula>
    </cfRule>
  </conditionalFormatting>
  <conditionalFormatting sqref="O98">
    <cfRule type="cellIs" dxfId="51" priority="73" operator="greaterThan">
      <formula>3</formula>
    </cfRule>
  </conditionalFormatting>
  <conditionalFormatting sqref="O99">
    <cfRule type="cellIs" dxfId="50" priority="72" operator="greaterThan">
      <formula>3</formula>
    </cfRule>
  </conditionalFormatting>
  <conditionalFormatting sqref="O100">
    <cfRule type="cellIs" dxfId="49" priority="71" operator="greaterThan">
      <formula>3</formula>
    </cfRule>
  </conditionalFormatting>
  <conditionalFormatting sqref="O101">
    <cfRule type="cellIs" dxfId="48" priority="70" operator="greaterThan">
      <formula>3</formula>
    </cfRule>
  </conditionalFormatting>
  <conditionalFormatting sqref="O102">
    <cfRule type="cellIs" dxfId="47" priority="69" operator="greaterThan">
      <formula>3</formula>
    </cfRule>
  </conditionalFormatting>
  <conditionalFormatting sqref="O103">
    <cfRule type="cellIs" dxfId="46" priority="66" operator="greaterThan">
      <formula>3</formula>
    </cfRule>
  </conditionalFormatting>
  <conditionalFormatting sqref="O104">
    <cfRule type="cellIs" dxfId="45" priority="65" operator="greaterThan">
      <formula>3</formula>
    </cfRule>
  </conditionalFormatting>
  <conditionalFormatting sqref="O164:O165">
    <cfRule type="cellIs" dxfId="44" priority="64" operator="greaterThan">
      <formula>3</formula>
    </cfRule>
  </conditionalFormatting>
  <conditionalFormatting sqref="O106">
    <cfRule type="cellIs" dxfId="43" priority="60" operator="greaterThan">
      <formula>3</formula>
    </cfRule>
  </conditionalFormatting>
  <conditionalFormatting sqref="O107">
    <cfRule type="cellIs" dxfId="42" priority="58" operator="greaterThan">
      <formula>3</formula>
    </cfRule>
  </conditionalFormatting>
  <conditionalFormatting sqref="O108">
    <cfRule type="cellIs" dxfId="41" priority="53" operator="greaterThan">
      <formula>3</formula>
    </cfRule>
  </conditionalFormatting>
  <conditionalFormatting sqref="O109">
    <cfRule type="cellIs" dxfId="40" priority="52" operator="greaterThan">
      <formula>3</formula>
    </cfRule>
  </conditionalFormatting>
  <conditionalFormatting sqref="O110">
    <cfRule type="cellIs" dxfId="39" priority="51" operator="greaterThan">
      <formula>3</formula>
    </cfRule>
  </conditionalFormatting>
  <conditionalFormatting sqref="O113">
    <cfRule type="cellIs" dxfId="38" priority="47" operator="greaterThan">
      <formula>3</formula>
    </cfRule>
  </conditionalFormatting>
  <conditionalFormatting sqref="O111">
    <cfRule type="cellIs" dxfId="37" priority="49" operator="greaterThan">
      <formula>3</formula>
    </cfRule>
  </conditionalFormatting>
  <conditionalFormatting sqref="O112">
    <cfRule type="cellIs" dxfId="36" priority="48" operator="greaterThan">
      <formula>3</formula>
    </cfRule>
  </conditionalFormatting>
  <conditionalFormatting sqref="O114">
    <cfRule type="cellIs" dxfId="35" priority="46" operator="greaterThan">
      <formula>3</formula>
    </cfRule>
  </conditionalFormatting>
  <conditionalFormatting sqref="O115">
    <cfRule type="cellIs" dxfId="34" priority="45" operator="greaterThan">
      <formula>3</formula>
    </cfRule>
  </conditionalFormatting>
  <conditionalFormatting sqref="O116">
    <cfRule type="cellIs" dxfId="33" priority="44" operator="greaterThan">
      <formula>3</formula>
    </cfRule>
  </conditionalFormatting>
  <conditionalFormatting sqref="O117">
    <cfRule type="cellIs" dxfId="32" priority="43" operator="greaterThan">
      <formula>3</formula>
    </cfRule>
  </conditionalFormatting>
  <conditionalFormatting sqref="O118">
    <cfRule type="cellIs" dxfId="31" priority="42" operator="greaterThan">
      <formula>3</formula>
    </cfRule>
  </conditionalFormatting>
  <conditionalFormatting sqref="O119">
    <cfRule type="cellIs" dxfId="30" priority="41" operator="greaterThan">
      <formula>3</formula>
    </cfRule>
  </conditionalFormatting>
  <conditionalFormatting sqref="O120">
    <cfRule type="cellIs" dxfId="29" priority="39" operator="greaterThan">
      <formula>3</formula>
    </cfRule>
  </conditionalFormatting>
  <conditionalFormatting sqref="O73">
    <cfRule type="cellIs" dxfId="28" priority="37" operator="greaterThan">
      <formula>3</formula>
    </cfRule>
  </conditionalFormatting>
  <conditionalFormatting sqref="O80">
    <cfRule type="cellIs" dxfId="27" priority="36" operator="greaterThan">
      <formula>3</formula>
    </cfRule>
  </conditionalFormatting>
  <conditionalFormatting sqref="O83">
    <cfRule type="cellIs" dxfId="26" priority="35" operator="greaterThan">
      <formula>3</formula>
    </cfRule>
  </conditionalFormatting>
  <conditionalFormatting sqref="O122">
    <cfRule type="cellIs" dxfId="25" priority="34" operator="greaterThan">
      <formula>3</formula>
    </cfRule>
  </conditionalFormatting>
  <conditionalFormatting sqref="O123">
    <cfRule type="cellIs" dxfId="24" priority="33" operator="greaterThan">
      <formula>3</formula>
    </cfRule>
  </conditionalFormatting>
  <conditionalFormatting sqref="O121">
    <cfRule type="cellIs" dxfId="23" priority="32" operator="greaterThan">
      <formula>3</formula>
    </cfRule>
  </conditionalFormatting>
  <conditionalFormatting sqref="O130">
    <cfRule type="cellIs" dxfId="22" priority="26" operator="greaterThan">
      <formula>3</formula>
    </cfRule>
  </conditionalFormatting>
  <conditionalFormatting sqref="O127">
    <cfRule type="cellIs" dxfId="21" priority="30" operator="greaterThan">
      <formula>3</formula>
    </cfRule>
  </conditionalFormatting>
  <conditionalFormatting sqref="O128">
    <cfRule type="cellIs" dxfId="20" priority="29" operator="greaterThan">
      <formula>3</formula>
    </cfRule>
  </conditionalFormatting>
  <conditionalFormatting sqref="O129">
    <cfRule type="cellIs" dxfId="19" priority="28" operator="greaterThan">
      <formula>3</formula>
    </cfRule>
  </conditionalFormatting>
  <conditionalFormatting sqref="O131">
    <cfRule type="cellIs" dxfId="18" priority="25" operator="greaterThan">
      <formula>3</formula>
    </cfRule>
  </conditionalFormatting>
  <conditionalFormatting sqref="O159">
    <cfRule type="cellIs" dxfId="17" priority="23" operator="greaterThan">
      <formula>3</formula>
    </cfRule>
  </conditionalFormatting>
  <conditionalFormatting sqref="O132">
    <cfRule type="cellIs" dxfId="16" priority="21" operator="greaterThan">
      <formula>3</formula>
    </cfRule>
  </conditionalFormatting>
  <conditionalFormatting sqref="O134">
    <cfRule type="cellIs" dxfId="15" priority="18" operator="greaterThan">
      <formula>3</formula>
    </cfRule>
  </conditionalFormatting>
  <conditionalFormatting sqref="O133">
    <cfRule type="cellIs" dxfId="14" priority="19" operator="greaterThan">
      <formula>3</formula>
    </cfRule>
  </conditionalFormatting>
  <conditionalFormatting sqref="O125">
    <cfRule type="cellIs" dxfId="13" priority="17" operator="greaterThan">
      <formula>3</formula>
    </cfRule>
  </conditionalFormatting>
  <conditionalFormatting sqref="O135">
    <cfRule type="cellIs" dxfId="12" priority="16" operator="greaterThan">
      <formula>3</formula>
    </cfRule>
  </conditionalFormatting>
  <conditionalFormatting sqref="O154:O157 O152">
    <cfRule type="cellIs" dxfId="11" priority="15" operator="greaterThan">
      <formula>3</formula>
    </cfRule>
  </conditionalFormatting>
  <conditionalFormatting sqref="O153">
    <cfRule type="cellIs" dxfId="10" priority="14" operator="greaterThan">
      <formula>3</formula>
    </cfRule>
  </conditionalFormatting>
  <conditionalFormatting sqref="O146:O148 O143">
    <cfRule type="cellIs" dxfId="9" priority="13" operator="greaterThan">
      <formula>3</formula>
    </cfRule>
  </conditionalFormatting>
  <conditionalFormatting sqref="O149:O150">
    <cfRule type="cellIs" dxfId="8" priority="12" operator="greaterThan">
      <formula>3</formula>
    </cfRule>
  </conditionalFormatting>
  <conditionalFormatting sqref="O144">
    <cfRule type="cellIs" dxfId="7" priority="11" operator="greaterThan">
      <formula>3</formula>
    </cfRule>
  </conditionalFormatting>
  <conditionalFormatting sqref="O141:O142">
    <cfRule type="cellIs" dxfId="6" priority="10" operator="greaterThan">
      <formula>3</formula>
    </cfRule>
  </conditionalFormatting>
  <conditionalFormatting sqref="O136">
    <cfRule type="cellIs" dxfId="5" priority="8" operator="greaterThan">
      <formula>3</formula>
    </cfRule>
  </conditionalFormatting>
  <conditionalFormatting sqref="O137">
    <cfRule type="cellIs" dxfId="4" priority="7" operator="greaterThan">
      <formula>3</formula>
    </cfRule>
  </conditionalFormatting>
  <conditionalFormatting sqref="O138">
    <cfRule type="cellIs" dxfId="3" priority="4" operator="greaterThan">
      <formula>3</formula>
    </cfRule>
  </conditionalFormatting>
  <conditionalFormatting sqref="O139">
    <cfRule type="cellIs" dxfId="2" priority="3" operator="greaterThan">
      <formula>3</formula>
    </cfRule>
  </conditionalFormatting>
  <conditionalFormatting sqref="O140">
    <cfRule type="cellIs" dxfId="1" priority="2" operator="greaterThan">
      <formula>3</formula>
    </cfRule>
  </conditionalFormatting>
  <conditionalFormatting sqref="O145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F42" sqref="F42"/>
    </sheetView>
  </sheetViews>
  <sheetFormatPr defaultColWidth="8.88671875" defaultRowHeight="13.8"/>
  <cols>
    <col min="1" max="1" width="9.109375" bestFit="1" customWidth="1"/>
    <col min="2" max="2" width="17.109375" bestFit="1" customWidth="1"/>
    <col min="3" max="3" width="9.44140625" bestFit="1" customWidth="1"/>
    <col min="4" max="4" width="7.44140625" bestFit="1" customWidth="1"/>
  </cols>
  <sheetData>
    <row r="1" spans="1:6">
      <c r="A1" s="15">
        <v>43738</v>
      </c>
      <c r="B1" t="s">
        <v>111</v>
      </c>
      <c r="C1">
        <v>100032</v>
      </c>
      <c r="D1">
        <v>2.6859999999999999</v>
      </c>
      <c r="F1" s="25"/>
    </row>
    <row r="2" spans="1:6">
      <c r="A2" s="15">
        <v>43738</v>
      </c>
      <c r="B2" t="s">
        <v>112</v>
      </c>
      <c r="C2">
        <v>510050</v>
      </c>
      <c r="D2">
        <v>2.948</v>
      </c>
      <c r="F2" s="25"/>
    </row>
    <row r="3" spans="1:6">
      <c r="A3" s="15">
        <v>43738</v>
      </c>
      <c r="B3" t="s">
        <v>113</v>
      </c>
      <c r="C3">
        <v>510300</v>
      </c>
      <c r="D3">
        <v>3.8797999999999999</v>
      </c>
      <c r="F3" s="25"/>
    </row>
    <row r="4" spans="1:6">
      <c r="A4" s="15">
        <v>43738</v>
      </c>
      <c r="B4" t="s">
        <v>7620</v>
      </c>
      <c r="C4">
        <v>100038</v>
      </c>
      <c r="D4">
        <v>1.952</v>
      </c>
      <c r="F4" s="25"/>
    </row>
    <row r="5" spans="1:6">
      <c r="A5" s="15">
        <v>43738</v>
      </c>
      <c r="B5" t="s">
        <v>18</v>
      </c>
      <c r="C5">
        <v>510500</v>
      </c>
      <c r="D5">
        <v>5.3403999999999998</v>
      </c>
      <c r="F5" s="25"/>
    </row>
    <row r="6" spans="1:6">
      <c r="A6" s="15">
        <v>43738</v>
      </c>
      <c r="B6" t="s">
        <v>7621</v>
      </c>
      <c r="C6">
        <v>161017</v>
      </c>
      <c r="D6">
        <v>1.9630000000000001</v>
      </c>
      <c r="F6" s="25"/>
    </row>
    <row r="7" spans="1:6">
      <c r="A7" s="15">
        <v>43738</v>
      </c>
      <c r="B7" t="s">
        <v>19</v>
      </c>
      <c r="C7">
        <v>512100</v>
      </c>
      <c r="D7">
        <v>0.66520000000000001</v>
      </c>
      <c r="F7" s="25"/>
    </row>
    <row r="8" spans="1:6">
      <c r="A8" s="15">
        <v>43738</v>
      </c>
      <c r="B8" t="s">
        <v>114</v>
      </c>
      <c r="C8">
        <v>159915</v>
      </c>
      <c r="D8">
        <v>1.5669</v>
      </c>
      <c r="F8" s="25"/>
    </row>
    <row r="9" spans="1:6">
      <c r="A9" s="15">
        <v>43738</v>
      </c>
      <c r="B9" t="s">
        <v>7622</v>
      </c>
      <c r="C9">
        <v>110026</v>
      </c>
      <c r="D9">
        <v>1.6890000000000001</v>
      </c>
      <c r="F9" s="25"/>
    </row>
    <row r="10" spans="1:6">
      <c r="A10" s="15">
        <v>43738</v>
      </c>
      <c r="B10" t="s">
        <v>7717</v>
      </c>
      <c r="C10">
        <v>159938</v>
      </c>
      <c r="D10">
        <v>1.3139000000000001</v>
      </c>
      <c r="F10" s="25"/>
    </row>
    <row r="11" spans="1:6">
      <c r="A11" s="15">
        <v>43738</v>
      </c>
      <c r="B11" t="s">
        <v>116</v>
      </c>
      <c r="C11">
        <v>1180</v>
      </c>
      <c r="D11">
        <v>0.82010000000000005</v>
      </c>
      <c r="F11" s="25"/>
    </row>
    <row r="12" spans="1:6">
      <c r="A12" s="15">
        <v>43738</v>
      </c>
      <c r="B12" t="s">
        <v>117</v>
      </c>
      <c r="C12">
        <v>968</v>
      </c>
      <c r="D12">
        <v>0.9425</v>
      </c>
      <c r="F12" s="25"/>
    </row>
    <row r="13" spans="1:6">
      <c r="A13" s="15">
        <v>43738</v>
      </c>
      <c r="B13" t="s">
        <v>22</v>
      </c>
      <c r="C13">
        <v>512880</v>
      </c>
      <c r="D13">
        <v>0.93979999999999997</v>
      </c>
      <c r="F13" s="25"/>
    </row>
    <row r="14" spans="1:6">
      <c r="A14" s="15">
        <v>43738</v>
      </c>
      <c r="B14" t="s">
        <v>20</v>
      </c>
      <c r="C14">
        <v>512580</v>
      </c>
      <c r="D14">
        <v>0.72850000000000004</v>
      </c>
      <c r="F14" s="25"/>
    </row>
    <row r="15" spans="1:6">
      <c r="A15" s="15">
        <v>43738</v>
      </c>
      <c r="B15" t="s">
        <v>118</v>
      </c>
      <c r="C15">
        <v>1064</v>
      </c>
      <c r="D15">
        <v>0.54730000000000001</v>
      </c>
      <c r="F15" s="25"/>
    </row>
    <row r="16" spans="1:6">
      <c r="A16" s="15">
        <v>43738</v>
      </c>
      <c r="B16" t="s">
        <v>23</v>
      </c>
      <c r="C16">
        <v>512980</v>
      </c>
      <c r="D16">
        <v>0.75039999999999996</v>
      </c>
      <c r="F16" s="25"/>
    </row>
    <row r="17" spans="1:6">
      <c r="A17" s="15">
        <v>43738</v>
      </c>
      <c r="B17" t="s">
        <v>7623</v>
      </c>
      <c r="C17">
        <v>4752</v>
      </c>
      <c r="D17">
        <v>0.75449999999999995</v>
      </c>
      <c r="F17" s="25"/>
    </row>
    <row r="18" spans="1:6">
      <c r="A18" s="15">
        <v>43738</v>
      </c>
      <c r="B18" t="s">
        <v>7288</v>
      </c>
      <c r="C18">
        <v>110022</v>
      </c>
      <c r="D18">
        <v>2.8860000000000001</v>
      </c>
      <c r="F18" s="25"/>
    </row>
    <row r="19" spans="1:6">
      <c r="A19" s="15">
        <v>43738</v>
      </c>
      <c r="B19" t="s">
        <v>119</v>
      </c>
      <c r="C19">
        <v>1469</v>
      </c>
      <c r="D19">
        <v>1.0722</v>
      </c>
      <c r="F19" s="25"/>
    </row>
    <row r="20" spans="1:6">
      <c r="A20" s="15">
        <v>43735</v>
      </c>
      <c r="B20" t="s">
        <v>120</v>
      </c>
      <c r="C20">
        <v>614</v>
      </c>
      <c r="D20">
        <v>1.1339999999999999</v>
      </c>
      <c r="F20" s="25"/>
    </row>
    <row r="21" spans="1:6">
      <c r="A21" s="15">
        <v>43738</v>
      </c>
      <c r="B21" t="s">
        <v>121</v>
      </c>
      <c r="C21">
        <v>71</v>
      </c>
      <c r="D21">
        <v>1.4693000000000001</v>
      </c>
      <c r="F21" s="25"/>
    </row>
    <row r="22" spans="1:6">
      <c r="A22" s="15">
        <v>43735</v>
      </c>
      <c r="B22" t="s">
        <v>7297</v>
      </c>
      <c r="C22">
        <v>164906</v>
      </c>
      <c r="D22">
        <v>1.1619999999999999</v>
      </c>
      <c r="F22" s="25"/>
    </row>
    <row r="23" spans="1:6">
      <c r="A23" s="15">
        <v>43738</v>
      </c>
      <c r="B23" t="s">
        <v>122</v>
      </c>
      <c r="C23">
        <v>3376</v>
      </c>
      <c r="D23">
        <v>1.0754999999999999</v>
      </c>
      <c r="F23" s="25"/>
    </row>
    <row r="24" spans="1:6">
      <c r="A24" s="15">
        <v>43735</v>
      </c>
      <c r="B24" t="s">
        <v>123</v>
      </c>
      <c r="C24">
        <v>1061</v>
      </c>
      <c r="D24">
        <v>1.538</v>
      </c>
      <c r="F24" s="25"/>
    </row>
    <row r="25" spans="1:6">
      <c r="A25" s="15">
        <v>43738</v>
      </c>
      <c r="B25" t="s">
        <v>7624</v>
      </c>
      <c r="C25">
        <v>340001</v>
      </c>
      <c r="D25">
        <v>3.7810999999999999</v>
      </c>
      <c r="F25" s="25"/>
    </row>
    <row r="26" spans="1:6">
      <c r="A26" s="15">
        <v>43738</v>
      </c>
      <c r="B26" t="s">
        <v>7625</v>
      </c>
      <c r="C26">
        <v>519977</v>
      </c>
      <c r="D26">
        <v>2.2978999999999998</v>
      </c>
      <c r="F26" s="25"/>
    </row>
    <row r="27" spans="1:6">
      <c r="A27" s="15">
        <v>43738</v>
      </c>
      <c r="B27" t="s">
        <v>7626</v>
      </c>
      <c r="C27">
        <v>110027</v>
      </c>
      <c r="D27">
        <v>2.581</v>
      </c>
      <c r="F27" s="25"/>
    </row>
    <row r="28" spans="1:6">
      <c r="A28" s="15">
        <v>43735</v>
      </c>
      <c r="B28" t="s">
        <v>7627</v>
      </c>
      <c r="C28">
        <v>162411</v>
      </c>
      <c r="D28">
        <v>0.40300000000000002</v>
      </c>
      <c r="F28" s="25"/>
    </row>
    <row r="29" spans="1:6">
      <c r="A29" s="15">
        <v>43738</v>
      </c>
      <c r="B29" t="s">
        <v>21</v>
      </c>
      <c r="C29">
        <v>518880</v>
      </c>
      <c r="D29">
        <v>1.286</v>
      </c>
      <c r="F29" s="25"/>
    </row>
    <row r="30" spans="1:6">
      <c r="A30" s="15"/>
      <c r="F30" s="25"/>
    </row>
    <row r="31" spans="1:6">
      <c r="A31" s="15" t="s">
        <v>7628</v>
      </c>
      <c r="B31">
        <v>9.7899999999999991</v>
      </c>
      <c r="C31">
        <v>1.02</v>
      </c>
      <c r="D31">
        <v>0.1331</v>
      </c>
      <c r="F31" s="25"/>
    </row>
    <row r="32" spans="1:6">
      <c r="A32" s="15" t="s">
        <v>7629</v>
      </c>
      <c r="B32">
        <v>10.24</v>
      </c>
      <c r="C32">
        <v>1.2</v>
      </c>
      <c r="D32">
        <v>0.12570000000000001</v>
      </c>
    </row>
    <row r="33" spans="1:4">
      <c r="A33" t="s">
        <v>7630</v>
      </c>
      <c r="B33">
        <v>12.85</v>
      </c>
      <c r="C33">
        <v>1.45</v>
      </c>
      <c r="D33">
        <v>0.1222</v>
      </c>
    </row>
    <row r="34" spans="1:4">
      <c r="A34" t="s">
        <v>7630</v>
      </c>
      <c r="B34">
        <v>12.85</v>
      </c>
      <c r="C34">
        <v>1.45</v>
      </c>
      <c r="D34">
        <v>0.1222</v>
      </c>
    </row>
    <row r="35" spans="1:4">
      <c r="A35" t="s">
        <v>7631</v>
      </c>
      <c r="B35">
        <v>23</v>
      </c>
      <c r="C35">
        <v>1.81</v>
      </c>
      <c r="D35">
        <v>7.4200000000000002E-2</v>
      </c>
    </row>
    <row r="36" spans="1:4">
      <c r="A36" t="s">
        <v>7631</v>
      </c>
      <c r="B36">
        <v>23</v>
      </c>
      <c r="C36">
        <v>1.81</v>
      </c>
      <c r="D36">
        <v>7.4200000000000002E-2</v>
      </c>
    </row>
    <row r="37" spans="1:4">
      <c r="A37" t="s">
        <v>7632</v>
      </c>
      <c r="B37">
        <v>32.43</v>
      </c>
      <c r="C37">
        <v>2.13</v>
      </c>
      <c r="D37">
        <v>5.5100000000000003E-2</v>
      </c>
    </row>
    <row r="38" spans="1:4">
      <c r="A38" t="s">
        <v>7633</v>
      </c>
      <c r="B38">
        <v>55.5</v>
      </c>
      <c r="C38">
        <v>4.6900000000000004</v>
      </c>
      <c r="D38">
        <v>8.8999999999999996E-2</v>
      </c>
    </row>
    <row r="39" spans="1:4">
      <c r="A39" t="s">
        <v>7633</v>
      </c>
      <c r="B39">
        <v>55.5</v>
      </c>
      <c r="C39">
        <v>4.6900000000000004</v>
      </c>
      <c r="D39">
        <v>8.8999999999999996E-2</v>
      </c>
    </row>
    <row r="40" spans="1:4">
      <c r="A40" t="s">
        <v>7634</v>
      </c>
      <c r="B40">
        <v>30.13</v>
      </c>
      <c r="C40">
        <v>3.72</v>
      </c>
      <c r="D40">
        <v>0.1011</v>
      </c>
    </row>
    <row r="41" spans="1:4">
      <c r="A41" t="s">
        <v>7634</v>
      </c>
      <c r="B41">
        <v>30.13</v>
      </c>
      <c r="C41">
        <v>3.72</v>
      </c>
      <c r="D41">
        <v>0.1011</v>
      </c>
    </row>
    <row r="42" spans="1:4">
      <c r="A42" t="s">
        <v>7635</v>
      </c>
      <c r="B42">
        <v>23.25</v>
      </c>
      <c r="C42">
        <v>3.07</v>
      </c>
      <c r="D42">
        <v>0.15690000000000001</v>
      </c>
    </row>
    <row r="43" spans="1:4">
      <c r="A43" t="s">
        <v>7636</v>
      </c>
      <c r="B43">
        <v>29.65</v>
      </c>
      <c r="C43">
        <v>1.64</v>
      </c>
      <c r="D43">
        <v>5.5300000000000002E-2</v>
      </c>
    </row>
    <row r="44" spans="1:4">
      <c r="A44" t="s">
        <v>7637</v>
      </c>
      <c r="B44">
        <v>26.42</v>
      </c>
      <c r="C44">
        <v>2.15</v>
      </c>
      <c r="D44">
        <v>9.7799999999999998E-2</v>
      </c>
    </row>
    <row r="45" spans="1:4">
      <c r="A45" t="s">
        <v>7637</v>
      </c>
      <c r="B45">
        <v>26.42</v>
      </c>
      <c r="C45">
        <v>2.15</v>
      </c>
      <c r="D45">
        <v>9.7799999999999998E-2</v>
      </c>
    </row>
    <row r="46" spans="1:4">
      <c r="A46" t="s">
        <v>7638</v>
      </c>
      <c r="B46">
        <v>33.28</v>
      </c>
      <c r="C46">
        <v>2.68</v>
      </c>
      <c r="D46">
        <v>7.7600000000000002E-2</v>
      </c>
    </row>
    <row r="47" spans="1:4">
      <c r="A47" t="s">
        <v>7638</v>
      </c>
      <c r="B47">
        <v>33.28</v>
      </c>
      <c r="C47">
        <v>2.68</v>
      </c>
      <c r="D47">
        <v>7.7600000000000002E-2</v>
      </c>
    </row>
    <row r="48" spans="1:4">
      <c r="A48" t="s">
        <v>7639</v>
      </c>
      <c r="B48">
        <v>33.979999999999997</v>
      </c>
      <c r="C48">
        <v>6.34</v>
      </c>
      <c r="D48">
        <v>0.1885</v>
      </c>
    </row>
    <row r="50" spans="1:3">
      <c r="A50" t="s">
        <v>7629</v>
      </c>
      <c r="B50">
        <v>16</v>
      </c>
      <c r="C50">
        <v>2897.7</v>
      </c>
    </row>
    <row r="51" spans="1:3">
      <c r="A51" t="s">
        <v>7630</v>
      </c>
      <c r="B51">
        <v>300</v>
      </c>
      <c r="C51">
        <v>3814.53</v>
      </c>
    </row>
    <row r="52" spans="1:3">
      <c r="A52" t="s">
        <v>7631</v>
      </c>
      <c r="B52">
        <v>905</v>
      </c>
      <c r="C52">
        <v>4940.8999999999996</v>
      </c>
    </row>
    <row r="53" spans="1:3">
      <c r="A53" t="s">
        <v>7632</v>
      </c>
      <c r="B53">
        <v>852</v>
      </c>
      <c r="C53">
        <v>5232.3900000000003</v>
      </c>
    </row>
    <row r="54" spans="1:3">
      <c r="A54" t="s">
        <v>114</v>
      </c>
      <c r="B54">
        <v>399006</v>
      </c>
      <c r="C54">
        <v>1627.55</v>
      </c>
    </row>
    <row r="55" spans="1:3">
      <c r="A55" t="s">
        <v>7628</v>
      </c>
      <c r="B55">
        <v>922</v>
      </c>
      <c r="C55">
        <v>4193.8900000000003</v>
      </c>
    </row>
    <row r="56" spans="1:3">
      <c r="A56" t="s">
        <v>7635</v>
      </c>
      <c r="B56">
        <v>399812</v>
      </c>
      <c r="C56">
        <v>7047.57</v>
      </c>
    </row>
    <row r="57" spans="1:3">
      <c r="A57" t="s">
        <v>7634</v>
      </c>
      <c r="B57">
        <v>991</v>
      </c>
      <c r="C57">
        <v>9482.43</v>
      </c>
    </row>
    <row r="58" spans="1:3">
      <c r="A58" t="s">
        <v>7638</v>
      </c>
      <c r="B58">
        <v>399971</v>
      </c>
      <c r="C58">
        <v>1237.1500000000001</v>
      </c>
    </row>
    <row r="59" spans="1:3">
      <c r="A59" t="s">
        <v>7637</v>
      </c>
      <c r="B59">
        <v>827</v>
      </c>
      <c r="C59">
        <v>1171.27</v>
      </c>
    </row>
    <row r="60" spans="1:3">
      <c r="A60" t="s">
        <v>7640</v>
      </c>
      <c r="B60">
        <v>990</v>
      </c>
      <c r="C60">
        <v>13606.43</v>
      </c>
    </row>
    <row r="61" spans="1:3">
      <c r="A61" t="s">
        <v>7641</v>
      </c>
      <c r="B61">
        <v>992</v>
      </c>
      <c r="C61">
        <v>5784.04</v>
      </c>
    </row>
    <row r="62" spans="1:3">
      <c r="A62" t="s">
        <v>7636</v>
      </c>
      <c r="B62">
        <v>399975</v>
      </c>
      <c r="C62">
        <v>711.09</v>
      </c>
    </row>
    <row r="63" spans="1:3">
      <c r="A63" t="s">
        <v>7642</v>
      </c>
      <c r="B63" t="s">
        <v>7643</v>
      </c>
      <c r="C63">
        <v>26092.27</v>
      </c>
    </row>
    <row r="64" spans="1:3">
      <c r="A64" t="s">
        <v>120</v>
      </c>
      <c r="B64" t="s">
        <v>7644</v>
      </c>
      <c r="C64">
        <v>12428.08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zoomScaleNormal="100" workbookViewId="0">
      <pane ySplit="1" topLeftCell="A2" activePane="bottomLeft" state="frozen"/>
      <selection pane="bottomLeft" activeCell="F49" sqref="F49"/>
    </sheetView>
  </sheetViews>
  <sheetFormatPr defaultColWidth="11" defaultRowHeight="13.8"/>
  <cols>
    <col min="1" max="1" width="17.33203125" style="116" bestFit="1" customWidth="1"/>
    <col min="2" max="2" width="19.33203125" style="116" bestFit="1" customWidth="1"/>
    <col min="3" max="3" width="20.109375" style="116" customWidth="1"/>
    <col min="4" max="4" width="15.109375" style="116" bestFit="1" customWidth="1"/>
    <col min="5" max="5" width="9" style="116" bestFit="1" customWidth="1"/>
    <col min="6" max="6" width="13" style="116" bestFit="1" customWidth="1"/>
    <col min="7" max="7" width="10.33203125" style="116" bestFit="1" customWidth="1"/>
    <col min="8" max="8" width="7.88671875" style="116" bestFit="1" customWidth="1"/>
    <col min="9" max="9" width="7.44140625" style="136" bestFit="1" customWidth="1"/>
    <col min="10" max="10" width="9" style="136" customWidth="1"/>
    <col min="11" max="13" width="15.109375" style="116" bestFit="1" customWidth="1"/>
    <col min="14" max="14" width="29.109375" style="116" customWidth="1"/>
    <col min="15" max="16" width="9.10937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86" t="str">
        <f>"A股"&amp;" , "&amp;TEXT(SUM(E2:E20),"0.00%")</f>
        <v>A股 , 48.32%</v>
      </c>
      <c r="B2" s="186" t="str">
        <f>"大盘股"&amp;" , "&amp;TEXT(SUM(E2:E4),"0.00%")</f>
        <v>大盘股 , 5.21%</v>
      </c>
      <c r="C2" s="117" t="str">
        <f>"上证50"&amp;" , "&amp;TEXT(SUM(E2:E2),"0.00%")</f>
        <v>上证50 , 0.62%</v>
      </c>
      <c r="D2" s="117" t="s">
        <v>7541</v>
      </c>
      <c r="E2" s="118">
        <f t="shared" ref="E2:E33" si="0">F2/$F$34</f>
        <v>6.2265739007518811E-3</v>
      </c>
      <c r="F2" s="35">
        <f t="shared" ref="F2:F25" si="1">SUM(G2:H2)</f>
        <v>7951.5</v>
      </c>
      <c r="G2" s="140">
        <v>7951.5</v>
      </c>
      <c r="H2" s="35"/>
      <c r="I2" s="139">
        <v>510050</v>
      </c>
      <c r="K2" s="115">
        <f>K4+K6+K8+K10</f>
        <v>1222553.75</v>
      </c>
      <c r="M2" s="125"/>
      <c r="N2" s="139"/>
      <c r="O2"/>
    </row>
    <row r="3" spans="1:15">
      <c r="A3" s="186"/>
      <c r="B3" s="187"/>
      <c r="C3" s="186" t="str">
        <f>"沪深300"&amp;" , "&amp;TEXT(SUM(E3:E4),"0.00%")</f>
        <v>沪深300 , 4.58%</v>
      </c>
      <c r="D3" s="117" t="s">
        <v>7542</v>
      </c>
      <c r="E3" s="118">
        <f t="shared" si="0"/>
        <v>2.7570218353805215E-2</v>
      </c>
      <c r="F3" s="35">
        <f t="shared" si="1"/>
        <v>35207.9</v>
      </c>
      <c r="G3" s="140">
        <v>35207.9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86"/>
      <c r="B4" s="187"/>
      <c r="C4" s="187"/>
      <c r="D4" s="117" t="s">
        <v>7543</v>
      </c>
      <c r="E4" s="118">
        <f t="shared" si="0"/>
        <v>1.8277513923516637E-2</v>
      </c>
      <c r="F4" s="35">
        <f t="shared" si="1"/>
        <v>23340.87</v>
      </c>
      <c r="G4" s="151">
        <v>23340.87</v>
      </c>
      <c r="I4" s="139">
        <v>100038</v>
      </c>
      <c r="K4" s="115">
        <v>800000</v>
      </c>
      <c r="M4" s="115"/>
      <c r="N4" s="139"/>
      <c r="O4"/>
    </row>
    <row r="5" spans="1:15">
      <c r="A5" s="186"/>
      <c r="B5" s="186" t="str">
        <f>"中小盘股"&amp;" , "&amp;TEXT(SUM(E5:E9),"0.00%")</f>
        <v>中小盘股 , 18.88%</v>
      </c>
      <c r="C5" s="186" t="str">
        <f>"中证500"&amp;" , "&amp;TEXT(SUM(E5:E6),"0.00%")</f>
        <v>中证500 , 17.12%</v>
      </c>
      <c r="D5" s="117" t="s">
        <v>7545</v>
      </c>
      <c r="E5" s="118">
        <f t="shared" si="0"/>
        <v>0.15928799975117197</v>
      </c>
      <c r="F5" s="35">
        <f t="shared" si="1"/>
        <v>203415</v>
      </c>
      <c r="G5" s="140">
        <v>203415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86"/>
      <c r="B6" s="186"/>
      <c r="C6" s="186"/>
      <c r="D6" s="117" t="s">
        <v>7544</v>
      </c>
      <c r="E6" s="118">
        <f t="shared" si="0"/>
        <v>1.1895218902736648E-2</v>
      </c>
      <c r="F6" s="35">
        <f t="shared" si="1"/>
        <v>15190.51</v>
      </c>
      <c r="G6" s="141">
        <v>15190.51</v>
      </c>
      <c r="H6" s="35"/>
      <c r="I6" s="139">
        <v>161017</v>
      </c>
      <c r="K6" s="115">
        <v>100000</v>
      </c>
      <c r="N6" s="139"/>
      <c r="O6"/>
    </row>
    <row r="7" spans="1:15">
      <c r="A7" s="186"/>
      <c r="B7" s="186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>
      <c r="A8" s="186"/>
      <c r="B8" s="186"/>
      <c r="C8" s="186" t="str">
        <f>"创业板"&amp;" , "&amp;TEXT(SUM(E8:E9),"0.00%")</f>
        <v>创业板 , 1.76%</v>
      </c>
      <c r="D8" s="117" t="s">
        <v>7547</v>
      </c>
      <c r="E8" s="118">
        <f t="shared" si="0"/>
        <v>1.1310649993392463E-2</v>
      </c>
      <c r="F8" s="35">
        <f t="shared" si="1"/>
        <v>14444</v>
      </c>
      <c r="G8" s="140">
        <v>14444</v>
      </c>
      <c r="H8" s="35"/>
      <c r="I8" s="139">
        <v>159915</v>
      </c>
      <c r="K8" s="115">
        <v>0</v>
      </c>
      <c r="N8" s="139"/>
      <c r="O8"/>
    </row>
    <row r="9" spans="1:15">
      <c r="A9" s="186"/>
      <c r="B9" s="186"/>
      <c r="C9" s="186"/>
      <c r="D9" s="117" t="s">
        <v>7453</v>
      </c>
      <c r="E9" s="118">
        <f t="shared" si="0"/>
        <v>6.3367595529652742E-3</v>
      </c>
      <c r="F9" s="35">
        <f t="shared" si="1"/>
        <v>8092.21</v>
      </c>
      <c r="G9" s="141">
        <v>8092.21</v>
      </c>
      <c r="H9" s="35"/>
      <c r="I9" s="139">
        <v>110026</v>
      </c>
      <c r="K9" s="115" t="s">
        <v>7438</v>
      </c>
      <c r="N9" s="139"/>
      <c r="O9"/>
    </row>
    <row r="10" spans="1:15">
      <c r="A10" s="186"/>
      <c r="B10" s="117" t="str">
        <f>"红利价值"&amp;" , "&amp;TEXT(SUM(E10:E10),"0.00%")</f>
        <v>红利价值 , 5.56%</v>
      </c>
      <c r="C10" s="117" t="str">
        <f>"中证红利"&amp;" , "&amp;TEXT(SUM(E10:E10),"0.00%")</f>
        <v>中证红利 , 5.56%</v>
      </c>
      <c r="D10" s="117" t="s">
        <v>7454</v>
      </c>
      <c r="E10" s="118">
        <f t="shared" si="0"/>
        <v>5.5586300588338598E-2</v>
      </c>
      <c r="F10" s="35">
        <f t="shared" si="1"/>
        <v>70985.179999999993</v>
      </c>
      <c r="G10" s="141">
        <v>70985.179999999993</v>
      </c>
      <c r="H10" s="35"/>
      <c r="I10" s="139">
        <v>100032</v>
      </c>
      <c r="K10" s="115">
        <v>322553.75</v>
      </c>
      <c r="N10" s="139"/>
      <c r="O10"/>
    </row>
    <row r="11" spans="1:15">
      <c r="A11" s="186"/>
      <c r="B11" s="186" t="str">
        <f>"行业股"&amp;" , "&amp;TEXT(SUM(E11:E20),"0.00%")</f>
        <v>行业股 , 18.67%</v>
      </c>
      <c r="C11" s="117" t="str">
        <f>"养老产业"&amp;" , "&amp;TEXT(SUM(E11:E11),"0.00%")</f>
        <v>养老产业 , 4.69%</v>
      </c>
      <c r="D11" s="117" t="s">
        <v>7456</v>
      </c>
      <c r="E11" s="118">
        <f t="shared" si="0"/>
        <v>4.6858322096552857E-2</v>
      </c>
      <c r="F11" s="35">
        <f t="shared" si="1"/>
        <v>59839.32</v>
      </c>
      <c r="G11" s="141">
        <v>59839.32</v>
      </c>
      <c r="H11" s="35"/>
      <c r="I11" s="139">
        <v>968</v>
      </c>
      <c r="N11" s="139"/>
      <c r="O11"/>
    </row>
    <row r="12" spans="1:15">
      <c r="A12" s="186"/>
      <c r="B12" s="186"/>
      <c r="C12" s="186" t="str">
        <f>"全指医药"&amp;" , "&amp;TEXT(SUM(E12:E13),"0.00%")</f>
        <v>全指医药 , 4.11%</v>
      </c>
      <c r="D12" s="117" t="s">
        <v>7548</v>
      </c>
      <c r="E12" s="118">
        <f t="shared" si="0"/>
        <v>1.4783091583720596E-2</v>
      </c>
      <c r="F12" s="35">
        <f t="shared" si="1"/>
        <v>18878.400000000001</v>
      </c>
      <c r="G12" s="140">
        <v>18878.400000000001</v>
      </c>
      <c r="H12" s="35"/>
      <c r="I12" s="139">
        <v>159938</v>
      </c>
      <c r="N12" s="139"/>
      <c r="O12"/>
    </row>
    <row r="13" spans="1:15">
      <c r="A13" s="186"/>
      <c r="B13" s="186"/>
      <c r="C13" s="186"/>
      <c r="D13" s="117" t="s">
        <v>7457</v>
      </c>
      <c r="E13" s="118">
        <f t="shared" si="0"/>
        <v>2.6339546965712193E-2</v>
      </c>
      <c r="F13" s="35">
        <f t="shared" si="1"/>
        <v>33636.300000000003</v>
      </c>
      <c r="G13" s="151">
        <v>33636.300000000003</v>
      </c>
      <c r="I13" s="139">
        <v>1180</v>
      </c>
      <c r="N13" s="139"/>
      <c r="O13"/>
    </row>
    <row r="14" spans="1:15">
      <c r="A14" s="186"/>
      <c r="B14" s="186"/>
      <c r="C14" s="184" t="str">
        <f>"中证传媒"&amp;" , "&amp;TEXT(SUM(E14:E15),"0.00%")</f>
        <v>中证传媒 , 2.47%</v>
      </c>
      <c r="D14" s="157" t="s">
        <v>7562</v>
      </c>
      <c r="E14" s="118">
        <f t="shared" si="0"/>
        <v>4.639747027336597E-3</v>
      </c>
      <c r="F14" s="35">
        <f t="shared" si="1"/>
        <v>5925.08</v>
      </c>
      <c r="G14" s="151">
        <v>5925.08</v>
      </c>
      <c r="H14" s="156"/>
      <c r="I14" s="139">
        <v>4752</v>
      </c>
      <c r="N14" s="139"/>
      <c r="O14"/>
    </row>
    <row r="15" spans="1:15">
      <c r="A15" s="186"/>
      <c r="B15" s="186"/>
      <c r="C15" s="184"/>
      <c r="D15" s="117" t="s">
        <v>49</v>
      </c>
      <c r="E15" s="118">
        <f t="shared" si="0"/>
        <v>2.00803973906509E-2</v>
      </c>
      <c r="F15" s="35">
        <f t="shared" si="1"/>
        <v>25643.200000000001</v>
      </c>
      <c r="G15" s="140">
        <v>25643.200000000001</v>
      </c>
      <c r="H15" s="35"/>
      <c r="I15" s="139">
        <v>512980</v>
      </c>
      <c r="K15" s="121"/>
      <c r="N15" s="139"/>
      <c r="O15"/>
    </row>
    <row r="16" spans="1:15">
      <c r="A16" s="186"/>
      <c r="B16" s="186"/>
      <c r="C16" s="186" t="str">
        <f>"中证环保"&amp;" , "&amp;TEXT(SUM(E16:E17),"0.00%")</f>
        <v>中证环保 , 3.22%</v>
      </c>
      <c r="D16" s="117" t="s">
        <v>7461</v>
      </c>
      <c r="E16" s="118">
        <f t="shared" si="0"/>
        <v>1.926851135401636E-2</v>
      </c>
      <c r="F16" s="35">
        <f t="shared" si="1"/>
        <v>24606.400000000001</v>
      </c>
      <c r="G16" s="140">
        <v>24606.400000000001</v>
      </c>
      <c r="I16" s="139">
        <v>512580</v>
      </c>
      <c r="N16" s="139"/>
      <c r="O16"/>
    </row>
    <row r="17" spans="1:15">
      <c r="A17" s="186"/>
      <c r="B17" s="186"/>
      <c r="C17" s="186"/>
      <c r="D17" s="117" t="s">
        <v>7549</v>
      </c>
      <c r="E17" s="118">
        <f t="shared" si="0"/>
        <v>1.2915409149059802E-2</v>
      </c>
      <c r="F17" s="35">
        <f t="shared" si="1"/>
        <v>16493.32</v>
      </c>
      <c r="G17" s="151">
        <v>7335.96</v>
      </c>
      <c r="H17" s="35">
        <f>交易明细!T5</f>
        <v>9157.36</v>
      </c>
      <c r="I17" s="139">
        <v>1064</v>
      </c>
      <c r="N17" s="139"/>
      <c r="O17"/>
    </row>
    <row r="18" spans="1:15">
      <c r="A18" s="186"/>
      <c r="B18" s="186"/>
      <c r="C18" s="117" t="str">
        <f>"全指消费"&amp;" , "&amp;TEXT(SUM(E18:E18),"0.00%")</f>
        <v>全指消费 , 0.00%</v>
      </c>
      <c r="D18" s="117" t="s">
        <v>7550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86"/>
      <c r="B19" s="186"/>
      <c r="C19" s="117" t="str">
        <f>"金融地产"&amp;" , "&amp;TEXT(SUM(E19:E19),"0.00%")</f>
        <v>金融地产 , 1.78%</v>
      </c>
      <c r="D19" s="117" t="s">
        <v>7551</v>
      </c>
      <c r="E19" s="118">
        <f t="shared" si="0"/>
        <v>1.7769372557744533E-2</v>
      </c>
      <c r="F19" s="35">
        <f t="shared" si="1"/>
        <v>22691.96</v>
      </c>
      <c r="G19" s="141">
        <v>22691.96</v>
      </c>
      <c r="H19" s="35"/>
      <c r="I19" s="139">
        <v>1469</v>
      </c>
      <c r="N19" s="139"/>
      <c r="O19"/>
    </row>
    <row r="20" spans="1:15">
      <c r="A20" s="186"/>
      <c r="B20" s="186"/>
      <c r="C20" s="117" t="str">
        <f>"证券公司"&amp;" , "&amp;TEXT(SUM(E20:E20),"0.00%")</f>
        <v>证券公司 , 2.41%</v>
      </c>
      <c r="D20" s="117" t="s">
        <v>7552</v>
      </c>
      <c r="E20" s="118">
        <f t="shared" si="0"/>
        <v>2.4095584170013947E-2</v>
      </c>
      <c r="F20" s="35">
        <f t="shared" si="1"/>
        <v>30770.7</v>
      </c>
      <c r="G20" s="140">
        <v>30770.7</v>
      </c>
      <c r="H20" s="35"/>
      <c r="I20" s="139">
        <v>512880</v>
      </c>
      <c r="N20" s="139"/>
      <c r="O20"/>
    </row>
    <row r="21" spans="1:15">
      <c r="A21" s="186" t="str">
        <f>"海外新兴"&amp;" , "&amp;TEXT(SUM(E21:E22),"0.00%")</f>
        <v>海外新兴 , 1.80%</v>
      </c>
      <c r="B21" s="117" t="str">
        <f>"香港"&amp;" , "&amp;TEXT(SUM(E21:E21),"0.00%")</f>
        <v>香港 , 0.28%</v>
      </c>
      <c r="C21" s="117" t="str">
        <f>"恒生"&amp;" , "&amp;TEXT(SUM(E21:E21),"0.00%")</f>
        <v>恒生 , 0.28%</v>
      </c>
      <c r="D21" s="117" t="s">
        <v>7553</v>
      </c>
      <c r="E21" s="118">
        <f t="shared" si="0"/>
        <v>2.7505536846642777E-3</v>
      </c>
      <c r="F21" s="35">
        <f t="shared" si="1"/>
        <v>3512.53</v>
      </c>
      <c r="G21" s="141">
        <v>3512.53</v>
      </c>
      <c r="H21" s="35"/>
      <c r="I21" s="139">
        <v>71</v>
      </c>
      <c r="N21" s="139"/>
      <c r="O21"/>
    </row>
    <row r="22" spans="1:15">
      <c r="A22" s="186"/>
      <c r="B22" s="117" t="str">
        <f>"海外互联"&amp;" , "&amp;TEXT(SUM(E22:E22),"0.00%")</f>
        <v>海外互联 , 1.53%</v>
      </c>
      <c r="C22" s="117" t="str">
        <f>"海外互联网"&amp;" , "&amp;TEXT(SUM(E22:E22),"0.00%")</f>
        <v>海外互联网 , 1.53%</v>
      </c>
      <c r="D22" s="117" t="s">
        <v>7470</v>
      </c>
      <c r="E22" s="118">
        <f t="shared" si="0"/>
        <v>1.5267169236234814E-2</v>
      </c>
      <c r="F22" s="35">
        <f t="shared" si="1"/>
        <v>19496.580000000002</v>
      </c>
      <c r="G22" s="141">
        <v>19496.580000000002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1.83%</v>
      </c>
      <c r="B23" s="117" t="str">
        <f>"海外成熟"&amp;" , "&amp;TEXT(SUM(E23:E23),"0.00%")</f>
        <v>海外成熟 , 1.83%</v>
      </c>
      <c r="C23" s="117" t="str">
        <f>"德国30"&amp;" , "&amp;TEXT(SUM(E23:E23),"0.00%")</f>
        <v>德国30 , 1.83%</v>
      </c>
      <c r="D23" s="117" t="s">
        <v>7554</v>
      </c>
      <c r="E23" s="118">
        <f t="shared" si="0"/>
        <v>1.8331483045473482E-2</v>
      </c>
      <c r="F23" s="35">
        <f t="shared" si="1"/>
        <v>23409.79</v>
      </c>
      <c r="G23" s="141">
        <v>23409.79</v>
      </c>
      <c r="H23" s="35"/>
      <c r="I23" s="139">
        <v>614</v>
      </c>
      <c r="N23" s="139"/>
      <c r="O23"/>
    </row>
    <row r="24" spans="1:15">
      <c r="A24" s="186" t="str">
        <f>"商品"&amp;" , "&amp;TEXT(SUM(E24:E26),"0.00%")</f>
        <v>商品 , 2.37%</v>
      </c>
      <c r="B24" s="117" t="str">
        <f>"原油"&amp;" , "&amp;TEXT(SUM(E24:E24),"0.00%")</f>
        <v>原油 , 1.18%</v>
      </c>
      <c r="C24" s="117" t="str">
        <f>"原油"&amp;" , "&amp;TEXT(SUM(E24:E24),"0.00%")</f>
        <v>原油 , 1.18%</v>
      </c>
      <c r="D24" s="117" t="s">
        <v>7555</v>
      </c>
      <c r="E24" s="118">
        <f t="shared" si="0"/>
        <v>1.1760742447228113E-2</v>
      </c>
      <c r="F24" s="35">
        <f t="shared" si="1"/>
        <v>15018.78</v>
      </c>
      <c r="G24" s="141">
        <v>15018.78</v>
      </c>
      <c r="H24" s="35"/>
      <c r="I24" s="139">
        <v>162411</v>
      </c>
      <c r="N24" s="139"/>
      <c r="O24"/>
    </row>
    <row r="25" spans="1:15">
      <c r="A25" s="186"/>
      <c r="B25" s="117" t="str">
        <f>"黄金"&amp;" , "&amp;TEXT(SUM(E25:E25),"0.00%")</f>
        <v>黄金 , 1.20%</v>
      </c>
      <c r="C25" s="117" t="str">
        <f>"黄金"&amp;" , "&amp;TEXT(SUM(E25:E25),"0.00%")</f>
        <v>黄金 , 1.20%</v>
      </c>
      <c r="D25" s="117" t="s">
        <v>7556</v>
      </c>
      <c r="E25" s="118">
        <f t="shared" si="0"/>
        <v>1.1966861894144531E-2</v>
      </c>
      <c r="F25" s="35">
        <f t="shared" si="1"/>
        <v>15282</v>
      </c>
      <c r="G25" s="140">
        <v>15282</v>
      </c>
      <c r="H25" s="35"/>
      <c r="I25" s="139">
        <v>518880</v>
      </c>
      <c r="N25" s="139"/>
      <c r="O25"/>
    </row>
    <row r="26" spans="1:15">
      <c r="A26" s="186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7557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86" t="str">
        <f>"债券"&amp;" , "&amp;TEXT(SUM(E27:E30),"0.00%")</f>
        <v>债券 , 6.63%</v>
      </c>
      <c r="B27" s="186" t="str">
        <f>"国内债券"&amp;" , "&amp;TEXT(SUM(E27:E29),"0.00%")</f>
        <v>国内债券 , 6.05%</v>
      </c>
      <c r="C27" s="186" t="str">
        <f>"可转债"&amp;" , "&amp;TEXT(SUM(E27:E29),"0.00%")</f>
        <v>可转债 , 6.05%</v>
      </c>
      <c r="D27" s="117" t="s">
        <v>7474</v>
      </c>
      <c r="E27" s="118">
        <f t="shared" si="0"/>
        <v>2.8772707085206031E-2</v>
      </c>
      <c r="F27" s="35">
        <f t="shared" ref="F27:F32" si="2">SUM(G27:H27)</f>
        <v>36743.51</v>
      </c>
      <c r="G27" s="141">
        <v>36743.51</v>
      </c>
      <c r="H27" s="35"/>
      <c r="I27" s="139">
        <v>340001</v>
      </c>
      <c r="J27" s="118"/>
      <c r="N27" s="139"/>
      <c r="O27"/>
    </row>
    <row r="28" spans="1:15">
      <c r="A28" s="186"/>
      <c r="B28" s="186"/>
      <c r="C28" s="186"/>
      <c r="D28" s="117" t="s">
        <v>7475</v>
      </c>
      <c r="E28" s="118">
        <f t="shared" si="0"/>
        <v>5.5826248620114791E-3</v>
      </c>
      <c r="F28" s="35">
        <f t="shared" si="2"/>
        <v>7129.16</v>
      </c>
      <c r="G28" s="141">
        <v>7129.16</v>
      </c>
      <c r="H28" s="35"/>
      <c r="I28" s="139">
        <v>519977</v>
      </c>
      <c r="N28" s="139"/>
      <c r="O28"/>
    </row>
    <row r="29" spans="1:15">
      <c r="A29" s="186"/>
      <c r="B29" s="186"/>
      <c r="C29" s="186"/>
      <c r="D29" s="117" t="s">
        <v>7477</v>
      </c>
      <c r="E29" s="118">
        <f t="shared" si="0"/>
        <v>2.6110499255724152E-2</v>
      </c>
      <c r="F29" s="35">
        <f t="shared" si="2"/>
        <v>33343.800000000003</v>
      </c>
      <c r="G29" s="141">
        <v>33343.800000000003</v>
      </c>
      <c r="H29" s="35"/>
      <c r="I29" s="139">
        <v>110027</v>
      </c>
      <c r="N29" s="139"/>
      <c r="O29"/>
    </row>
    <row r="30" spans="1:15">
      <c r="A30" s="186"/>
      <c r="B30" s="117" t="str">
        <f>"海外债券"&amp;" , "&amp;TEXT(SUM(E30:E30),"0.00%")</f>
        <v>海外债券 , 0.59%</v>
      </c>
      <c r="C30" s="117" t="str">
        <f>"美元债"&amp;" , "&amp;TEXT(SUM(E30:E30),"0.00%")</f>
        <v>美元债 , 0.59%</v>
      </c>
      <c r="D30" s="117" t="s">
        <v>7558</v>
      </c>
      <c r="E30" s="118">
        <f t="shared" si="0"/>
        <v>5.8688444465507259E-3</v>
      </c>
      <c r="F30" s="35">
        <f t="shared" si="2"/>
        <v>7494.67</v>
      </c>
      <c r="G30" s="141">
        <v>7494.67</v>
      </c>
      <c r="H30" s="35"/>
      <c r="I30" s="139">
        <v>1061</v>
      </c>
      <c r="N30" s="139"/>
      <c r="O30"/>
    </row>
    <row r="31" spans="1:15">
      <c r="A31" s="186" t="str">
        <f>"现金"&amp;" , "&amp;TEXT(SUM(E31:E32),"0.00%")</f>
        <v>现金 , 13.78%</v>
      </c>
      <c r="B31" s="117" t="str">
        <f>"低风险理财"&amp;" , "&amp;TEXT(SUM(E31:E31),"0.00%")</f>
        <v>低风险理财 , 5.19%</v>
      </c>
      <c r="C31" s="117" t="str">
        <f>"货币基金"&amp;" , "&amp;TEXT(SUM(E31:E31),"0.00%")</f>
        <v>货币基金 , 5.19%</v>
      </c>
      <c r="D31" s="117" t="s">
        <v>7559</v>
      </c>
      <c r="E31" s="118">
        <f t="shared" si="0"/>
        <v>5.1941051310351795E-2</v>
      </c>
      <c r="F31" s="35">
        <f t="shared" si="2"/>
        <v>66330.099999999991</v>
      </c>
      <c r="G31" s="35">
        <f>交易明细!T8</f>
        <v>66330.099999999991</v>
      </c>
      <c r="H31" s="35"/>
      <c r="I31" s="139"/>
      <c r="O31" s="120"/>
    </row>
    <row r="32" spans="1:15">
      <c r="A32" s="186"/>
      <c r="B32" s="117" t="str">
        <f>"中低风险理财"&amp;" , "&amp;TEXT(SUM(E32:E32),"0.00%")</f>
        <v>中低风险理财 , 8.58%</v>
      </c>
      <c r="C32" s="117" t="str">
        <f>"地产定期"&amp;" , "&amp;TEXT(SUM(E32:E32),"0.00%")</f>
        <v>地产定期 , 8.58%</v>
      </c>
      <c r="D32" s="117" t="s">
        <v>7431</v>
      </c>
      <c r="E32" s="118">
        <f t="shared" si="0"/>
        <v>8.5824372699793261E-2</v>
      </c>
      <c r="F32" s="35">
        <f t="shared" si="2"/>
        <v>109600</v>
      </c>
      <c r="G32" s="35">
        <f>100000+9600</f>
        <v>109600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25.26%</v>
      </c>
      <c r="B33" s="117" t="str">
        <f>"住房公积金"&amp;" , "&amp;TEXT(SUM(E33:E33),"0.00%")</f>
        <v>住房公积金 , 25.26%</v>
      </c>
      <c r="C33" s="117" t="str">
        <f>"公积金"&amp;" , "&amp;TEXT(SUM(E33:E33),"0.00%")</f>
        <v>公积金 , 25.26%</v>
      </c>
      <c r="D33" s="117" t="s">
        <v>7560</v>
      </c>
      <c r="E33" s="118">
        <f t="shared" si="0"/>
        <v>0.25258187277113087</v>
      </c>
      <c r="F33" s="35">
        <f>K10</f>
        <v>322553.75</v>
      </c>
      <c r="G33" s="35"/>
      <c r="H33" s="35"/>
      <c r="I33" s="139"/>
      <c r="O33" s="120"/>
    </row>
    <row r="34" spans="1:16">
      <c r="C34" s="115"/>
      <c r="D34" s="115" t="s">
        <v>7414</v>
      </c>
      <c r="E34" s="120">
        <f>SUM(E2:E33)</f>
        <v>1</v>
      </c>
      <c r="F34" s="35">
        <f>SUM(F2:F33)</f>
        <v>1277026.52</v>
      </c>
      <c r="H34" s="115"/>
      <c r="I34" s="135"/>
      <c r="N34" s="119"/>
      <c r="O34" s="119"/>
    </row>
    <row r="35" spans="1:16">
      <c r="D35" s="115" t="s">
        <v>7432</v>
      </c>
      <c r="E35" s="122">
        <f>F34/$K$2-1</f>
        <v>4.4556544037429813E-2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7439</v>
      </c>
      <c r="B38" s="115" t="s">
        <v>7443</v>
      </c>
      <c r="C38" s="115" t="s">
        <v>7440</v>
      </c>
      <c r="D38" s="115" t="s">
        <v>7441</v>
      </c>
      <c r="E38" s="115" t="s">
        <v>7444</v>
      </c>
      <c r="F38" s="115" t="s">
        <v>7442</v>
      </c>
      <c r="G38" s="137"/>
      <c r="M38" s="161"/>
      <c r="N38" s="35"/>
      <c r="O38" s="35"/>
      <c r="P38" s="34"/>
    </row>
    <row r="39" spans="1:16">
      <c r="A39" s="115" t="str">
        <f>C2</f>
        <v>上证50 , 0.62%</v>
      </c>
      <c r="B39" s="35">
        <f>SUMIFS(交易明细!M:M,交易明细!M:M,"&lt;0",交易明细!C:C,"=50ETF",交易明细!D:D,"=买入")*-1 - SUMIFS(交易明细!M:M,交易明细!M:M,"&gt;0",交易明细!C:C,"=50ETF",交易明细!D:D,"=卖出")</f>
        <v>6443.49</v>
      </c>
      <c r="C39" s="35">
        <f>F2</f>
        <v>7951.5</v>
      </c>
      <c r="D39" s="34">
        <f t="shared" ref="D39:D63" si="3">C39/B39-1</f>
        <v>0.23403621329434832</v>
      </c>
      <c r="E39" s="34">
        <f>IF((B39&gt;0)*AND(C39&lt;&gt;0),B39/$K$2,0)</f>
        <v>5.2705167359717309E-3</v>
      </c>
      <c r="F39" s="34">
        <f t="shared" ref="F39:F62" si="4">(C39-B39)/$K$2</f>
        <v>1.2334917789913124E-3</v>
      </c>
      <c r="G39" s="137"/>
      <c r="H39" s="118"/>
      <c r="L39" s="162"/>
      <c r="M39" s="161"/>
      <c r="N39" s="35"/>
      <c r="O39" s="35"/>
      <c r="P39" s="34"/>
    </row>
    <row r="40" spans="1:16">
      <c r="A40" s="115" t="str">
        <f>C3</f>
        <v>沪深300 , 4.58%</v>
      </c>
      <c r="B40" s="35">
        <f>SUMIFS(交易明细!M:M,交易明细!M:M,"&lt;0",交易明细!C:C,"=300ETF",交易明细!D:D,"=买入")*-1 - SUMIFS(交易明细!M:M,交易明细!M:M,"&gt;0",交易明细!C:C,"=300ETF",交易明细!D:D,"=卖出")</f>
        <v>51004.06</v>
      </c>
      <c r="C40" s="35">
        <f>F3+F4</f>
        <v>58548.770000000004</v>
      </c>
      <c r="D40" s="34">
        <f t="shared" si="3"/>
        <v>0.1479237143082337</v>
      </c>
      <c r="E40" s="34">
        <f t="shared" ref="E40:E62" si="5">IF((B40&gt;0)*AND(C40&lt;&gt;0),B40/$K$2,0)</f>
        <v>4.1719278191245171E-2</v>
      </c>
      <c r="F40" s="34">
        <f t="shared" si="4"/>
        <v>6.1712705883074726E-3</v>
      </c>
      <c r="G40" s="137"/>
      <c r="H40" s="118"/>
      <c r="L40" s="162"/>
      <c r="M40" s="161"/>
      <c r="N40" s="35"/>
      <c r="O40" s="35"/>
      <c r="P40" s="34"/>
    </row>
    <row r="41" spans="1:16">
      <c r="A41" s="115" t="str">
        <f>C5</f>
        <v>中证500 , 17.12%</v>
      </c>
      <c r="B41" s="35">
        <f>SUMIFS(交易明细!M:M,交易明细!M:M,"&lt;0",交易明细!C:C,"=500ETF",交易明细!D:D,"=买入")*-1 - SUMIFS(交易明细!M:M,交易明细!M:M,"&gt;0",交易明细!C:C,"=500ETF",交易明细!D:D,"=卖出")</f>
        <v>233925.85</v>
      </c>
      <c r="C41" s="35">
        <f>F5+F6</f>
        <v>218605.51</v>
      </c>
      <c r="D41" s="34">
        <f t="shared" si="3"/>
        <v>-6.5492291681316983E-2</v>
      </c>
      <c r="E41" s="34">
        <f t="shared" si="5"/>
        <v>0.1913419757618019</v>
      </c>
      <c r="F41" s="34">
        <f t="shared" si="4"/>
        <v>-1.2531424487471406E-2</v>
      </c>
      <c r="G41" s="137"/>
      <c r="H41" s="118"/>
      <c r="M41" s="161"/>
      <c r="N41" s="35"/>
      <c r="O41" s="35"/>
      <c r="P41" s="34"/>
    </row>
    <row r="42" spans="1:16">
      <c r="A42" s="115" t="str">
        <f>C7</f>
        <v>中证1000 , 0.00%</v>
      </c>
      <c r="B42" s="35">
        <f>SUMIFS(交易明细!M:M,交易明细!M:M,"&lt;0",交易明细!C:C,"=1000ETF",交易明细!D:D,"=买入")*-1 - SUMIFS(交易明细!M:M,交易明细!M:M,"&gt;0",交易明细!C:C,"=1000ETF",交易明细!D:D,"=卖出")</f>
        <v>8750.8099999999977</v>
      </c>
      <c r="C42" s="35">
        <f>F7</f>
        <v>0</v>
      </c>
      <c r="D42" s="34">
        <f t="shared" si="3"/>
        <v>-1</v>
      </c>
      <c r="E42" s="34">
        <f t="shared" si="5"/>
        <v>0</v>
      </c>
      <c r="F42" s="34">
        <f t="shared" si="4"/>
        <v>-7.1578120798369785E-3</v>
      </c>
      <c r="G42" s="137"/>
      <c r="H42" s="118"/>
      <c r="M42" s="161"/>
      <c r="N42" s="35"/>
      <c r="O42" s="35"/>
      <c r="P42" s="34"/>
    </row>
    <row r="43" spans="1:16">
      <c r="A43" s="115" t="str">
        <f>C8</f>
        <v>创业板 , 1.76%</v>
      </c>
      <c r="B43" s="35">
        <f>SUMIFS(交易明细!M:M,交易明细!M:M,"&lt;0",交易明细!C:C,"=创业板",交易明细!D:D,"=买入")*-1 - SUMIFS(交易明细!M:M,交易明细!M:M,"&gt;0",交易明细!C:C,"=创业板",交易明细!D:D,"=卖出")</f>
        <v>19268.489999999998</v>
      </c>
      <c r="C43" s="35">
        <f>F8+F9</f>
        <v>22536.21</v>
      </c>
      <c r="D43" s="34">
        <f t="shared" si="3"/>
        <v>0.16958879497044155</v>
      </c>
      <c r="E43" s="34">
        <f t="shared" si="5"/>
        <v>1.576085305042825E-2</v>
      </c>
      <c r="F43" s="34">
        <f t="shared" si="4"/>
        <v>2.6728640765283336E-3</v>
      </c>
      <c r="G43" s="137"/>
      <c r="H43" s="118"/>
      <c r="M43" s="161"/>
      <c r="N43" s="35"/>
      <c r="O43" s="35"/>
      <c r="P43" s="34"/>
    </row>
    <row r="44" spans="1:16">
      <c r="A44" s="115" t="str">
        <f>C10</f>
        <v>中证红利 , 5.56%</v>
      </c>
      <c r="B44" s="35">
        <f>SUMIFS(交易明细!M:M,交易明细!M:M,"&lt;0",交易明细!C:C,"=红利",交易明细!D:D,"=买入")*-1 - SUMIFS(交易明细!M:M,交易明细!M:M,"&gt;0",交易明细!C:C,"=红利",交易明细!D:D,"=卖出")</f>
        <v>66320</v>
      </c>
      <c r="C44" s="35">
        <f>F10</f>
        <v>70985.179999999993</v>
      </c>
      <c r="D44" s="34">
        <f t="shared" si="3"/>
        <v>7.0343486127864896E-2</v>
      </c>
      <c r="E44" s="34">
        <f t="shared" si="5"/>
        <v>5.4247103654951778E-2</v>
      </c>
      <c r="F44" s="34">
        <f t="shared" si="4"/>
        <v>3.8159303834289439E-3</v>
      </c>
      <c r="H44" s="118"/>
      <c r="M44" s="161"/>
      <c r="N44" s="35"/>
      <c r="O44" s="35"/>
      <c r="P44" s="34"/>
    </row>
    <row r="45" spans="1:16">
      <c r="A45" s="115" t="str">
        <f>C11</f>
        <v>养老产业 , 4.69%</v>
      </c>
      <c r="B45" s="35">
        <f>SUMIFS(交易明细!M:M,交易明细!M:M,"&lt;0",交易明细!C:C,"=养老",交易明细!D:D,"=买入")*-1 - SUMIFS(交易明细!M:M,交易明细!M:M,"&gt;0",交易明细!C:C,"=养老",交易明细!D:D,"=卖出")</f>
        <v>58200</v>
      </c>
      <c r="C45" s="35">
        <f>F11</f>
        <v>59839.32</v>
      </c>
      <c r="D45" s="34">
        <f t="shared" si="3"/>
        <v>2.8167010309278373E-2</v>
      </c>
      <c r="E45" s="34">
        <f t="shared" si="5"/>
        <v>4.7605268888995675E-2</v>
      </c>
      <c r="F45" s="34">
        <f t="shared" si="4"/>
        <v>1.340898099572309E-3</v>
      </c>
      <c r="H45" s="118"/>
      <c r="M45" s="161"/>
      <c r="N45" s="35"/>
      <c r="O45" s="35"/>
      <c r="P45" s="34"/>
    </row>
    <row r="46" spans="1:16">
      <c r="A46" s="115" t="str">
        <f>C12</f>
        <v>全指医药 , 4.11%</v>
      </c>
      <c r="B46" s="35">
        <f>SUMIFS(交易明细!M:M,交易明细!M:M,"&lt;0",交易明细!C:C,"=医药",交易明细!D:D,"=买入")*-1 - SUMIFS(交易明细!M:M,交易明细!M:M,"&gt;0",交易明细!C:C,"=医药",交易明细!D:D,"=卖出")</f>
        <v>48860.979999999996</v>
      </c>
      <c r="C46" s="35">
        <f>F12+F13</f>
        <v>52514.700000000004</v>
      </c>
      <c r="D46" s="34">
        <f t="shared" si="3"/>
        <v>7.4777869784846906E-2</v>
      </c>
      <c r="E46" s="34">
        <f t="shared" si="5"/>
        <v>3.9966324589000686E-2</v>
      </c>
      <c r="F46" s="34">
        <f t="shared" si="4"/>
        <v>2.9885966158952181E-3</v>
      </c>
      <c r="H46" s="118"/>
      <c r="M46" s="161"/>
      <c r="N46" s="35"/>
      <c r="O46" s="35"/>
      <c r="P46" s="34"/>
    </row>
    <row r="47" spans="1:16">
      <c r="A47" s="115" t="str">
        <f>C14</f>
        <v>中证传媒 , 2.47%</v>
      </c>
      <c r="B47" s="35">
        <f>SUMIFS(交易明细!M:M,交易明细!M:M,"&lt;0",交易明细!C:C,"=传媒",交易明细!D:D,"=买入")*-1 - SUMIFS(交易明细!M:M,交易明细!M:M,"&gt;0",交易明细!C:C,"=传媒",交易明细!D:D,"=卖出")</f>
        <v>36020.33</v>
      </c>
      <c r="C47" s="35">
        <f>F15</f>
        <v>25643.200000000001</v>
      </c>
      <c r="D47" s="34">
        <f t="shared" si="3"/>
        <v>-0.28809091976669843</v>
      </c>
      <c r="E47" s="34">
        <f t="shared" si="5"/>
        <v>2.9463187201380719E-2</v>
      </c>
      <c r="F47" s="34">
        <f t="shared" si="4"/>
        <v>-8.4880767001041888E-3</v>
      </c>
      <c r="H47" s="118"/>
      <c r="M47" s="161"/>
      <c r="N47" s="35"/>
      <c r="O47" s="35"/>
      <c r="P47" s="34"/>
    </row>
    <row r="48" spans="1:16">
      <c r="A48" s="115" t="str">
        <f>C16</f>
        <v>中证环保 , 3.22%</v>
      </c>
      <c r="B48" s="35">
        <f>SUMIFS(交易明细!M:M,交易明细!M:M,"&lt;0",交易明细!C:C,"=环保",交易明细!D:D,"=买入")*-1 - SUMIFS(交易明细!M:M,交易明细!M:M,"&gt;0",交易明细!C:C,"=环保",交易明细!D:D,"=卖出")</f>
        <v>48055.229999999996</v>
      </c>
      <c r="C48" s="35">
        <f>F16+F17</f>
        <v>41099.72</v>
      </c>
      <c r="D48" s="34">
        <f t="shared" si="3"/>
        <v>-0.14473991696637378</v>
      </c>
      <c r="E48" s="34">
        <f t="shared" si="5"/>
        <v>3.9307253362070992E-2</v>
      </c>
      <c r="F48" s="34">
        <f t="shared" si="4"/>
        <v>-5.6893285878023723E-3</v>
      </c>
      <c r="H48" s="118"/>
      <c r="M48" s="161"/>
      <c r="N48" s="35"/>
      <c r="O48" s="35"/>
      <c r="P48" s="34"/>
    </row>
    <row r="49" spans="1:16">
      <c r="A49" s="115" t="str">
        <f t="shared" ref="A49:A58" si="6">C18</f>
        <v>全指消费 , 0.00%</v>
      </c>
      <c r="B49" s="35">
        <f>SUMIFS(交易明细!M:M,交易明细!M:M,"&lt;0",交易明细!C:C,"=消费",交易明细!D:D,"=买入")*-1 - SUMIFS(交易明细!M:M,交易明细!M:M,"&gt;0",交易明细!C:C,"=消费",交易明细!D:D,"=卖出")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5"/>
        <v>0</v>
      </c>
      <c r="F49" s="34">
        <f t="shared" si="4"/>
        <v>2.8959381131504446E-3</v>
      </c>
      <c r="H49" s="118"/>
      <c r="M49" s="161"/>
      <c r="N49" s="35"/>
      <c r="O49" s="35"/>
      <c r="P49" s="34"/>
    </row>
    <row r="50" spans="1:16">
      <c r="A50" s="115" t="str">
        <f t="shared" si="6"/>
        <v>金融地产 , 1.78%</v>
      </c>
      <c r="B50" s="35">
        <f>SUMIFS(交易明细!M:M,交易明细!M:M,"&lt;0",交易明细!C:C,"=金融地产",交易明细!D:D,"=买入")*-1 - SUMIFS(交易明细!M:M,交易明细!M:M,"&gt;0",交易明细!C:C,"=金融地产",交易明细!D:D,"=卖出")</f>
        <v>19200</v>
      </c>
      <c r="C50" s="35">
        <f t="shared" si="7"/>
        <v>22691.96</v>
      </c>
      <c r="D50" s="34">
        <f t="shared" si="3"/>
        <v>0.18187291666666661</v>
      </c>
      <c r="E50" s="34">
        <f t="shared" si="5"/>
        <v>1.5704830973689295E-2</v>
      </c>
      <c r="F50" s="34">
        <f t="shared" si="4"/>
        <v>2.856283414941878E-3</v>
      </c>
      <c r="H50" s="118"/>
      <c r="M50" s="161"/>
      <c r="N50" s="35"/>
      <c r="O50" s="35"/>
      <c r="P50" s="34"/>
    </row>
    <row r="51" spans="1:16">
      <c r="A51" s="115" t="str">
        <f t="shared" si="6"/>
        <v>证券公司 , 2.41%</v>
      </c>
      <c r="B51" s="35">
        <f>SUMIFS(交易明细!M:M,交易明细!M:M,"&lt;0",交易明细!C:C,"=证券",交易明细!D:D,"=买入")*-1 - SUMIFS(交易明细!M:M,交易明细!M:M,"&gt;0",交易明细!C:C,"=证券",交易明细!D:D,"=卖出")</f>
        <v>25572.12</v>
      </c>
      <c r="C51" s="35">
        <f t="shared" si="7"/>
        <v>30770.7</v>
      </c>
      <c r="D51" s="34">
        <f t="shared" si="3"/>
        <v>0.20329092777603108</v>
      </c>
      <c r="E51" s="34">
        <f t="shared" si="5"/>
        <v>2.0916969908276014E-2</v>
      </c>
      <c r="F51" s="34">
        <f t="shared" si="4"/>
        <v>4.2522302189167563E-3</v>
      </c>
      <c r="H51" s="118"/>
      <c r="M51" s="161"/>
      <c r="N51" s="35"/>
      <c r="O51" s="35"/>
      <c r="P51" s="34"/>
    </row>
    <row r="52" spans="1:16">
      <c r="A52" s="115" t="str">
        <f t="shared" si="6"/>
        <v>恒生 , 0.28%</v>
      </c>
      <c r="B52" s="35">
        <f>SUMIFS(交易明细!M:M,交易明细!M:M,"&lt;0",交易明细!C:C,"=恒生",交易明细!D:D,"=买入")*-1 - SUMIFS(交易明细!M:M,交易明细!M:M,"&gt;0",交易明细!C:C,"=恒生",交易明细!D:D,"=卖出")</f>
        <v>9900</v>
      </c>
      <c r="C52" s="35">
        <f t="shared" si="7"/>
        <v>3512.53</v>
      </c>
      <c r="D52" s="34">
        <f t="shared" si="3"/>
        <v>-0.64519898989898983</v>
      </c>
      <c r="E52" s="34">
        <f t="shared" si="5"/>
        <v>8.0978034708085438E-3</v>
      </c>
      <c r="F52" s="34">
        <f t="shared" si="4"/>
        <v>-5.2246946197662065E-3</v>
      </c>
      <c r="H52" s="118"/>
      <c r="M52" s="161"/>
      <c r="N52" s="35"/>
      <c r="O52" s="35"/>
      <c r="P52" s="34"/>
    </row>
    <row r="53" spans="1:16">
      <c r="A53" s="115" t="str">
        <f t="shared" si="6"/>
        <v>海外互联网 , 1.53%</v>
      </c>
      <c r="B53" s="35">
        <f>SUMIFS(交易明细!M:M,交易明细!M:M,"&lt;0",交易明细!C:C,"=海外互联网",交易明细!D:D,"=买入")*-1 - SUMIFS(交易明细!M:M,交易明细!M:M,"&gt;0",交易明细!C:C,"=海外互联网",交易明细!D:D,"=卖出")</f>
        <v>19200</v>
      </c>
      <c r="C53" s="35">
        <f t="shared" si="7"/>
        <v>19496.580000000002</v>
      </c>
      <c r="D53" s="34">
        <f t="shared" si="3"/>
        <v>1.5446875000000082E-2</v>
      </c>
      <c r="E53" s="34">
        <f t="shared" si="5"/>
        <v>1.5704830973689295E-2</v>
      </c>
      <c r="F53" s="34">
        <f t="shared" si="4"/>
        <v>2.4259056094670827E-4</v>
      </c>
      <c r="H53" s="118"/>
      <c r="M53" s="161"/>
      <c r="N53" s="35"/>
      <c r="O53" s="35"/>
      <c r="P53" s="34"/>
    </row>
    <row r="54" spans="1:16">
      <c r="A54" s="115" t="str">
        <f t="shared" si="6"/>
        <v>德国30 , 1.83%</v>
      </c>
      <c r="B54" s="35">
        <f>SUMIFS(交易明细!M:M,交易明细!M:M,"&lt;0",交易明细!C:C,"=德国30",交易明细!D:D,"=买入")*-1 - SUMIFS(交易明细!M:M,交易明细!M:M,"&gt;0",交易明细!C:C,"=德国30",交易明细!D:D,"=卖出")</f>
        <v>22600</v>
      </c>
      <c r="C54" s="35">
        <f t="shared" si="7"/>
        <v>23409.79</v>
      </c>
      <c r="D54" s="34">
        <f t="shared" si="3"/>
        <v>3.583141592920347E-2</v>
      </c>
      <c r="E54" s="34">
        <f t="shared" si="5"/>
        <v>1.8485894791946775E-2</v>
      </c>
      <c r="F54" s="34">
        <f t="shared" si="4"/>
        <v>6.6237578511374321E-4</v>
      </c>
      <c r="H54" s="118"/>
      <c r="M54" s="161"/>
      <c r="N54" s="35"/>
      <c r="O54" s="35"/>
      <c r="P54" s="34"/>
    </row>
    <row r="55" spans="1:16">
      <c r="A55" s="115" t="str">
        <f t="shared" si="6"/>
        <v>原油 , 1.18%</v>
      </c>
      <c r="B55" s="35">
        <f>SUMIFS(交易明细!M:M,交易明细!M:M,"&lt;0",交易明细!C:C,"=原油",交易明细!D:D,"=买入")*-1 - SUMIFS(交易明细!M:M,交易明细!M:M,"&gt;0",交易明细!C:C,"=原油",交易明细!D:D,"=卖出")</f>
        <v>19200</v>
      </c>
      <c r="C55" s="35">
        <f t="shared" si="7"/>
        <v>15018.78</v>
      </c>
      <c r="D55" s="34">
        <f t="shared" si="3"/>
        <v>-0.21777187499999995</v>
      </c>
      <c r="E55" s="34">
        <f t="shared" si="5"/>
        <v>1.5704830973689295E-2</v>
      </c>
      <c r="F55" s="34">
        <f t="shared" si="4"/>
        <v>-3.4200704876983933E-3</v>
      </c>
      <c r="H55" s="118"/>
      <c r="M55" s="161"/>
      <c r="N55" s="35"/>
      <c r="O55" s="35"/>
      <c r="P55" s="34"/>
    </row>
    <row r="56" spans="1:16">
      <c r="A56" s="115" t="str">
        <f t="shared" si="6"/>
        <v>黄金 , 1.20%</v>
      </c>
      <c r="B56" s="35">
        <f>SUMIFS(交易明细!M:M,交易明细!M:M,"&lt;0",交易明细!C:C,"=黄金",交易明细!D:D,"=买入")*-1 - SUMIFS(交易明细!M:M,交易明细!M:M,"&gt;0",交易明细!C:C,"=黄金",交易明细!D:D,"=卖出")</f>
        <v>12852.09</v>
      </c>
      <c r="C56" s="35">
        <f t="shared" si="7"/>
        <v>15282</v>
      </c>
      <c r="D56" s="34">
        <f t="shared" si="3"/>
        <v>0.18906730345025591</v>
      </c>
      <c r="E56" s="34">
        <f t="shared" si="5"/>
        <v>1.0512494849408461E-2</v>
      </c>
      <c r="F56" s="34">
        <f t="shared" si="4"/>
        <v>1.987569053712362E-3</v>
      </c>
      <c r="H56" s="118"/>
      <c r="M56" s="161"/>
      <c r="N56" s="35"/>
      <c r="O56" s="35"/>
      <c r="P56" s="34"/>
    </row>
    <row r="57" spans="1:16">
      <c r="A57" s="115" t="str">
        <f t="shared" si="6"/>
        <v>白银 , 0.00%</v>
      </c>
      <c r="B57" s="35">
        <f>SUMIFS(交易明细!M:M,交易明细!M:M,"&lt;0",交易明细!C:C,"=白银",交易明细!D:D,"=买入")*-1 - SUMIFS(交易明细!M:M,交易明细!M:M,"&gt;0",交易明细!C:C,"=白银",交易明细!D:D,"=卖出")</f>
        <v>-1251.2729999999974</v>
      </c>
      <c r="C57" s="35">
        <f t="shared" si="7"/>
        <v>0</v>
      </c>
      <c r="D57" s="34">
        <f t="shared" si="3"/>
        <v>-1</v>
      </c>
      <c r="E57" s="34">
        <f t="shared" si="5"/>
        <v>0</v>
      </c>
      <c r="F57" s="34">
        <f t="shared" si="4"/>
        <v>1.0234911961948482E-3</v>
      </c>
      <c r="H57" s="118"/>
      <c r="M57" s="161"/>
      <c r="N57" s="35"/>
      <c r="O57" s="35"/>
      <c r="P57" s="34"/>
    </row>
    <row r="58" spans="1:16">
      <c r="A58" s="115" t="str">
        <f t="shared" si="6"/>
        <v>可转债 , 6.05%</v>
      </c>
      <c r="B58" s="35">
        <f>SUMIFS(交易明细!M:M,交易明细!M:M,"&lt;0",交易明细!C:C,"=可转债",交易明细!D:D,"=买入")*-1 - SUMIFS(交易明细!M:M,交易明细!M:M,"&gt;0",交易明细!C:C,"=可转债",交易明细!D:D,"=卖出")</f>
        <v>70400</v>
      </c>
      <c r="C58" s="35">
        <f>F27+F28+F29</f>
        <v>77216.47</v>
      </c>
      <c r="D58" s="34">
        <f t="shared" si="3"/>
        <v>9.6824857954545429E-2</v>
      </c>
      <c r="E58" s="34">
        <f t="shared" si="5"/>
        <v>5.7584380236860751E-2</v>
      </c>
      <c r="F58" s="34">
        <f t="shared" si="4"/>
        <v>5.5755994368345777E-3</v>
      </c>
      <c r="H58" s="118"/>
      <c r="M58" s="161"/>
      <c r="N58" s="35"/>
      <c r="O58" s="35"/>
      <c r="P58" s="34"/>
    </row>
    <row r="59" spans="1:16">
      <c r="A59" s="115" t="str">
        <f>C30</f>
        <v>美元债 , 0.59%</v>
      </c>
      <c r="B59" s="35">
        <f>SUMIFS(交易明细!M:M,交易明细!M:M,"&lt;0",交易明细!C:C,"=海外债",交易明细!D:D,"=买入")*-1 - SUMIFS(交易明细!M:M,交易明细!M:M,"&gt;0",交易明细!C:C,"=海外债",交易明细!D:D,"=卖出")</f>
        <v>5145.119999999999</v>
      </c>
      <c r="C59" s="35">
        <f>F30</f>
        <v>7494.67</v>
      </c>
      <c r="D59" s="34">
        <f t="shared" si="3"/>
        <v>0.45665601579749393</v>
      </c>
      <c r="E59" s="34">
        <f t="shared" si="5"/>
        <v>4.2085020801743882E-3</v>
      </c>
      <c r="F59" s="34">
        <f t="shared" si="4"/>
        <v>1.9218377924079013E-3</v>
      </c>
      <c r="H59" s="118"/>
      <c r="M59" s="161"/>
      <c r="N59" s="35"/>
      <c r="O59" s="35"/>
      <c r="P59" s="34"/>
    </row>
    <row r="60" spans="1:16">
      <c r="A60" s="115" t="str">
        <f>C31</f>
        <v>货币基金 , 5.19%</v>
      </c>
      <c r="B60" s="35">
        <f>G31</f>
        <v>66330.099999999991</v>
      </c>
      <c r="C60" s="35">
        <f>F31</f>
        <v>66330.099999999991</v>
      </c>
      <c r="D60" s="34">
        <f t="shared" si="3"/>
        <v>0</v>
      </c>
      <c r="E60" s="34">
        <f t="shared" si="5"/>
        <v>5.425536505041189E-2</v>
      </c>
      <c r="F60" s="34">
        <f t="shared" si="4"/>
        <v>0</v>
      </c>
      <c r="H60" s="118"/>
      <c r="M60" s="161"/>
      <c r="N60" s="161"/>
      <c r="O60" s="35"/>
      <c r="P60" s="34"/>
    </row>
    <row r="61" spans="1:16">
      <c r="A61" s="115" t="str">
        <f>C32</f>
        <v>地产定期 , 8.58%</v>
      </c>
      <c r="B61" s="115">
        <f>K6</f>
        <v>100000</v>
      </c>
      <c r="C61" s="35">
        <f>F32</f>
        <v>109600</v>
      </c>
      <c r="D61" s="34">
        <f t="shared" si="3"/>
        <v>9.6000000000000085E-2</v>
      </c>
      <c r="E61" s="34">
        <f t="shared" si="5"/>
        <v>8.1795994654631748E-2</v>
      </c>
      <c r="F61" s="34">
        <f t="shared" si="4"/>
        <v>7.8524154868446477E-3</v>
      </c>
      <c r="H61" s="118"/>
      <c r="M61" s="161"/>
      <c r="N61" s="161"/>
      <c r="O61" s="35"/>
      <c r="P61" s="34"/>
    </row>
    <row r="62" spans="1:16">
      <c r="A62" s="115" t="str">
        <f>C33</f>
        <v>公积金 , 25.26%</v>
      </c>
      <c r="B62" s="115">
        <f>K10</f>
        <v>322553.75</v>
      </c>
      <c r="C62" s="35">
        <f>F33</f>
        <v>322553.75</v>
      </c>
      <c r="D62" s="34">
        <f t="shared" si="3"/>
        <v>0</v>
      </c>
      <c r="E62" s="34">
        <f t="shared" si="5"/>
        <v>0.26383604810831424</v>
      </c>
      <c r="F62" s="34">
        <f t="shared" si="4"/>
        <v>0</v>
      </c>
      <c r="H62" s="118"/>
    </row>
    <row r="63" spans="1:16">
      <c r="A63" s="115" t="str">
        <f>D34</f>
        <v>总市值</v>
      </c>
      <c r="B63" s="115">
        <f>SUM(B38:B62)</f>
        <v>1265010.7069999999</v>
      </c>
      <c r="C63" s="78">
        <f>SUM(C38:C62)</f>
        <v>1271101.4399999999</v>
      </c>
      <c r="D63" s="77">
        <f t="shared" si="3"/>
        <v>4.8147679433041546E-3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7481</v>
      </c>
      <c r="D67" s="115" t="s">
        <v>7314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7951.5</v>
      </c>
      <c r="D68" s="34">
        <f t="shared" ref="D68:D96" si="8">C68/$C$97</f>
        <v>9.9739848521116364E-3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35207.9</v>
      </c>
      <c r="D69" s="34">
        <f t="shared" si="8"/>
        <v>4.4163121583935268E-2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23340.87</v>
      </c>
      <c r="D70" s="34">
        <f t="shared" si="8"/>
        <v>2.9277681420500148E-2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203415</v>
      </c>
      <c r="D71" s="34">
        <f t="shared" si="8"/>
        <v>0.25515413804845483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15190.51</v>
      </c>
      <c r="D72" s="34">
        <f t="shared" si="8"/>
        <v>1.9054256006520824E-2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14444</v>
      </c>
      <c r="D74" s="34">
        <f t="shared" si="8"/>
        <v>1.811786923271087E-2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8092.21</v>
      </c>
      <c r="D75" s="34">
        <f t="shared" si="8"/>
        <v>1.0150484809168876E-2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70985.179999999993</v>
      </c>
      <c r="D76" s="34">
        <f t="shared" si="8"/>
        <v>8.90404464622295E-2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59839.32</v>
      </c>
      <c r="D77" s="34">
        <f t="shared" si="8"/>
        <v>7.5059607777232085E-2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18878.400000000001</v>
      </c>
      <c r="D78" s="34">
        <f t="shared" si="8"/>
        <v>2.368017048759408E-2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33636.300000000003</v>
      </c>
      <c r="D79" s="34">
        <f t="shared" si="8"/>
        <v>4.2191781007493261E-2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25643.200000000001</v>
      </c>
      <c r="D80" s="34">
        <f t="shared" si="8"/>
        <v>3.216561508642006E-2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24606.400000000001</v>
      </c>
      <c r="D81" s="34">
        <f t="shared" si="8"/>
        <v>3.0865102290762721E-2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24606.400000000001</v>
      </c>
      <c r="D82" s="34">
        <f t="shared" si="8"/>
        <v>3.0865102290762721E-2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16493.32</v>
      </c>
      <c r="D83" s="34">
        <f t="shared" si="8"/>
        <v>2.0688439142429717E-2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22691.96</v>
      </c>
      <c r="D85" s="34">
        <f t="shared" si="8"/>
        <v>2.8463719462330776E-2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30770.7</v>
      </c>
      <c r="D86" s="34">
        <f t="shared" si="8"/>
        <v>3.8597308141718106E-2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3512.53</v>
      </c>
      <c r="D87" s="34">
        <f t="shared" si="8"/>
        <v>4.4059512057583712E-3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19496.580000000002</v>
      </c>
      <c r="D88" s="34">
        <f t="shared" si="8"/>
        <v>2.4455586189773341E-2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23409.79</v>
      </c>
      <c r="D89" s="34">
        <f t="shared" si="8"/>
        <v>2.9364131403020119E-2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15018.78</v>
      </c>
      <c r="D90" s="34">
        <f t="shared" si="8"/>
        <v>1.8838846031213885E-2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15282</v>
      </c>
      <c r="D91" s="34">
        <f t="shared" si="8"/>
        <v>1.9169016727657678E-2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36743.51</v>
      </c>
      <c r="D93" s="34">
        <f t="shared" si="8"/>
        <v>4.6089318009609817E-2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7129.16</v>
      </c>
      <c r="D94" s="34">
        <f t="shared" si="8"/>
        <v>8.9424805191825694E-3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33343.800000000003</v>
      </c>
      <c r="D95" s="34">
        <f t="shared" si="8"/>
        <v>4.1824882866357292E-2</v>
      </c>
    </row>
    <row r="96" spans="1:4">
      <c r="A96" s="115" t="s">
        <v>7430</v>
      </c>
      <c r="B96" s="115" t="s">
        <v>7482</v>
      </c>
      <c r="C96" s="35">
        <f t="shared" si="11"/>
        <v>7494.67</v>
      </c>
      <c r="D96" s="34">
        <f t="shared" si="8"/>
        <v>9.4009589450513142E-3</v>
      </c>
    </row>
    <row r="97" spans="3:4">
      <c r="C97" s="35">
        <f>SUM(C68:C96)</f>
        <v>797223.99000000011</v>
      </c>
      <c r="D97" s="81">
        <f>SUM(D68:D96)</f>
        <v>0.99999999999999967</v>
      </c>
    </row>
  </sheetData>
  <mergeCells count="16">
    <mergeCell ref="A31:A32"/>
    <mergeCell ref="A24:A26"/>
    <mergeCell ref="C27:C29"/>
    <mergeCell ref="B27:B29"/>
    <mergeCell ref="A27:A30"/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G45" sqref="G45"/>
    </sheetView>
  </sheetViews>
  <sheetFormatPr defaultColWidth="8.88671875" defaultRowHeight="13.8"/>
  <cols>
    <col min="1" max="6" width="9" bestFit="1" customWidth="1"/>
    <col min="7" max="8" width="7.109375" bestFit="1" customWidth="1"/>
    <col min="9" max="9" width="11" bestFit="1" customWidth="1"/>
    <col min="10" max="10" width="9.44140625" bestFit="1" customWidth="1"/>
    <col min="11" max="11" width="11.109375" bestFit="1" customWidth="1"/>
    <col min="12" max="12" width="11" bestFit="1" customWidth="1"/>
    <col min="13" max="13" width="11.88671875" bestFit="1" customWidth="1"/>
    <col min="14" max="15" width="13.88671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">
        <v>7678</v>
      </c>
      <c r="B2" t="s">
        <v>112</v>
      </c>
      <c r="C2">
        <v>2700</v>
      </c>
      <c r="D2">
        <v>2700</v>
      </c>
      <c r="E2" t="s">
        <v>7679</v>
      </c>
      <c r="F2" t="s">
        <v>7679</v>
      </c>
      <c r="G2">
        <v>2.3370000000000002</v>
      </c>
      <c r="H2" t="s">
        <v>7680</v>
      </c>
      <c r="I2" s="163">
        <v>7951.5</v>
      </c>
      <c r="J2">
        <v>1641.6</v>
      </c>
      <c r="K2" t="s">
        <v>7681</v>
      </c>
      <c r="L2" t="s">
        <v>7645</v>
      </c>
      <c r="M2" t="s">
        <v>7646</v>
      </c>
      <c r="N2" t="s">
        <v>7682</v>
      </c>
    </row>
    <row r="3" spans="1:14">
      <c r="A3" t="s">
        <v>7683</v>
      </c>
      <c r="B3" t="s">
        <v>113</v>
      </c>
      <c r="C3">
        <v>9100</v>
      </c>
      <c r="D3">
        <v>9100</v>
      </c>
      <c r="E3" t="s">
        <v>7679</v>
      </c>
      <c r="F3" t="s">
        <v>7679</v>
      </c>
      <c r="G3">
        <v>3.4470000000000001</v>
      </c>
      <c r="H3" t="s">
        <v>7684</v>
      </c>
      <c r="I3" s="163">
        <v>35207.9</v>
      </c>
      <c r="J3">
        <v>3840.2</v>
      </c>
      <c r="K3" t="s">
        <v>7685</v>
      </c>
      <c r="L3" t="s">
        <v>7645</v>
      </c>
      <c r="M3" t="s">
        <v>7646</v>
      </c>
      <c r="N3" t="s">
        <v>7682</v>
      </c>
    </row>
    <row r="4" spans="1:14">
      <c r="A4" t="s">
        <v>7686</v>
      </c>
      <c r="B4" t="s">
        <v>18</v>
      </c>
      <c r="C4">
        <v>38200</v>
      </c>
      <c r="D4">
        <v>38200</v>
      </c>
      <c r="E4" t="s">
        <v>7679</v>
      </c>
      <c r="F4" t="s">
        <v>7679</v>
      </c>
      <c r="G4">
        <v>5.6059999999999999</v>
      </c>
      <c r="H4" t="s">
        <v>7687</v>
      </c>
      <c r="I4" s="163">
        <v>203415</v>
      </c>
      <c r="J4">
        <v>-10734.2</v>
      </c>
      <c r="K4" t="s">
        <v>7688</v>
      </c>
      <c r="L4" t="s">
        <v>7645</v>
      </c>
      <c r="M4" t="s">
        <v>7646</v>
      </c>
      <c r="N4" t="s">
        <v>7682</v>
      </c>
    </row>
    <row r="5" spans="1:14">
      <c r="A5" t="s">
        <v>7689</v>
      </c>
      <c r="B5" t="s">
        <v>20</v>
      </c>
      <c r="C5">
        <v>33800</v>
      </c>
      <c r="D5">
        <v>33800</v>
      </c>
      <c r="E5" t="s">
        <v>7679</v>
      </c>
      <c r="F5" t="s">
        <v>7679</v>
      </c>
      <c r="G5">
        <v>0.877</v>
      </c>
      <c r="H5" t="s">
        <v>7690</v>
      </c>
      <c r="I5" s="163">
        <v>24606.400000000001</v>
      </c>
      <c r="J5">
        <v>-5036.2</v>
      </c>
      <c r="K5" t="s">
        <v>7691</v>
      </c>
      <c r="L5" t="s">
        <v>7645</v>
      </c>
      <c r="M5" t="s">
        <v>7646</v>
      </c>
      <c r="N5" t="s">
        <v>7682</v>
      </c>
    </row>
    <row r="6" spans="1:14">
      <c r="A6" t="s">
        <v>7692</v>
      </c>
      <c r="B6" t="s">
        <v>22</v>
      </c>
      <c r="C6">
        <v>32700</v>
      </c>
      <c r="D6">
        <v>32700</v>
      </c>
      <c r="E6" t="s">
        <v>7679</v>
      </c>
      <c r="F6" t="s">
        <v>7679</v>
      </c>
      <c r="G6">
        <v>0.78300000000000003</v>
      </c>
      <c r="H6" t="s">
        <v>7693</v>
      </c>
      <c r="I6" s="163">
        <v>30770.7</v>
      </c>
      <c r="J6">
        <v>5166.6000000000004</v>
      </c>
      <c r="K6" t="s">
        <v>7694</v>
      </c>
      <c r="L6" t="s">
        <v>7645</v>
      </c>
      <c r="M6" t="s">
        <v>7646</v>
      </c>
      <c r="N6" t="s">
        <v>7682</v>
      </c>
    </row>
    <row r="7" spans="1:14">
      <c r="A7" t="s">
        <v>7695</v>
      </c>
      <c r="B7" t="s">
        <v>23</v>
      </c>
      <c r="C7">
        <v>34100</v>
      </c>
      <c r="D7">
        <v>34100</v>
      </c>
      <c r="E7" t="s">
        <v>7679</v>
      </c>
      <c r="F7" t="s">
        <v>7679</v>
      </c>
      <c r="G7">
        <v>0.86899999999999999</v>
      </c>
      <c r="H7" t="s">
        <v>7696</v>
      </c>
      <c r="I7" s="163">
        <v>25643.200000000001</v>
      </c>
      <c r="J7">
        <v>-3989.7</v>
      </c>
      <c r="K7" t="s">
        <v>7697</v>
      </c>
      <c r="L7" t="s">
        <v>7645</v>
      </c>
      <c r="M7" t="s">
        <v>7646</v>
      </c>
      <c r="N7" t="s">
        <v>7682</v>
      </c>
    </row>
    <row r="8" spans="1:14">
      <c r="A8" t="s">
        <v>7698</v>
      </c>
      <c r="B8" t="s">
        <v>21</v>
      </c>
      <c r="C8">
        <v>4500</v>
      </c>
      <c r="D8">
        <v>4500</v>
      </c>
      <c r="E8" t="s">
        <v>7679</v>
      </c>
      <c r="F8" t="s">
        <v>7679</v>
      </c>
      <c r="G8">
        <v>2.8559999999999999</v>
      </c>
      <c r="H8" t="s">
        <v>7699</v>
      </c>
      <c r="I8" s="163">
        <v>15282</v>
      </c>
      <c r="J8">
        <v>2430</v>
      </c>
      <c r="K8" t="s">
        <v>7700</v>
      </c>
      <c r="L8" t="s">
        <v>7645</v>
      </c>
      <c r="M8" t="s">
        <v>7646</v>
      </c>
      <c r="N8" t="s">
        <v>7682</v>
      </c>
    </row>
    <row r="9" spans="1:14">
      <c r="A9" t="s">
        <v>7701</v>
      </c>
      <c r="B9" t="s">
        <v>7702</v>
      </c>
      <c r="C9">
        <v>1200</v>
      </c>
      <c r="D9">
        <v>1200</v>
      </c>
      <c r="E9" t="s">
        <v>7679</v>
      </c>
      <c r="F9" t="s">
        <v>7679</v>
      </c>
      <c r="G9">
        <v>2.95</v>
      </c>
      <c r="H9" t="s">
        <v>7703</v>
      </c>
      <c r="I9" s="163">
        <v>3538.8</v>
      </c>
      <c r="J9">
        <v>-1.2</v>
      </c>
      <c r="K9" t="s">
        <v>7704</v>
      </c>
      <c r="L9" t="s">
        <v>7647</v>
      </c>
      <c r="M9" t="s">
        <v>7705</v>
      </c>
      <c r="N9" t="s">
        <v>7682</v>
      </c>
    </row>
    <row r="10" spans="1:14">
      <c r="A10" t="s">
        <v>7706</v>
      </c>
      <c r="B10" t="s">
        <v>114</v>
      </c>
      <c r="C10">
        <v>9200</v>
      </c>
      <c r="D10">
        <v>9200</v>
      </c>
      <c r="E10" t="s">
        <v>7679</v>
      </c>
      <c r="F10" t="s">
        <v>7679</v>
      </c>
      <c r="G10">
        <v>1.399</v>
      </c>
      <c r="H10" t="s">
        <v>7707</v>
      </c>
      <c r="I10" s="163">
        <v>14444</v>
      </c>
      <c r="J10">
        <v>1573.2</v>
      </c>
      <c r="K10" t="s">
        <v>7708</v>
      </c>
      <c r="L10" t="s">
        <v>7647</v>
      </c>
      <c r="M10" t="s">
        <v>7705</v>
      </c>
      <c r="N10" t="s">
        <v>7682</v>
      </c>
    </row>
    <row r="11" spans="1:14">
      <c r="A11" t="s">
        <v>7709</v>
      </c>
      <c r="B11" t="s">
        <v>17</v>
      </c>
      <c r="C11">
        <v>14400</v>
      </c>
      <c r="D11">
        <v>14400</v>
      </c>
      <c r="E11" t="s">
        <v>7679</v>
      </c>
      <c r="F11" t="s">
        <v>7679</v>
      </c>
      <c r="G11">
        <v>1.2709999999999999</v>
      </c>
      <c r="H11" t="s">
        <v>7710</v>
      </c>
      <c r="I11" s="163">
        <v>18878.400000000001</v>
      </c>
      <c r="J11">
        <v>576</v>
      </c>
      <c r="K11" t="s">
        <v>7711</v>
      </c>
      <c r="L11" t="s">
        <v>7647</v>
      </c>
      <c r="M11" t="s">
        <v>7705</v>
      </c>
      <c r="N11" t="s">
        <v>7682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2"/>
  <sheetViews>
    <sheetView workbookViewId="0">
      <selection activeCell="K23" sqref="K23"/>
    </sheetView>
  </sheetViews>
  <sheetFormatPr defaultColWidth="8.88671875" defaultRowHeight="13.8"/>
  <cols>
    <col min="2" max="2" width="27.6640625" bestFit="1" customWidth="1"/>
    <col min="5" max="5" width="9" bestFit="1" customWidth="1"/>
    <col min="6" max="6" width="10.6640625" bestFit="1" customWidth="1"/>
    <col min="7" max="7" width="10.21875" bestFit="1" customWidth="1"/>
    <col min="8" max="8" width="14.88671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3474</v>
      </c>
      <c r="B2" s="174" t="s">
        <v>7599</v>
      </c>
      <c r="C2" s="174" t="s">
        <v>7597</v>
      </c>
      <c r="D2" s="175">
        <v>43738</v>
      </c>
      <c r="E2" s="176">
        <v>1</v>
      </c>
      <c r="F2" s="177">
        <v>144534.43</v>
      </c>
      <c r="G2" s="177">
        <v>144534.43</v>
      </c>
      <c r="H2" s="174" t="s">
        <v>7598</v>
      </c>
    </row>
    <row r="3" spans="1:8">
      <c r="A3">
        <v>71</v>
      </c>
      <c r="B3" s="178" t="s">
        <v>7605</v>
      </c>
      <c r="C3" s="178" t="s">
        <v>7604</v>
      </c>
      <c r="D3" s="179">
        <v>43738</v>
      </c>
      <c r="E3" s="178">
        <v>1.4693000000000001</v>
      </c>
      <c r="F3" s="178">
        <v>2390.62</v>
      </c>
      <c r="G3" s="178">
        <v>3512.53</v>
      </c>
      <c r="H3" s="178" t="s">
        <v>7713</v>
      </c>
    </row>
    <row r="4" spans="1:8">
      <c r="A4">
        <v>2903</v>
      </c>
      <c r="B4" s="178" t="s">
        <v>7714</v>
      </c>
      <c r="C4" s="178" t="s">
        <v>7600</v>
      </c>
      <c r="D4" s="179">
        <v>43738</v>
      </c>
      <c r="E4" s="178">
        <v>0.86799999999999999</v>
      </c>
      <c r="F4" s="178">
        <v>7778.64</v>
      </c>
      <c r="G4" s="178">
        <v>6751.85</v>
      </c>
      <c r="H4" s="178" t="s">
        <v>7713</v>
      </c>
    </row>
    <row r="5" spans="1:8">
      <c r="A5">
        <v>3647</v>
      </c>
      <c r="B5" s="178" t="s">
        <v>7712</v>
      </c>
      <c r="C5" s="178" t="s">
        <v>7600</v>
      </c>
      <c r="D5" s="179">
        <v>43738</v>
      </c>
      <c r="E5" s="180">
        <v>0.94030000000000002</v>
      </c>
      <c r="F5" s="181">
        <v>3580.2</v>
      </c>
      <c r="G5" s="181">
        <v>3366.46</v>
      </c>
      <c r="H5" s="178" t="s">
        <v>7601</v>
      </c>
    </row>
    <row r="6" spans="1:8">
      <c r="A6">
        <v>968</v>
      </c>
      <c r="B6" t="s">
        <v>5</v>
      </c>
      <c r="C6" t="s">
        <v>7600</v>
      </c>
      <c r="D6" s="138">
        <v>43738</v>
      </c>
      <c r="E6" s="159">
        <v>0.9425</v>
      </c>
      <c r="F6" s="158">
        <v>63490</v>
      </c>
      <c r="G6" s="158">
        <v>59839.32</v>
      </c>
      <c r="H6" t="s">
        <v>7601</v>
      </c>
    </row>
    <row r="7" spans="1:8">
      <c r="A7">
        <v>110026</v>
      </c>
      <c r="B7" t="s">
        <v>7602</v>
      </c>
      <c r="C7" t="s">
        <v>7600</v>
      </c>
      <c r="D7" s="138">
        <v>43738</v>
      </c>
      <c r="E7" s="159">
        <v>1.6890000000000001</v>
      </c>
      <c r="F7" s="158">
        <v>4791.13</v>
      </c>
      <c r="G7" s="158">
        <v>8092.21</v>
      </c>
      <c r="H7" t="s">
        <v>7601</v>
      </c>
    </row>
    <row r="8" spans="1:8">
      <c r="A8">
        <v>164906</v>
      </c>
      <c r="B8" t="s">
        <v>7603</v>
      </c>
      <c r="C8" t="s">
        <v>7604</v>
      </c>
      <c r="D8" s="138">
        <v>43735</v>
      </c>
      <c r="E8" s="159">
        <v>1.1619999999999999</v>
      </c>
      <c r="F8" s="158">
        <v>16778.47</v>
      </c>
      <c r="G8" s="158">
        <v>19496.580000000002</v>
      </c>
      <c r="H8" t="s">
        <v>7601</v>
      </c>
    </row>
    <row r="9" spans="1:8">
      <c r="A9">
        <v>71</v>
      </c>
      <c r="B9" t="s">
        <v>7605</v>
      </c>
      <c r="C9" t="s">
        <v>7604</v>
      </c>
      <c r="D9" s="138">
        <v>43738</v>
      </c>
      <c r="E9" s="159">
        <v>1.4693000000000001</v>
      </c>
      <c r="F9" s="158">
        <v>4407.8999999999996</v>
      </c>
      <c r="G9" s="158">
        <v>6476.52</v>
      </c>
      <c r="H9" t="s">
        <v>7606</v>
      </c>
    </row>
    <row r="10" spans="1:8">
      <c r="A10">
        <v>614</v>
      </c>
      <c r="B10" t="s">
        <v>3</v>
      </c>
      <c r="C10" t="s">
        <v>7604</v>
      </c>
      <c r="D10" s="138">
        <v>43734</v>
      </c>
      <c r="E10" s="159">
        <v>1.1299999999999999</v>
      </c>
      <c r="F10" s="158">
        <v>20716.63</v>
      </c>
      <c r="G10" s="158">
        <v>23409.79</v>
      </c>
      <c r="H10" t="s">
        <v>7606</v>
      </c>
    </row>
    <row r="11" spans="1:8">
      <c r="A11">
        <v>1061</v>
      </c>
      <c r="B11" t="s">
        <v>7607</v>
      </c>
      <c r="C11" t="s">
        <v>7604</v>
      </c>
      <c r="D11" s="138">
        <v>43734</v>
      </c>
      <c r="E11" s="159">
        <v>1.3360000000000001</v>
      </c>
      <c r="F11" s="158">
        <v>5609.79</v>
      </c>
      <c r="G11" s="158">
        <v>7494.67</v>
      </c>
      <c r="H11" t="s">
        <v>7606</v>
      </c>
    </row>
    <row r="12" spans="1:8">
      <c r="A12">
        <v>1064</v>
      </c>
      <c r="B12" t="s">
        <v>7608</v>
      </c>
      <c r="C12" t="s">
        <v>7600</v>
      </c>
      <c r="D12" s="138">
        <v>43738</v>
      </c>
      <c r="E12" s="159">
        <v>0.54730000000000001</v>
      </c>
      <c r="F12" s="158">
        <v>13403.92</v>
      </c>
      <c r="G12" s="158">
        <v>7335.96</v>
      </c>
      <c r="H12" t="s">
        <v>7606</v>
      </c>
    </row>
    <row r="13" spans="1:8">
      <c r="A13">
        <v>1180</v>
      </c>
      <c r="B13" t="s">
        <v>2</v>
      </c>
      <c r="C13" t="s">
        <v>7600</v>
      </c>
      <c r="D13" s="138">
        <v>43738</v>
      </c>
      <c r="E13" s="159">
        <v>0.82010000000000005</v>
      </c>
      <c r="F13" s="158">
        <v>41014.879999999997</v>
      </c>
      <c r="G13" s="158">
        <v>33636.300000000003</v>
      </c>
      <c r="H13" t="s">
        <v>7606</v>
      </c>
    </row>
    <row r="14" spans="1:8">
      <c r="A14">
        <v>1469</v>
      </c>
      <c r="B14" t="s">
        <v>7609</v>
      </c>
      <c r="C14" t="s">
        <v>7600</v>
      </c>
      <c r="D14" s="138">
        <v>43738</v>
      </c>
      <c r="E14" s="159">
        <v>1.0722</v>
      </c>
      <c r="F14" s="158">
        <v>21163.93</v>
      </c>
      <c r="G14" s="158">
        <v>22691.96</v>
      </c>
      <c r="H14" t="s">
        <v>7606</v>
      </c>
    </row>
    <row r="15" spans="1:8">
      <c r="A15">
        <v>4752</v>
      </c>
      <c r="B15" t="s">
        <v>7610</v>
      </c>
      <c r="C15" t="s">
        <v>7600</v>
      </c>
      <c r="D15" s="138">
        <v>43738</v>
      </c>
      <c r="E15" s="159">
        <v>0.75449999999999995</v>
      </c>
      <c r="F15" s="158">
        <v>7852.99</v>
      </c>
      <c r="G15" s="158">
        <v>5925.08</v>
      </c>
      <c r="H15" t="s">
        <v>7606</v>
      </c>
    </row>
    <row r="16" spans="1:8">
      <c r="A16">
        <v>100032</v>
      </c>
      <c r="B16" t="s">
        <v>4</v>
      </c>
      <c r="C16" t="s">
        <v>7600</v>
      </c>
      <c r="D16" s="138">
        <v>43738</v>
      </c>
      <c r="E16" s="159">
        <v>1.091</v>
      </c>
      <c r="F16" s="158">
        <v>65064.33</v>
      </c>
      <c r="G16" s="158">
        <v>70985.179999999993</v>
      </c>
      <c r="H16" t="s">
        <v>7606</v>
      </c>
    </row>
    <row r="17" spans="1:8">
      <c r="A17">
        <v>100038</v>
      </c>
      <c r="B17" t="s">
        <v>7611</v>
      </c>
      <c r="C17" t="s">
        <v>7600</v>
      </c>
      <c r="D17" s="138">
        <v>43738</v>
      </c>
      <c r="E17" s="159">
        <v>1.5960000000000001</v>
      </c>
      <c r="F17" s="158">
        <v>14624.61</v>
      </c>
      <c r="G17" s="158">
        <v>23340.87</v>
      </c>
      <c r="H17" t="s">
        <v>7606</v>
      </c>
    </row>
    <row r="18" spans="1:8">
      <c r="A18">
        <v>110027</v>
      </c>
      <c r="B18" t="s">
        <v>7612</v>
      </c>
      <c r="C18" t="s">
        <v>7613</v>
      </c>
      <c r="D18" s="138">
        <v>43738</v>
      </c>
      <c r="E18" s="159">
        <v>1.66</v>
      </c>
      <c r="F18" s="158">
        <v>20086.63</v>
      </c>
      <c r="G18" s="158">
        <v>33343.800000000003</v>
      </c>
      <c r="H18" t="s">
        <v>7606</v>
      </c>
    </row>
    <row r="19" spans="1:8">
      <c r="A19">
        <v>161017</v>
      </c>
      <c r="B19" t="s">
        <v>7614</v>
      </c>
      <c r="C19" t="s">
        <v>7600</v>
      </c>
      <c r="D19" s="138">
        <v>43738</v>
      </c>
      <c r="E19" s="159">
        <v>1.5940000000000001</v>
      </c>
      <c r="F19" s="158">
        <v>9529.81</v>
      </c>
      <c r="G19" s="158">
        <v>15190.51</v>
      </c>
      <c r="H19" t="s">
        <v>7606</v>
      </c>
    </row>
    <row r="20" spans="1:8">
      <c r="A20">
        <v>162411</v>
      </c>
      <c r="B20" t="s">
        <v>7615</v>
      </c>
      <c r="C20" t="s">
        <v>7604</v>
      </c>
      <c r="D20" s="138">
        <v>43735</v>
      </c>
      <c r="E20" s="159">
        <v>0.40300000000000002</v>
      </c>
      <c r="F20" s="158">
        <v>37267.449999999997</v>
      </c>
      <c r="G20" s="158">
        <v>15018.78</v>
      </c>
      <c r="H20" t="s">
        <v>7606</v>
      </c>
    </row>
    <row r="21" spans="1:8">
      <c r="A21">
        <v>340001</v>
      </c>
      <c r="B21" t="s">
        <v>7616</v>
      </c>
      <c r="C21" t="s">
        <v>7617</v>
      </c>
      <c r="D21" s="138">
        <v>43738</v>
      </c>
      <c r="E21" s="159">
        <v>1.1351</v>
      </c>
      <c r="F21" s="158">
        <v>32370.29</v>
      </c>
      <c r="G21" s="158">
        <v>36743.51</v>
      </c>
      <c r="H21" t="s">
        <v>7606</v>
      </c>
    </row>
    <row r="22" spans="1:8">
      <c r="A22">
        <v>519977</v>
      </c>
      <c r="B22" t="s">
        <v>7618</v>
      </c>
      <c r="C22" t="s">
        <v>7613</v>
      </c>
      <c r="D22" s="138">
        <v>43738</v>
      </c>
      <c r="E22" s="159">
        <v>1.3379000000000001</v>
      </c>
      <c r="F22" s="158">
        <v>5328.62</v>
      </c>
      <c r="G22" s="158">
        <v>7129.16</v>
      </c>
      <c r="H22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M49"/>
  <sheetViews>
    <sheetView workbookViewId="0">
      <selection activeCell="H20" sqref="H20"/>
    </sheetView>
  </sheetViews>
  <sheetFormatPr defaultColWidth="8.88671875" defaultRowHeight="13.8"/>
  <cols>
    <col min="1" max="1" width="7.44140625" bestFit="1" customWidth="1"/>
    <col min="2" max="2" width="27.6640625" bestFit="1" customWidth="1"/>
    <col min="3" max="4" width="9.88671875" bestFit="1" customWidth="1"/>
    <col min="6" max="6" width="22.44140625" bestFit="1" customWidth="1"/>
    <col min="7" max="7" width="12.77734375" bestFit="1" customWidth="1"/>
    <col min="8" max="8" width="12.44140625" bestFit="1" customWidth="1"/>
    <col min="9" max="9" width="11.6640625" customWidth="1"/>
    <col min="10" max="10" width="7.88671875" bestFit="1" customWidth="1"/>
  </cols>
  <sheetData>
    <row r="1" spans="1:13">
      <c r="A1" s="139">
        <v>1666</v>
      </c>
      <c r="B1" t="s">
        <v>7596</v>
      </c>
      <c r="C1" s="1">
        <v>6.39</v>
      </c>
      <c r="F1" s="164"/>
      <c r="G1" s="164" t="s">
        <v>7666</v>
      </c>
      <c r="H1" s="164" t="s">
        <v>7662</v>
      </c>
      <c r="I1" s="164" t="s">
        <v>7663</v>
      </c>
      <c r="J1" s="164" t="s">
        <v>7664</v>
      </c>
      <c r="M1" s="139"/>
    </row>
    <row r="2" spans="1:13">
      <c r="A2" s="142">
        <v>510050</v>
      </c>
      <c r="B2" s="143" t="s">
        <v>38</v>
      </c>
      <c r="C2" s="144">
        <v>7951.5</v>
      </c>
      <c r="F2" s="165" t="s">
        <v>7676</v>
      </c>
      <c r="G2" s="167">
        <f>H2+I2</f>
        <v>409781.14</v>
      </c>
      <c r="H2" s="167">
        <v>382425.12</v>
      </c>
      <c r="I2" s="167">
        <v>27356.02</v>
      </c>
      <c r="J2" s="166">
        <f t="shared" ref="J2:J7" si="0">I2/H2</f>
        <v>7.1533010174645431E-2</v>
      </c>
    </row>
    <row r="3" spans="1:13">
      <c r="A3" s="142">
        <v>510300</v>
      </c>
      <c r="B3" s="143" t="s">
        <v>36</v>
      </c>
      <c r="C3" s="144">
        <v>35207.9</v>
      </c>
      <c r="E3" s="138"/>
      <c r="F3" s="165" t="s">
        <v>7675</v>
      </c>
      <c r="G3" s="167">
        <f>H3+I3</f>
        <v>9157.36</v>
      </c>
      <c r="H3" s="167">
        <v>12000</v>
      </c>
      <c r="I3" s="167">
        <v>-2842.64</v>
      </c>
      <c r="J3" s="166">
        <f t="shared" si="0"/>
        <v>-0.23688666666666666</v>
      </c>
    </row>
    <row r="4" spans="1:13">
      <c r="A4" s="142">
        <v>510500</v>
      </c>
      <c r="B4" s="143" t="s">
        <v>78</v>
      </c>
      <c r="C4" s="144">
        <v>203415</v>
      </c>
      <c r="E4" s="138"/>
      <c r="F4" s="165" t="s">
        <v>7672</v>
      </c>
      <c r="G4" s="167">
        <f>H4+I4</f>
        <v>379737.89999999997</v>
      </c>
      <c r="H4" s="167">
        <v>384347.55</v>
      </c>
      <c r="I4" s="167">
        <v>-4609.6499999999996</v>
      </c>
      <c r="J4" s="166">
        <f t="shared" si="0"/>
        <v>-1.1993441873117182E-2</v>
      </c>
    </row>
    <row r="5" spans="1:13">
      <c r="A5" s="142">
        <v>512580</v>
      </c>
      <c r="B5" s="143" t="s">
        <v>7461</v>
      </c>
      <c r="C5" s="144">
        <v>24606.400000000001</v>
      </c>
      <c r="E5" s="138"/>
      <c r="F5" s="165" t="s">
        <v>7677</v>
      </c>
      <c r="G5" s="167">
        <f>H5+I5</f>
        <v>46191.630000000005</v>
      </c>
      <c r="H5" s="167">
        <f>50794.54-5397.45</f>
        <v>45397.090000000004</v>
      </c>
      <c r="I5" s="167">
        <v>794.54</v>
      </c>
      <c r="J5" s="166">
        <f t="shared" si="0"/>
        <v>1.75020028816825E-2</v>
      </c>
    </row>
    <row r="6" spans="1:13">
      <c r="A6" s="142">
        <v>512880</v>
      </c>
      <c r="B6" s="143" t="s">
        <v>48</v>
      </c>
      <c r="C6" s="144">
        <v>30770.7</v>
      </c>
      <c r="E6" s="138"/>
      <c r="F6" s="165" t="s">
        <v>7661</v>
      </c>
      <c r="G6" s="167">
        <f>H6+I6</f>
        <v>15285.73</v>
      </c>
      <c r="H6" s="167">
        <v>15378.18</v>
      </c>
      <c r="I6" s="167">
        <v>-92.45</v>
      </c>
      <c r="J6" s="166">
        <f t="shared" si="0"/>
        <v>-6.0117647211828705E-3</v>
      </c>
    </row>
    <row r="7" spans="1:13">
      <c r="A7" s="142">
        <v>512980</v>
      </c>
      <c r="B7" s="143" t="s">
        <v>49</v>
      </c>
      <c r="C7" s="144">
        <v>25643.200000000001</v>
      </c>
      <c r="E7" s="138"/>
      <c r="F7" s="168" t="s">
        <v>7665</v>
      </c>
      <c r="G7" s="169">
        <f>SUM(G2:G6)</f>
        <v>860153.75999999989</v>
      </c>
      <c r="H7" s="169">
        <f>SUM(H2:H6)</f>
        <v>839547.94</v>
      </c>
      <c r="I7" s="170">
        <f>SUM(I2:I6)</f>
        <v>20605.820000000003</v>
      </c>
      <c r="J7" s="171">
        <f t="shared" si="0"/>
        <v>2.4543946829290064E-2</v>
      </c>
    </row>
    <row r="8" spans="1:13">
      <c r="A8" s="142">
        <v>518880</v>
      </c>
      <c r="B8" s="143" t="s">
        <v>7473</v>
      </c>
      <c r="C8" s="144">
        <v>15282</v>
      </c>
      <c r="E8" s="138"/>
      <c r="F8" s="159"/>
    </row>
    <row r="9" spans="1:13">
      <c r="A9" s="142">
        <v>159902</v>
      </c>
      <c r="B9" s="143" t="s">
        <v>7715</v>
      </c>
      <c r="C9" s="144">
        <v>3538.8</v>
      </c>
      <c r="E9" s="138"/>
      <c r="F9" s="165" t="s">
        <v>7667</v>
      </c>
      <c r="G9" s="1">
        <v>554315.47</v>
      </c>
      <c r="H9" s="165" t="s">
        <v>7668</v>
      </c>
      <c r="I9">
        <v>379805.09</v>
      </c>
    </row>
    <row r="10" spans="1:13">
      <c r="A10" s="142">
        <v>159915</v>
      </c>
      <c r="B10" s="143" t="s">
        <v>143</v>
      </c>
      <c r="C10" s="144">
        <v>14444</v>
      </c>
      <c r="E10" s="138"/>
      <c r="F10" s="165" t="s">
        <v>7671</v>
      </c>
      <c r="G10" s="1">
        <v>9157.36</v>
      </c>
    </row>
    <row r="11" spans="1:13">
      <c r="A11" s="145">
        <v>159938</v>
      </c>
      <c r="B11" s="146" t="s">
        <v>7457</v>
      </c>
      <c r="C11" s="147">
        <v>18878.400000000001</v>
      </c>
      <c r="E11" s="138"/>
      <c r="F11" s="165" t="s">
        <v>7669</v>
      </c>
      <c r="G11" s="1">
        <v>50794.54</v>
      </c>
      <c r="J11" s="158"/>
      <c r="K11" s="158"/>
    </row>
    <row r="12" spans="1:13">
      <c r="A12" s="145">
        <v>3474</v>
      </c>
      <c r="B12" s="146" t="s">
        <v>7649</v>
      </c>
      <c r="C12" s="147">
        <v>144534.43</v>
      </c>
      <c r="E12" s="138"/>
      <c r="F12" s="165" t="s">
        <v>7670</v>
      </c>
      <c r="G12" s="1">
        <v>15285.73</v>
      </c>
      <c r="H12" s="159"/>
      <c r="I12" s="159"/>
      <c r="J12" s="158"/>
      <c r="K12" s="158"/>
    </row>
    <row r="13" spans="1:13">
      <c r="A13" s="145">
        <v>968</v>
      </c>
      <c r="B13" s="146" t="s">
        <v>7650</v>
      </c>
      <c r="C13" s="147">
        <v>59839.32</v>
      </c>
      <c r="E13" s="138"/>
      <c r="F13" s="165" t="s">
        <v>7673</v>
      </c>
      <c r="G13" s="1">
        <v>100000</v>
      </c>
      <c r="H13" s="159"/>
      <c r="I13" s="159"/>
      <c r="J13" s="158"/>
      <c r="K13" s="158"/>
    </row>
    <row r="14" spans="1:13">
      <c r="A14" s="145">
        <v>110026</v>
      </c>
      <c r="B14" s="146" t="s">
        <v>7651</v>
      </c>
      <c r="C14" s="147">
        <v>8092.21</v>
      </c>
      <c r="E14" s="138"/>
      <c r="F14" s="172" t="s">
        <v>7674</v>
      </c>
      <c r="G14" s="1">
        <f>SUM(G9:G13)</f>
        <v>729553.1</v>
      </c>
      <c r="H14" s="159"/>
      <c r="I14" s="159"/>
      <c r="J14" s="158"/>
      <c r="K14" s="158"/>
    </row>
    <row r="15" spans="1:13">
      <c r="A15" s="145">
        <v>164906</v>
      </c>
      <c r="B15" s="146" t="s">
        <v>7296</v>
      </c>
      <c r="C15" s="147">
        <v>19496.580000000002</v>
      </c>
      <c r="E15" s="138"/>
      <c r="F15" s="159"/>
      <c r="G15" s="1"/>
      <c r="H15" s="159"/>
      <c r="I15" s="159"/>
      <c r="J15" s="158"/>
      <c r="K15" s="158"/>
    </row>
    <row r="16" spans="1:13">
      <c r="A16" s="145">
        <v>3647</v>
      </c>
      <c r="B16" s="146" t="s">
        <v>7716</v>
      </c>
      <c r="C16" s="147">
        <v>3366.46</v>
      </c>
      <c r="E16" s="138"/>
      <c r="F16" s="159"/>
      <c r="G16" s="1"/>
      <c r="H16" s="159"/>
      <c r="I16" s="159"/>
      <c r="J16" s="158"/>
      <c r="K16" s="158"/>
    </row>
    <row r="17" spans="1:12">
      <c r="A17" s="145">
        <v>71</v>
      </c>
      <c r="B17" s="146" t="s">
        <v>7652</v>
      </c>
      <c r="C17" s="147">
        <v>6476.52</v>
      </c>
      <c r="E17" s="138"/>
      <c r="F17" s="159"/>
      <c r="G17" s="138"/>
      <c r="H17" s="159"/>
      <c r="I17" s="159"/>
      <c r="J17" s="158"/>
      <c r="K17" s="158"/>
    </row>
    <row r="18" spans="1:12">
      <c r="A18" s="145">
        <v>614</v>
      </c>
      <c r="B18" s="146" t="s">
        <v>7653</v>
      </c>
      <c r="C18" s="147">
        <v>23409.79</v>
      </c>
      <c r="E18" s="138"/>
      <c r="F18" s="159"/>
      <c r="G18" s="138"/>
      <c r="H18" s="159"/>
      <c r="I18" s="159"/>
      <c r="J18" s="158"/>
      <c r="K18" s="158"/>
    </row>
    <row r="19" spans="1:12">
      <c r="A19" s="145">
        <v>1061</v>
      </c>
      <c r="B19" s="146" t="s">
        <v>7654</v>
      </c>
      <c r="C19" s="147">
        <v>7494.67</v>
      </c>
      <c r="E19" s="138"/>
      <c r="F19" s="159"/>
      <c r="G19" s="138"/>
      <c r="H19" s="159"/>
      <c r="I19" s="159"/>
      <c r="J19" s="158"/>
      <c r="K19" s="158"/>
    </row>
    <row r="20" spans="1:12">
      <c r="A20" s="145">
        <v>1064</v>
      </c>
      <c r="B20" s="146" t="s">
        <v>7655</v>
      </c>
      <c r="C20" s="147">
        <v>7335.96</v>
      </c>
      <c r="E20" s="138"/>
      <c r="F20" s="159"/>
      <c r="G20" s="138"/>
      <c r="H20" s="159"/>
      <c r="I20" s="159"/>
      <c r="J20" s="158"/>
      <c r="K20" s="158"/>
    </row>
    <row r="21" spans="1:12">
      <c r="A21" s="145">
        <v>1180</v>
      </c>
      <c r="B21" s="146" t="s">
        <v>7656</v>
      </c>
      <c r="C21" s="147">
        <v>33636.300000000003</v>
      </c>
      <c r="E21" s="138"/>
      <c r="F21" s="159"/>
      <c r="G21" s="138"/>
      <c r="H21" s="159"/>
      <c r="I21" s="159"/>
      <c r="J21" s="158"/>
      <c r="K21" s="158"/>
    </row>
    <row r="22" spans="1:12">
      <c r="A22" s="145">
        <v>1469</v>
      </c>
      <c r="B22" s="146" t="s">
        <v>32</v>
      </c>
      <c r="C22" s="147">
        <v>22691.96</v>
      </c>
      <c r="F22" s="159"/>
      <c r="G22" s="138"/>
      <c r="H22" s="159"/>
      <c r="I22" s="159"/>
      <c r="J22" s="158"/>
      <c r="K22" s="158"/>
    </row>
    <row r="23" spans="1:12">
      <c r="A23" s="145">
        <v>4752</v>
      </c>
      <c r="B23" s="146" t="s">
        <v>7564</v>
      </c>
      <c r="C23" s="147">
        <v>5925.08</v>
      </c>
      <c r="G23" s="138"/>
      <c r="H23" s="159"/>
      <c r="I23" s="159"/>
      <c r="J23" s="158"/>
      <c r="K23" s="158"/>
    </row>
    <row r="24" spans="1:12">
      <c r="A24" s="145">
        <v>100032</v>
      </c>
      <c r="B24" s="146" t="s">
        <v>7657</v>
      </c>
      <c r="C24" s="147">
        <v>70985.179999999993</v>
      </c>
      <c r="G24" s="138"/>
      <c r="H24" s="159"/>
      <c r="I24" s="159"/>
      <c r="J24" s="158"/>
      <c r="K24" s="158"/>
    </row>
    <row r="25" spans="1:12">
      <c r="A25" s="145">
        <v>100038</v>
      </c>
      <c r="B25" s="146" t="s">
        <v>7658</v>
      </c>
      <c r="C25" s="147">
        <v>23340.87</v>
      </c>
      <c r="G25" s="138"/>
      <c r="H25" s="159"/>
      <c r="I25" s="159"/>
      <c r="J25" s="158"/>
      <c r="K25" s="158"/>
    </row>
    <row r="26" spans="1:12">
      <c r="A26" s="145">
        <v>110027</v>
      </c>
      <c r="B26" s="146" t="s">
        <v>7313</v>
      </c>
      <c r="C26" s="147">
        <v>33343.800000000003</v>
      </c>
      <c r="G26" s="138"/>
      <c r="H26" s="159"/>
      <c r="I26" s="159"/>
      <c r="J26" s="138"/>
      <c r="K26" s="159"/>
    </row>
    <row r="27" spans="1:12">
      <c r="A27" s="145">
        <v>161017</v>
      </c>
      <c r="B27" s="146" t="s">
        <v>7659</v>
      </c>
      <c r="C27" s="147">
        <v>15190.51</v>
      </c>
      <c r="G27" s="138"/>
      <c r="H27" s="159"/>
      <c r="I27" s="159"/>
      <c r="J27" s="138"/>
      <c r="K27" s="159"/>
    </row>
    <row r="28" spans="1:12">
      <c r="A28" s="145">
        <v>162411</v>
      </c>
      <c r="B28" s="146" t="s">
        <v>7660</v>
      </c>
      <c r="C28" s="147">
        <v>15018.78</v>
      </c>
      <c r="G28" s="138"/>
      <c r="H28" s="159"/>
      <c r="I28" s="159"/>
      <c r="J28" s="138"/>
      <c r="K28" s="159"/>
    </row>
    <row r="29" spans="1:12">
      <c r="A29" s="145">
        <v>340001</v>
      </c>
      <c r="B29" s="146" t="s">
        <v>31</v>
      </c>
      <c r="C29" s="147">
        <v>36743.51</v>
      </c>
      <c r="G29" s="138"/>
      <c r="H29" s="159"/>
      <c r="I29" s="159"/>
      <c r="J29" s="138"/>
      <c r="K29" s="159"/>
    </row>
    <row r="30" spans="1:12">
      <c r="A30">
        <v>519977</v>
      </c>
      <c r="B30" t="s">
        <v>7618</v>
      </c>
      <c r="C30">
        <v>7129.16</v>
      </c>
      <c r="J30" s="138"/>
      <c r="K30" s="159"/>
    </row>
    <row r="31" spans="1:12">
      <c r="A31">
        <v>71</v>
      </c>
      <c r="B31" t="s">
        <v>7605</v>
      </c>
      <c r="C31">
        <v>3512.53</v>
      </c>
      <c r="J31" s="138"/>
      <c r="K31" s="159"/>
      <c r="L31" s="138"/>
    </row>
    <row r="32" spans="1:12">
      <c r="A32">
        <v>2903</v>
      </c>
      <c r="B32" t="s">
        <v>7714</v>
      </c>
      <c r="C32">
        <v>6751.85</v>
      </c>
      <c r="J32" s="138"/>
      <c r="K32" s="159"/>
      <c r="L32" s="138"/>
    </row>
    <row r="33" spans="10:12">
      <c r="J33" s="138"/>
      <c r="K33" s="159"/>
      <c r="L33" s="138"/>
    </row>
    <row r="34" spans="10:12">
      <c r="J34" s="138"/>
      <c r="K34" s="159"/>
      <c r="L34" s="138"/>
    </row>
    <row r="35" spans="10:12">
      <c r="J35" s="138"/>
      <c r="K35" s="159"/>
      <c r="L35" s="138"/>
    </row>
    <row r="36" spans="10:12">
      <c r="J36" s="138"/>
      <c r="K36" s="159"/>
      <c r="L36" s="138"/>
    </row>
    <row r="37" spans="10:12">
      <c r="J37" s="138"/>
      <c r="K37" s="159"/>
      <c r="L37" s="138"/>
    </row>
    <row r="38" spans="10:12">
      <c r="J38" s="138"/>
      <c r="K38" s="159"/>
      <c r="L38" s="138"/>
    </row>
    <row r="39" spans="10:12">
      <c r="J39" s="138"/>
      <c r="K39" s="159"/>
      <c r="L39" s="138"/>
    </row>
    <row r="40" spans="10:12">
      <c r="J40" s="138"/>
      <c r="K40" s="159"/>
      <c r="L40" s="138"/>
    </row>
    <row r="41" spans="10:12">
      <c r="J41" s="138"/>
      <c r="K41" s="159"/>
      <c r="L41" s="138"/>
    </row>
    <row r="42" spans="10:12">
      <c r="L42" s="138"/>
    </row>
    <row r="43" spans="10:12">
      <c r="L43" s="138"/>
    </row>
    <row r="44" spans="10:12">
      <c r="L44" s="138"/>
    </row>
    <row r="45" spans="10:12">
      <c r="L45" s="138"/>
    </row>
    <row r="46" spans="10:12">
      <c r="L46" s="138"/>
    </row>
    <row r="47" spans="10:12">
      <c r="L47" s="138"/>
    </row>
    <row r="48" spans="10:12">
      <c r="L48" s="138"/>
    </row>
    <row r="49" spans="12:12">
      <c r="L49" s="138"/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9" workbookViewId="0">
      <selection activeCell="J78" sqref="J78"/>
    </sheetView>
  </sheetViews>
  <sheetFormatPr defaultColWidth="11" defaultRowHeight="13.8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8671875" defaultRowHeight="13.8"/>
  <cols>
    <col min="1" max="1" width="11.6640625" bestFit="1" customWidth="1"/>
    <col min="2" max="2" width="9" customWidth="1"/>
    <col min="3" max="7" width="9.109375" customWidth="1"/>
    <col min="8" max="9" width="9.44140625" customWidth="1"/>
    <col min="10" max="11" width="9.109375" customWidth="1"/>
    <col min="12" max="12" width="9.33203125" customWidth="1"/>
    <col min="13" max="13" width="9.6640625" bestFit="1" customWidth="1"/>
    <col min="14" max="15" width="10.44140625" bestFit="1" customWidth="1"/>
    <col min="16" max="16" width="11.109375" bestFit="1" customWidth="1"/>
    <col min="17" max="17" width="10.4414062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资产配置情况!B41/资产配置情况!$K$4</f>
        <v>0.29240731250000002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资产配置情况!B42/资产配置情况!$K$4</f>
        <v>1.0938512499999997E-2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资产配置情况!B52/资产配置情况!$K$4</f>
        <v>1.2375000000000001E-2</v>
      </c>
    </row>
    <row r="17" spans="1:30">
      <c r="A17" s="99" t="s">
        <v>7298</v>
      </c>
      <c r="B17" s="34">
        <f>资产配置情况!B53/资产配置情况!$K$4</f>
        <v>2.4E-2</v>
      </c>
    </row>
    <row r="18" spans="1:30">
      <c r="A18" s="99" t="s">
        <v>70</v>
      </c>
      <c r="B18" s="34">
        <f>资产配置情况!B54/资产配置情况!$K$4</f>
        <v>2.8250000000000001E-2</v>
      </c>
    </row>
    <row r="19" spans="1:30">
      <c r="A19" s="101" t="s">
        <v>7303</v>
      </c>
      <c r="B19" s="34">
        <f>资产配置情况!B55/资产配置情况!$K$4</f>
        <v>2.4E-2</v>
      </c>
    </row>
    <row r="20" spans="1:30">
      <c r="A20" s="101" t="s">
        <v>35</v>
      </c>
      <c r="B20" s="34">
        <f>资产配置情况!B56/资产配置情况!$K$4</f>
        <v>1.6065112499999999E-2</v>
      </c>
    </row>
    <row r="21" spans="1:30">
      <c r="A21" s="100" t="s">
        <v>7428</v>
      </c>
      <c r="B21" s="34">
        <f>资产配置情况!B57/资产配置情况!$K$4</f>
        <v>-1.5640912499999967E-3</v>
      </c>
    </row>
    <row r="22" spans="1:30">
      <c r="A22" s="102" t="s">
        <v>7429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0.29240731250000002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0.20740005762854158</v>
      </c>
    </row>
    <row r="39" spans="1:16">
      <c r="A39" s="96" t="str">
        <f t="shared" ref="A39:B39" si="21">A6</f>
        <v>中证1000</v>
      </c>
      <c r="B39" s="104">
        <f t="shared" si="21"/>
        <v>1.0938512499999997E-2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7.4904815216334953E-3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1.2375000000000001E-2</v>
      </c>
      <c r="L49" s="105"/>
      <c r="M49" s="105"/>
      <c r="N49" s="105">
        <v>28566.91</v>
      </c>
      <c r="O49" s="105"/>
      <c r="P49" s="106">
        <f t="shared" ref="P49:P56" si="42">B49</f>
        <v>1.2375000000000001E-2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0.97015857125000005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0.77991404951774657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0.29240731250000002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0.84333415489532015</v>
      </c>
    </row>
    <row r="64" spans="1:16">
      <c r="A64" s="96" t="str">
        <f t="shared" ref="A64:B64" si="66">A39</f>
        <v>中证1000</v>
      </c>
      <c r="B64" s="104">
        <f t="shared" si="66"/>
        <v>1.0938512499999997E-2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3.2047976207797604E-2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1.2375000000000001E-2</v>
      </c>
      <c r="L74" s="105"/>
      <c r="M74" s="105"/>
      <c r="N74" s="105">
        <v>28566.91</v>
      </c>
      <c r="O74" s="105"/>
      <c r="P74" s="106">
        <f t="shared" ref="P74:P81" si="87">B74</f>
        <v>1.2375000000000001E-2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0.97015857125000005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2.4550395320159972</v>
      </c>
    </row>
    <row r="83" spans="1:16">
      <c r="P83" s="105" t="s">
        <v>7530</v>
      </c>
    </row>
    <row r="84" spans="1:16">
      <c r="P84" s="111">
        <f>P82*0.7</f>
        <v>1.718527672411198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8671875" defaultRowHeight="13.8"/>
  <cols>
    <col min="1" max="1" width="10.6640625" style="83" bestFit="1" customWidth="1"/>
    <col min="2" max="2" width="8.6640625" style="83" bestFit="1" customWidth="1"/>
    <col min="3" max="3" width="8.33203125" style="83" bestFit="1" customWidth="1"/>
    <col min="4" max="5" width="8.88671875" style="83" bestFit="1" customWidth="1"/>
    <col min="6" max="6" width="11.6640625" style="83" customWidth="1"/>
    <col min="7" max="8" width="11.6640625" style="83" bestFit="1" customWidth="1"/>
    <col min="9" max="9" width="12.6640625" style="83" bestFit="1" customWidth="1"/>
    <col min="10" max="13" width="8.44140625" style="83" customWidth="1"/>
    <col min="14" max="14" width="11.6640625" style="83" bestFit="1" customWidth="1"/>
    <col min="15" max="15" width="37.109375" style="83" bestFit="1" customWidth="1"/>
    <col min="16" max="16" width="11.6640625" style="83" bestFit="1" customWidth="1"/>
    <col min="17" max="17" width="12.6640625" style="83" bestFit="1" customWidth="1"/>
    <col min="18" max="18" width="8.88671875" style="83"/>
    <col min="19" max="21" width="11.6640625" style="83" bestFit="1" customWidth="1"/>
    <col min="22" max="22" width="12.6640625" style="83" bestFit="1" customWidth="1"/>
    <col min="23" max="16384" width="8.88671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0.12559999999999999</v>
      </c>
      <c r="D2" s="35">
        <f>交易明细!Y16</f>
        <v>8.2878697421981009</v>
      </c>
      <c r="E2" s="83">
        <v>14.95</v>
      </c>
      <c r="F2" s="34">
        <f t="shared" ref="F2:F15" si="0">$E2*$K$4/$D2-1</f>
        <v>-0.45884767262154247</v>
      </c>
      <c r="G2" s="34">
        <f t="shared" ref="G2:G15" si="1">$E2*$K$6/$D2-1</f>
        <v>-9.8079454369237262E-2</v>
      </c>
      <c r="H2" s="34">
        <f t="shared" ref="H2:H15" si="2">$E2*$K$8/$D2-1</f>
        <v>0.2626887638830675</v>
      </c>
      <c r="I2" s="34">
        <f t="shared" ref="I2:I15" si="3">$E2*$K$10/$D2-1</f>
        <v>0.80384109126152548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0.1222</v>
      </c>
      <c r="D3" s="35">
        <f>交易明细!Y17</f>
        <v>11.276089921961278</v>
      </c>
      <c r="E3" s="35">
        <v>19</v>
      </c>
      <c r="F3" s="34">
        <f t="shared" si="0"/>
        <v>-0.49450562744283388</v>
      </c>
      <c r="G3" s="34">
        <f t="shared" si="1"/>
        <v>-0.15750937907138984</v>
      </c>
      <c r="H3" s="34">
        <f t="shared" si="2"/>
        <v>0.1794868693000542</v>
      </c>
      <c r="I3" s="34">
        <f t="shared" si="3"/>
        <v>0.68498124185722031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0.29240731249999996</v>
      </c>
      <c r="C4" s="34">
        <f>交易明细!X19</f>
        <v>7.4200000000000002E-2</v>
      </c>
      <c r="D4" s="35">
        <f>交易明细!Y19</f>
        <v>23.458414956917647</v>
      </c>
      <c r="E4" s="35">
        <v>83.24</v>
      </c>
      <c r="F4" s="34">
        <f t="shared" si="0"/>
        <v>6.4522050865845504E-2</v>
      </c>
      <c r="G4" s="34">
        <f t="shared" si="1"/>
        <v>0.77420341810974258</v>
      </c>
      <c r="H4" s="34">
        <f t="shared" si="2"/>
        <v>1.4838847853536392</v>
      </c>
      <c r="I4" s="34">
        <f t="shared" si="3"/>
        <v>2.5484068362194852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1.0938512499999997E-2</v>
      </c>
      <c r="C5" s="34">
        <f>交易明细!X21</f>
        <v>5.5100000000000003E-2</v>
      </c>
      <c r="D5" s="35">
        <f>交易明细!Y21</f>
        <v>10.640382057588951</v>
      </c>
      <c r="E5" s="35">
        <v>144.82</v>
      </c>
      <c r="F5" s="34">
        <f t="shared" si="0"/>
        <v>3.0831240612279869</v>
      </c>
      <c r="G5" s="34">
        <f t="shared" si="1"/>
        <v>5.8052067687133109</v>
      </c>
      <c r="H5" s="34">
        <f t="shared" si="2"/>
        <v>8.5272894761986358</v>
      </c>
      <c r="I5" s="34">
        <f t="shared" si="3"/>
        <v>12.610413537426622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8.9099999999999999E-2</v>
      </c>
      <c r="D6" s="35">
        <f>交易明细!Y22</f>
        <v>47.721410253660913</v>
      </c>
      <c r="E6" s="35">
        <v>137.86000000000001</v>
      </c>
      <c r="F6" s="34">
        <f t="shared" si="0"/>
        <v>-0.13334497492501796</v>
      </c>
      <c r="G6" s="34">
        <f t="shared" si="1"/>
        <v>0.44442504179163667</v>
      </c>
      <c r="H6" s="34">
        <f t="shared" si="2"/>
        <v>1.0221950585082915</v>
      </c>
      <c r="I6" s="34">
        <f t="shared" si="3"/>
        <v>1.8888500835832733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0.13339999999999999</v>
      </c>
      <c r="D7" s="35">
        <f>交易明细!Y15</f>
        <v>9.4805218206902246</v>
      </c>
      <c r="E7" s="35">
        <v>21.73</v>
      </c>
      <c r="F7" s="34">
        <f t="shared" si="0"/>
        <v>-0.31237962178695899</v>
      </c>
      <c r="G7" s="34">
        <f t="shared" si="1"/>
        <v>0.1460339636884016</v>
      </c>
      <c r="H7" s="34">
        <f t="shared" si="2"/>
        <v>0.6044475491637622</v>
      </c>
      <c r="I7" s="34">
        <f t="shared" si="3"/>
        <v>1.2920679273768032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0.15459999999999999</v>
      </c>
      <c r="D8" s="35">
        <f>交易明细!Y26</f>
        <v>23.010711094096092</v>
      </c>
      <c r="E8" s="35">
        <v>52.47</v>
      </c>
      <c r="F8" s="34">
        <f t="shared" si="0"/>
        <v>-0.3159272681478017</v>
      </c>
      <c r="G8" s="34">
        <f t="shared" si="1"/>
        <v>0.14012121975366387</v>
      </c>
      <c r="H8" s="34">
        <f t="shared" si="2"/>
        <v>0.59616970765512933</v>
      </c>
      <c r="I8" s="34">
        <f t="shared" si="3"/>
        <v>1.2802424395073277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9.8199999999999996E-2</v>
      </c>
      <c r="D9" s="35">
        <f>交易明细!Y24</f>
        <v>28.161466699412337</v>
      </c>
      <c r="E9" s="35">
        <v>74.42</v>
      </c>
      <c r="F9" s="34">
        <f t="shared" si="0"/>
        <v>-0.20721458728334308</v>
      </c>
      <c r="G9" s="34">
        <f t="shared" si="1"/>
        <v>0.32130902119442828</v>
      </c>
      <c r="H9" s="34">
        <f t="shared" si="2"/>
        <v>0.84983262967219964</v>
      </c>
      <c r="I9" s="34">
        <f t="shared" si="3"/>
        <v>1.6426180423888566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7.7600000000000002E-2</v>
      </c>
      <c r="D10" s="35">
        <f>交易明细!Y30</f>
        <v>38.461731281406671</v>
      </c>
      <c r="E10" s="35">
        <v>121.16</v>
      </c>
      <c r="F10" s="34">
        <f t="shared" si="0"/>
        <v>-5.4956737801049038E-2</v>
      </c>
      <c r="G10" s="34">
        <f t="shared" si="1"/>
        <v>0.57507210366491823</v>
      </c>
      <c r="H10" s="34">
        <f t="shared" si="2"/>
        <v>1.2051009451308854</v>
      </c>
      <c r="I10" s="34">
        <f t="shared" si="3"/>
        <v>2.1501442073298365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9.7900000000000001E-2</v>
      </c>
      <c r="D11" s="35">
        <f>交易明细!Y28</f>
        <v>31.462916967736909</v>
      </c>
      <c r="E11" s="35">
        <v>71.13</v>
      </c>
      <c r="F11" s="34">
        <f t="shared" si="0"/>
        <v>-0.32177299320715569</v>
      </c>
      <c r="G11" s="34">
        <f t="shared" si="1"/>
        <v>0.13037834465474063</v>
      </c>
      <c r="H11" s="34">
        <f t="shared" si="2"/>
        <v>0.58252968251663684</v>
      </c>
      <c r="I11" s="34">
        <f t="shared" si="3"/>
        <v>1.2607566893094813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0.20069999999999999</v>
      </c>
      <c r="D12" s="35">
        <f>交易明细!Y32</f>
        <v>52.069887014290053</v>
      </c>
      <c r="E12" s="35">
        <v>41.41</v>
      </c>
      <c r="F12" s="34">
        <f t="shared" si="0"/>
        <v>-0.76141680513747545</v>
      </c>
      <c r="G12" s="34">
        <f t="shared" si="1"/>
        <v>-0.60236134189579249</v>
      </c>
      <c r="H12" s="34">
        <f t="shared" si="2"/>
        <v>-0.44330587865410953</v>
      </c>
      <c r="I12" s="34">
        <f t="shared" si="3"/>
        <v>-0.20472268379158487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0.12559999999999999</v>
      </c>
      <c r="D13" s="35">
        <f>交易明细!Z33</f>
        <v>0.96548778213019948</v>
      </c>
      <c r="E13" s="35">
        <v>3.5</v>
      </c>
      <c r="F13" s="34">
        <f t="shared" si="0"/>
        <v>8.7533182122033093E-2</v>
      </c>
      <c r="G13" s="34">
        <f t="shared" si="1"/>
        <v>0.81255530353672167</v>
      </c>
      <c r="H13" s="34">
        <f t="shared" si="2"/>
        <v>1.5375774249514103</v>
      </c>
      <c r="I13" s="34">
        <f t="shared" si="3"/>
        <v>2.6251106070734433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1.3905981770127775</v>
      </c>
      <c r="E14" s="83">
        <v>5.04</v>
      </c>
      <c r="F14" s="34">
        <f t="shared" si="0"/>
        <v>8.7301871233581352E-2</v>
      </c>
      <c r="G14" s="34">
        <f t="shared" si="1"/>
        <v>0.81216978538930218</v>
      </c>
      <c r="H14" s="34">
        <f t="shared" si="2"/>
        <v>1.537037699545023</v>
      </c>
      <c r="I14" s="34">
        <f t="shared" si="3"/>
        <v>2.6243395707786044</v>
      </c>
      <c r="P14" s="34"/>
      <c r="Q14" s="34"/>
      <c r="R14" s="35"/>
    </row>
    <row r="15" spans="1:23">
      <c r="A15" s="99" t="s">
        <v>7427</v>
      </c>
      <c r="B15" s="82">
        <f>交易明细!AA35</f>
        <v>1.2375000000000001E-2</v>
      </c>
      <c r="C15" s="34">
        <v>0.1116</v>
      </c>
      <c r="D15" s="35">
        <f>交易明细!Y35</f>
        <v>9.2160812026891108</v>
      </c>
      <c r="E15" s="35">
        <v>14.46</v>
      </c>
      <c r="F15" s="34">
        <f t="shared" si="0"/>
        <v>-0.52930102235489862</v>
      </c>
      <c r="G15" s="34">
        <f t="shared" si="1"/>
        <v>-0.21550170392483115</v>
      </c>
      <c r="H15" s="34">
        <f t="shared" si="2"/>
        <v>9.829761450523633E-2</v>
      </c>
      <c r="I15" s="34">
        <f t="shared" si="3"/>
        <v>0.56899659215033771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8.0476900149031305E-2</v>
      </c>
      <c r="D17" s="35">
        <f>交易明细!Y34</f>
        <v>19.416176897504332</v>
      </c>
      <c r="E17" s="83">
        <v>24.7</v>
      </c>
      <c r="F17" s="34">
        <f>$E17*$K$4/$D17-1</f>
        <v>-0.61835947214961529</v>
      </c>
      <c r="G17" s="34">
        <f>$E17*$K$6/$D17-1</f>
        <v>-0.36393245358269199</v>
      </c>
      <c r="H17" s="34">
        <f>$E17*$K$8/$D17-1</f>
        <v>-0.10950543501576881</v>
      </c>
      <c r="I17" s="34">
        <f>$E17*$K$10/$D17-1</f>
        <v>0.27213509283461601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4.4342449999999922E-2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0.32743143749999998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6.4625000000000002E-2</v>
      </c>
      <c r="G25" s="34">
        <f>SUM(B19:B19)</f>
        <v>8.7999999999999995E-2</v>
      </c>
      <c r="H25" s="34">
        <f>SUM(B18:B18)</f>
        <v>2.4E-2</v>
      </c>
      <c r="I25" s="34">
        <f>SUM(B20:B21)</f>
        <v>5.0773849999999919E-2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0.14343143749999998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-4.4475000000000001E-2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-8.8926150000000065E-2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-9.0895886233533355E-2</v>
      </c>
      <c r="D30" s="34">
        <f>($B30/$D$2)^(1/$D$29)-1+$C$2*$K$2</f>
        <v>-2.1369102673021015E-2</v>
      </c>
      <c r="E30" s="34">
        <f>($B30/$D$2)^(1/$E$29)-1+$C$2*$K$2</f>
        <v>1.0215431681905682E-2</v>
      </c>
      <c r="F30" s="34">
        <f>($B30/$D$2)^(1/$F$29)-1+$C$2*$K$2</f>
        <v>3.4641862810763466E-2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-1.3327409126281966E-2</v>
      </c>
      <c r="K30" s="93">
        <f t="shared" si="5"/>
        <v>7.2663911310173454E-2</v>
      </c>
      <c r="L30" s="93">
        <f t="shared" si="5"/>
        <v>0.11216238119579676</v>
      </c>
      <c r="M30" s="93">
        <f t="shared" si="5"/>
        <v>0.14287225331981632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6.0375662019117968E-2</v>
      </c>
      <c r="D31" s="34">
        <f>($B31/$D$2)^(1/$D$29)-1+$C$2*$K$2</f>
        <v>7.3765894808245844E-2</v>
      </c>
      <c r="E31" s="34">
        <f>($B31/$D$2)^(1/$E$29)-1+$C$2*$K$2</f>
        <v>7.9561225613927686E-2</v>
      </c>
      <c r="F31" s="34">
        <f>($B31/$D$2)^(1/$F$29)-1+$C$2*$K$2</f>
        <v>8.3930213143079621E-2</v>
      </c>
      <c r="H31" s="83" t="s">
        <v>7503</v>
      </c>
      <c r="I31" s="92">
        <f>K6</f>
        <v>0.5</v>
      </c>
      <c r="J31" s="93">
        <f t="shared" si="5"/>
        <v>0.26843411172371756</v>
      </c>
      <c r="K31" s="93">
        <f t="shared" si="5"/>
        <v>0.24518404157023346</v>
      </c>
      <c r="L31" s="93">
        <f t="shared" si="5"/>
        <v>0.23656990111441115</v>
      </c>
      <c r="M31" s="93">
        <f t="shared" si="5"/>
        <v>0.23060920853459493</v>
      </c>
    </row>
    <row r="32" spans="1:16">
      <c r="B32" s="35">
        <f>E$2*$K$8</f>
        <v>10.464999999999998</v>
      </c>
      <c r="C32" s="34">
        <f>($B32/$D$2)^(1/$C$29)-1+$C$2*$K$2</f>
        <v>0.17505002920896023</v>
      </c>
      <c r="D32" s="34">
        <f>($B32/$D$2)^(1/$D$29)-1+$C$2*$K$2</f>
        <v>0.14195384479331102</v>
      </c>
      <c r="E32" s="34">
        <f>($B32/$D$2)^(1/$E$29)-1+$C$2*$K$2</f>
        <v>0.12808182857911982</v>
      </c>
      <c r="F32" s="34">
        <f>($B32/$D$2)^(1/$F$29)-1+$C$2*$K$2</f>
        <v>0.1177984783074421</v>
      </c>
      <c r="H32" s="83" t="s">
        <v>7504</v>
      </c>
      <c r="I32" s="92">
        <f>K8</f>
        <v>0.7</v>
      </c>
      <c r="J32" s="93">
        <f t="shared" si="5"/>
        <v>0.48202896465638023</v>
      </c>
      <c r="K32" s="93">
        <f t="shared" si="5"/>
        <v>0.36883773710857976</v>
      </c>
      <c r="L32" s="93">
        <f t="shared" si="5"/>
        <v>0.32361667839657199</v>
      </c>
      <c r="M32" s="93">
        <f t="shared" si="5"/>
        <v>0.29089725720924575</v>
      </c>
    </row>
    <row r="33" spans="1:13">
      <c r="B33" s="35">
        <f>E$2*$K$10</f>
        <v>14.95</v>
      </c>
      <c r="C33" s="34">
        <f>($B33/$D$2)^(1/$C$29)-1+$C$2*$K$2</f>
        <v>0.31150505447400118</v>
      </c>
      <c r="D33" s="34">
        <f>($B33/$D$2)^(1/$D$29)-1+$C$2*$K$2</f>
        <v>0.21942573197743059</v>
      </c>
      <c r="E33" s="34">
        <f>($B33/$D$2)^(1/$E$29)-1+$C$2*$K$2</f>
        <v>0.18212699638111313</v>
      </c>
      <c r="F33" s="34">
        <f>($B33/$D$2)^(1/$F$29)-1+$C$2*$K$2</f>
        <v>0.15496657751714199</v>
      </c>
      <c r="I33" s="92">
        <f>K10</f>
        <v>1</v>
      </c>
      <c r="J33" s="93">
        <f t="shared" si="5"/>
        <v>0.73619292271998249</v>
      </c>
      <c r="K33" s="93">
        <f t="shared" si="5"/>
        <v>0.50932715133417827</v>
      </c>
      <c r="L33" s="93">
        <f t="shared" si="5"/>
        <v>0.42057461785606315</v>
      </c>
      <c r="M33" s="93">
        <f t="shared" si="5"/>
        <v>0.35705925763720031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-0.11175280092265838</v>
      </c>
      <c r="D35" s="34">
        <f>($B35/$D$3)^(1/$D$29)-1+$C$3*$K$2</f>
        <v>-3.5894539723709817E-2</v>
      </c>
      <c r="E35" s="34">
        <f>($B35/$D$3)^(1/$E$29)-1+$C$3*$K$2</f>
        <v>-1.2111627815082349E-3</v>
      </c>
      <c r="F35" s="34">
        <f>($B35/$D$3)^(1/$F$29)-1+$C$3*$K$2</f>
        <v>2.5703242741702659E-2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3.6120414591244709E-2</v>
      </c>
      <c r="D36" s="34">
        <f>($B36/$D$3)^(1/$D$29)-1+$C$3*$K$2</f>
        <v>5.7952303785214321E-2</v>
      </c>
      <c r="E36" s="34">
        <f>($B36/$D$3)^(1/$E$29)-1+$C$3*$K$2</f>
        <v>6.7462639752565501E-2</v>
      </c>
      <c r="F36" s="34">
        <f>($B36/$D$3)^(1/$F$29)-1+$C$3*$K$2</f>
        <v>7.4656766907132965E-2</v>
      </c>
    </row>
    <row r="37" spans="1:13">
      <c r="B37" s="35">
        <f>$E$3*$K$8</f>
        <v>13.299999999999999</v>
      </c>
      <c r="C37" s="34">
        <f>($B37/$D$3)^(1/$C$29)-1+$C$3*$K$2</f>
        <v>0.14821860892625782</v>
      </c>
      <c r="D37" s="34">
        <f>($B37/$D$3)^(1/$D$29)-1+$C$3*$K$2</f>
        <v>0.12521697021570266</v>
      </c>
      <c r="E37" s="34">
        <f>($B37/$D$3)^(1/$E$29)-1+$C$3*$K$2</f>
        <v>0.1155130566261855</v>
      </c>
      <c r="F37" s="34">
        <f>($B37/$D$3)^(1/$F$29)-1+$C$3*$K$2</f>
        <v>0.10829495779780607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0.2816081563464472</v>
      </c>
      <c r="D38" s="34">
        <f>($B38/$D$3)^(1/$D$29)-1+$C$3*$K$2</f>
        <v>0.2016398667879209</v>
      </c>
      <c r="E38" s="34">
        <f>($B38/$D$3)^(1/$E$29)-1+$C$3*$K$2</f>
        <v>0.16903450286116906</v>
      </c>
      <c r="F38" s="34">
        <f>($B38/$D$3)^(1/$F$29)-1+$C$3*$K$2</f>
        <v>0.14521056626466478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7.6710684037422344E-2</v>
      </c>
      <c r="D40" s="34">
        <f>($B40/$D$4)^(1/$D$29)-1+$C$4*$K$2</f>
        <v>6.8233700740771203E-2</v>
      </c>
      <c r="E40" s="34">
        <f>($B40/$D$4)^(1/$E$29)-1+$C$4*$K$2</f>
        <v>6.462228607673251E-2</v>
      </c>
      <c r="F40" s="34">
        <f>($B40/$D$4)^(1/$F$29)-1+$C$4*$K$2</f>
        <v>6.1922180247854702E-2</v>
      </c>
    </row>
    <row r="41" spans="1:13">
      <c r="A41" s="82">
        <f>B4</f>
        <v>0.29240731249999996</v>
      </c>
      <c r="B41" s="83">
        <f>$E$4*$K$6</f>
        <v>41.62</v>
      </c>
      <c r="C41" s="34">
        <f>($B41/$D$4)^(1/$C$29)-1+$C$4*$K$2</f>
        <v>0.2662513035102505</v>
      </c>
      <c r="D41" s="34">
        <f>($B41/$D$4)^(1/$D$29)-1+$C$4*$K$2</f>
        <v>0.17715362666227666</v>
      </c>
      <c r="E41" s="34">
        <f>($B41/$D$4)^(1/$E$29)-1+$C$4*$K$2</f>
        <v>0.1410052615304638</v>
      </c>
      <c r="F41" s="34">
        <f>($B41/$D$4)^(1/$F$29)-1+$C$4*$K$2</f>
        <v>0.11466068297835255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0.40993629150624189</v>
      </c>
      <c r="D42" s="34">
        <f>($B42/$D$4)^(1/$D$29)-1+$C$4*$K$2</f>
        <v>0.25522191549126516</v>
      </c>
      <c r="E42" s="34">
        <f>($B42/$D$4)^(1/$E$29)-1+$C$4*$K$2</f>
        <v>0.19444971454117657</v>
      </c>
      <c r="F42" s="34">
        <f>($B42/$D$4)^(1/$F$29)-1+$C$4*$K$2</f>
        <v>0.15089970462961791</v>
      </c>
    </row>
    <row r="43" spans="1:13">
      <c r="B43" s="83">
        <f>$E$4*$K$10</f>
        <v>83.24</v>
      </c>
      <c r="C43" s="34">
        <f>($B43/$D$4)^(1/$C$29)-1+$C$4*$K$2</f>
        <v>0.58091206532273665</v>
      </c>
      <c r="D43" s="34">
        <f>($B43/$D$4)^(1/$D$29)-1+$C$4*$K$2</f>
        <v>0.34391937107016601</v>
      </c>
      <c r="E43" s="34">
        <f>($B43/$D$4)^(1/$E$29)-1+$C$4*$K$2</f>
        <v>0.25397936286648326</v>
      </c>
      <c r="F43" s="34">
        <f>($B43/$D$4)^(1/$F$29)-1+$C$4*$K$2</f>
        <v>0.19066954655863347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0.63964668562597615</v>
      </c>
      <c r="D45" s="34">
        <f>($B45/$D$5)^(1/$D$29)-1+$C$5*$K$2</f>
        <v>0.36627202742824488</v>
      </c>
      <c r="E45" s="34">
        <f>($B45/$D$5)^(1/$E$29)-1+$C$5*$K$2</f>
        <v>0.26392573817297998</v>
      </c>
      <c r="F45" s="34">
        <f>($B45/$D$5)^(1/$F$29)-1+$C$5*$K$2</f>
        <v>0.19238843327735194</v>
      </c>
      <c r="I45" s="94" t="s">
        <v>7524</v>
      </c>
    </row>
    <row r="46" spans="1:13">
      <c r="A46" s="82">
        <f>B5</f>
        <v>1.0938512499999997E-2</v>
      </c>
      <c r="B46" s="83">
        <f>$E$5*$K$6</f>
        <v>72.41</v>
      </c>
      <c r="C46" s="34">
        <f>($B46/$D$5)^(1/$C$29)-1+$C$5*$K$2</f>
        <v>0.93634490067476861</v>
      </c>
      <c r="D46" s="34">
        <f>($B46/$D$5)^(1/$D$29)-1+$C$5*$K$2</f>
        <v>0.50879173416639278</v>
      </c>
      <c r="E46" s="34">
        <f>($B46/$D$5)^(1/$E$29)-1+$C$5*$K$2</f>
        <v>0.35648118638722232</v>
      </c>
      <c r="F46" s="34">
        <f>($B46/$D$5)^(1/$F$29)-1+$C$5*$K$2</f>
        <v>0.25271541360182187</v>
      </c>
    </row>
    <row r="47" spans="1:13">
      <c r="B47" s="83">
        <f>$E$5*$K$8</f>
        <v>101.374</v>
      </c>
      <c r="C47" s="34">
        <f>($B47/$D$5)^(1/$C$29)-1+$C$5*$K$2</f>
        <v>1.1612628079090506</v>
      </c>
      <c r="D47" s="34">
        <f>($B47/$D$5)^(1/$D$29)-1+$C$5*$K$2</f>
        <v>0.61094264489575534</v>
      </c>
      <c r="E47" s="34">
        <f>($B47/$D$5)^(1/$E$29)-1+$C$5*$K$2</f>
        <v>0.42124136722055322</v>
      </c>
      <c r="F47" s="34">
        <f>($B47/$D$5)^(1/$F$29)-1+$C$5*$K$2</f>
        <v>0.29416882302653952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1.4289004628298327</v>
      </c>
      <c r="D48" s="34">
        <f>($B48/$D$5)^(1/$D$29)-1+$C$5*$K$2</f>
        <v>0.72700162354980669</v>
      </c>
      <c r="E48" s="34">
        <f>($B48/$D$5)^(1/$E$29)-1+$C$5*$K$2</f>
        <v>0.49337515423337391</v>
      </c>
      <c r="F48" s="34">
        <f>($B48/$D$5)^(1/$F$29)-1+$C$5*$K$2</f>
        <v>0.33966109806929684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2.0240233005854397E-2</v>
      </c>
      <c r="D50" s="34">
        <f>($B50/$D$6)^(1/$D$29)-1+$C$6*$K$2</f>
        <v>3.8607898164327276E-2</v>
      </c>
      <c r="E50" s="34">
        <f>($B50/$D$6)^(1/$E$29)-1+$C$6*$K$2</f>
        <v>4.6587683222985982E-2</v>
      </c>
      <c r="F50" s="34">
        <f>($B50/$D$6)^(1/$F$29)-1+$C$6*$K$2</f>
        <v>5.261549405252805E-2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0.19722375289245217</v>
      </c>
      <c r="D51" s="34">
        <f>($B51/$D$6)^(1/$D$29)-1+$C$6*$K$2</f>
        <v>0.14313903095108924</v>
      </c>
      <c r="E51" s="34">
        <f>($B51/$D$6)^(1/$E$29)-1+$C$6*$K$2</f>
        <v>0.12075938250136628</v>
      </c>
      <c r="F51" s="34">
        <f>($B51/$D$6)^(1/$F$29)-1+$C$6*$K$2</f>
        <v>0.10428055613293105</v>
      </c>
    </row>
    <row r="52" spans="1:6">
      <c r="B52" s="83">
        <f>$E$6*$K$8</f>
        <v>96.50200000000001</v>
      </c>
      <c r="C52" s="34">
        <f>($B52/$D$6)^(1/$C$29)-1+$C$6*$K$2</f>
        <v>0.33138958500338755</v>
      </c>
      <c r="D52" s="34">
        <f>($B52/$D$6)^(1/$D$29)-1+$C$6*$K$2</f>
        <v>0.21806165504375805</v>
      </c>
      <c r="E52" s="34">
        <f>($B52/$D$6)^(1/$E$29)-1+$C$6*$K$2</f>
        <v>0.17265662626885123</v>
      </c>
      <c r="F52" s="34">
        <f>($B52/$D$6)^(1/$F$29)-1+$C$6*$K$2</f>
        <v>0.13978196793662598</v>
      </c>
    </row>
    <row r="53" spans="1:6">
      <c r="B53" s="83">
        <f>$E$6*$K$10</f>
        <v>137.86000000000001</v>
      </c>
      <c r="C53" s="34">
        <f>($B53/$D$6)^(1/$C$29)-1+$C$6*$K$2</f>
        <v>0.49103818354411366</v>
      </c>
      <c r="D53" s="34">
        <f>($B53/$D$6)^(1/$D$29)-1+$C$6*$K$2</f>
        <v>0.30318515681374414</v>
      </c>
      <c r="E53" s="34">
        <f>($B53/$D$6)^(1/$E$29)-1+$C$6*$K$2</f>
        <v>0.23046289982004317</v>
      </c>
      <c r="F53" s="34">
        <f>($B53/$D$6)^(1/$F$29)-1+$C$6*$K$2</f>
        <v>0.17874233362410727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-1.7311406808173418E-2</v>
      </c>
      <c r="D55" s="34">
        <f>($B55/$D$7)^(1/$D$29)-1+$C$7*$K$2</f>
        <v>2.788285660288628E-2</v>
      </c>
      <c r="E55" s="34">
        <f>($B55/$D$7)^(1/$E$29)-1+$C$7*$K$2</f>
        <v>4.7953453541241836E-2</v>
      </c>
      <c r="F55" s="34">
        <f>($B55/$D$7)^(1/$F$29)-1+$C$7*$K$2</f>
        <v>6.329080924911315E-2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0.14653376746951222</v>
      </c>
      <c r="D56" s="34">
        <f>($B56/$D$7)^(1/$D$29)-1+$C$7*$K$2</f>
        <v>0.12768644413327371</v>
      </c>
      <c r="E56" s="34">
        <f>($B56/$D$7)^(1/$E$29)-1+$C$7*$K$2</f>
        <v>0.11971328998420397</v>
      </c>
      <c r="F56" s="34">
        <f>($B56/$D$7)^(1/$F$29)-1+$C$7*$K$2</f>
        <v>0.11377404732909138</v>
      </c>
    </row>
    <row r="57" spans="1:6">
      <c r="B57" s="83">
        <f>$E$7*$K$8</f>
        <v>15.210999999999999</v>
      </c>
      <c r="C57" s="34">
        <f>($B57/$D$7)^(1/$C$29)-1+$C$7*$K$2</f>
        <v>0.27073981873582298</v>
      </c>
      <c r="D57" s="34">
        <f>($B57/$D$7)^(1/$D$29)-1+$C$7*$K$2</f>
        <v>0.19922060311816472</v>
      </c>
      <c r="E57" s="34">
        <f>($B57/$D$7)^(1/$E$29)-1+$C$7*$K$2</f>
        <v>0.16992297589982333</v>
      </c>
      <c r="F57" s="34">
        <f>($B57/$D$7)^(1/$F$29)-1+$C$7*$K$2</f>
        <v>0.14846337416029012</v>
      </c>
    </row>
    <row r="58" spans="1:6">
      <c r="B58" s="83">
        <f>$E$7*$K$10</f>
        <v>21.73</v>
      </c>
      <c r="C58" s="34">
        <f>($B58/$D$7)^(1/$C$29)-1+$C$7*$K$2</f>
        <v>0.41853692700813006</v>
      </c>
      <c r="D58" s="34">
        <f>($B58/$D$7)^(1/$D$29)-1+$C$7*$K$2</f>
        <v>0.28049429291089401</v>
      </c>
      <c r="E58" s="34">
        <f>($B58/$D$7)^(1/$E$29)-1+$C$7*$K$2</f>
        <v>0.22584954594969922</v>
      </c>
      <c r="F58" s="34">
        <f>($B58/$D$7)^(1/$F$29)-1+$C$7*$K$2</f>
        <v>0.18653253226220537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-2.9319600467357931E-3</v>
      </c>
      <c r="D60" s="34">
        <f>($B60/$D$8)^(1/$D$29)-1+$C$8*$K$2</f>
        <v>4.2823479287519395E-2</v>
      </c>
      <c r="E60" s="34">
        <f>($B60/$D$8)^(1/$E$29)-1+$C$8*$K$2</f>
        <v>6.315325703012753E-2</v>
      </c>
      <c r="F60" s="34">
        <f>($B60/$D$8)^(1/$F$29)-1+$C$8*$K$2</f>
        <v>7.8692685917436278E-2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0.16063095225839108</v>
      </c>
      <c r="D61" s="34">
        <f>($B61/$D$8)^(1/$D$29)-1+$C$8*$K$2</f>
        <v>0.14252387010829737</v>
      </c>
      <c r="E61" s="34">
        <f>($B61/$D$8)^(1/$E$29)-1+$C$8*$K$2</f>
        <v>0.13486008597857357</v>
      </c>
      <c r="F61" s="34">
        <f>($B61/$D$8)^(1/$F$29)-1+$C$8*$K$2</f>
        <v>0.12914981746361232</v>
      </c>
    </row>
    <row r="62" spans="1:6">
      <c r="B62" s="83">
        <f>$E$8*$K$8</f>
        <v>36.728999999999999</v>
      </c>
      <c r="C62" s="34">
        <f>($B62/$D$8)^(1/$C$29)-1+$C$8*$K$2</f>
        <v>0.28462302929452576</v>
      </c>
      <c r="D62" s="34">
        <f>($B62/$D$8)^(1/$D$29)-1+$C$8*$K$2</f>
        <v>0.21398406291607408</v>
      </c>
      <c r="E62" s="34">
        <f>($B62/$D$8)^(1/$E$29)-1+$C$8*$K$2</f>
        <v>0.18503268304640907</v>
      </c>
      <c r="F62" s="34">
        <f>($B62/$D$8)^(1/$F$29)-1+$C$8*$K$2</f>
        <v>0.163821205309161</v>
      </c>
    </row>
    <row r="63" spans="1:6">
      <c r="B63" s="83">
        <f>$E$8*$K$10</f>
        <v>52.47</v>
      </c>
      <c r="C63" s="34">
        <f>($B63/$D$8)^(1/$C$29)-1+$C$8*$K$2</f>
        <v>0.43216552217456794</v>
      </c>
      <c r="D63" s="34">
        <f>($B63/$D$8)^(1/$D$29)-1+$C$8*$K$2</f>
        <v>0.29517371587634122</v>
      </c>
      <c r="E63" s="34">
        <f>($B63/$D$8)^(1/$E$29)-1+$C$8*$K$2</f>
        <v>0.24091794130542543</v>
      </c>
      <c r="F63" s="34">
        <f>($B63/$D$8)^(1/$F$29)-1+$C$8*$K$2</f>
        <v>0.20187067660411606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-8.3125995660171537E-4</v>
      </c>
      <c r="D65" s="34">
        <f>($B65/$D$9)^(1/$D$29)-1+$C$9*$K$2</f>
        <v>2.8271321460996091E-2</v>
      </c>
      <c r="E65" s="34">
        <f>($B65/$D$9)^(1/$E$29)-1+$C$9*$K$2</f>
        <v>4.1022337497930939E-2</v>
      </c>
      <c r="F65" s="34">
        <f>($B65/$D$9)^(1/$F$29)-1+$C$9*$K$2</f>
        <v>5.0697246278805119E-2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0.17097380321348088</v>
      </c>
      <c r="D66" s="34">
        <f>($B66/$D$9)^(1/$D$29)-1+$C$9*$K$2</f>
        <v>0.13095644619740576</v>
      </c>
      <c r="E66" s="34">
        <f>($B66/$D$9)^(1/$E$29)-1+$C$9*$K$2</f>
        <v>0.11425604126697975</v>
      </c>
      <c r="F66" s="34">
        <f>($B66/$D$9)^(1/$F$29)-1+$C$9*$K$2</f>
        <v>0.10190407667434309</v>
      </c>
    </row>
    <row r="67" spans="1:6">
      <c r="B67" s="83">
        <f>$E$9*$K$8</f>
        <v>52.094000000000001</v>
      </c>
      <c r="C67" s="34">
        <f>($B67/$D$9)^(1/$C$29)-1+$C$9*$K$2</f>
        <v>0.3012140045376237</v>
      </c>
      <c r="D67" s="34">
        <f>($B67/$D$9)^(1/$D$29)-1+$C$9*$K$2</f>
        <v>0.20455594517374442</v>
      </c>
      <c r="E67" s="34">
        <f>($B67/$D$9)^(1/$E$29)-1+$C$9*$K$2</f>
        <v>0.16549697835584998</v>
      </c>
      <c r="F67" s="34">
        <f>($B67/$D$9)^(1/$F$29)-1+$C$9*$K$2</f>
        <v>0.13709061666542732</v>
      </c>
    </row>
    <row r="68" spans="1:6">
      <c r="B68" s="83">
        <f>$E$9*$K$10</f>
        <v>74.42</v>
      </c>
      <c r="C68" s="34">
        <f>($B68/$D$9)^(1/$C$29)-1+$C$9*$K$2</f>
        <v>0.45619135821936396</v>
      </c>
      <c r="D68" s="34">
        <f>($B68/$D$9)^(1/$D$29)-1+$C$9*$K$2</f>
        <v>0.28817617547472119</v>
      </c>
      <c r="E68" s="34">
        <f>($B68/$D$9)^(1/$E$29)-1+$C$9*$K$2</f>
        <v>0.22257221802849059</v>
      </c>
      <c r="F68" s="34">
        <f>($B68/$D$9)^(1/$F$29)-1+$C$9*$K$2</f>
        <v>0.17570543212431966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3.9534867803883461E-2</v>
      </c>
      <c r="D70" s="34">
        <f>($B70/$D$10)^(1/$D$29)-1+$C$10*$K$2</f>
        <v>4.6958745941734742E-2</v>
      </c>
      <c r="E70" s="34">
        <f>($B70/$D$10)^(1/$E$29)-1+$C$10*$K$2</f>
        <v>5.0157575823430584E-2</v>
      </c>
      <c r="F70" s="34">
        <f>($B70/$D$10)^(1/$F$29)-1+$C$10*$K$2</f>
        <v>5.2563487836181005E-2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0.22170114025142459</v>
      </c>
      <c r="D71" s="34">
        <f>($B71/$D$10)^(1/$D$29)-1+$C$10*$K$2</f>
        <v>0.15331590859745223</v>
      </c>
      <c r="E71" s="34">
        <f>($B71/$D$10)^(1/$E$29)-1+$C$10*$K$2</f>
        <v>0.12525247407864579</v>
      </c>
      <c r="F71" s="34">
        <f>($B71/$D$10)^(1/$F$29)-1+$C$10*$K$2</f>
        <v>0.10467785862743037</v>
      </c>
    </row>
    <row r="72" spans="1:6">
      <c r="B72" s="83">
        <f>$E$10*$K$8</f>
        <v>84.811999999999998</v>
      </c>
      <c r="C72" s="34">
        <f>($B72/$D$10)^(1/$C$29)-1+$C$10*$K$2</f>
        <v>0.35979585969836503</v>
      </c>
      <c r="D72" s="34">
        <f>($B72/$D$10)^(1/$D$29)-1+$C$10*$K$2</f>
        <v>0.2295473384574209</v>
      </c>
      <c r="E72" s="34">
        <f>($B72/$D$10)^(1/$E$29)-1+$C$10*$K$2</f>
        <v>0.17779567152944684</v>
      </c>
      <c r="F72" s="34">
        <f>($B72/$D$10)^(1/$F$29)-1+$C$10*$K$2</f>
        <v>0.14048801086282989</v>
      </c>
    </row>
    <row r="73" spans="1:6">
      <c r="B73" s="83">
        <f>$E$10*$K$10</f>
        <v>121.16</v>
      </c>
      <c r="C73" s="34">
        <f>($B73/$D$10)^(1/$C$29)-1+$C$10*$K$2</f>
        <v>0.52411957817945698</v>
      </c>
      <c r="D73" s="34">
        <f>($B73/$D$10)^(1/$D$29)-1+$C$10*$K$2</f>
        <v>0.31615784273697667</v>
      </c>
      <c r="E73" s="34">
        <f>($B73/$D$10)^(1/$E$29)-1+$C$10*$K$2</f>
        <v>0.23632144716993017</v>
      </c>
      <c r="F73" s="34">
        <f>($B73/$D$10)^(1/$F$29)-1+$C$10*$K$2</f>
        <v>0.17978719800868645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-4.7974000293490707E-2</v>
      </c>
      <c r="D75" s="34">
        <f>($B75/$D$11)^(1/$D$29)-1+$C$11*$K$2</f>
        <v>-1.2910779039416315E-3</v>
      </c>
      <c r="E75" s="34">
        <f>($B75/$D$11)^(1/$E$29)-1+$C$11*$K$2</f>
        <v>1.9467671063943356E-2</v>
      </c>
      <c r="F75" s="34">
        <f>($B75/$D$11)^(1/$F$29)-1+$C$11*$K$2</f>
        <v>3.5341795828027142E-2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0.11512167105811948</v>
      </c>
      <c r="D76" s="34">
        <f>($B76/$D$11)^(1/$D$29)-1+$C$11*$K$2</f>
        <v>9.8238330062366971E-2</v>
      </c>
      <c r="E76" s="34">
        <f>($B76/$D$11)^(1/$E$29)-1+$C$11*$K$2</f>
        <v>9.1086639314340065E-2</v>
      </c>
      <c r="F76" s="34">
        <f>($B76/$D$11)^(1/$F$29)-1+$C$11*$K$2</f>
        <v>8.5755642657016004E-2</v>
      </c>
    </row>
    <row r="77" spans="1:6">
      <c r="B77" s="35">
        <f>$E$11*$K$8</f>
        <v>49.790999999999997</v>
      </c>
      <c r="C77" s="34">
        <f>($B77/$D$11)^(1/$C$29)-1+$C$11*$K$2</f>
        <v>0.23875954691572038</v>
      </c>
      <c r="D77" s="34">
        <f>($B77/$D$11)^(1/$D$29)-1+$C$11*$K$2</f>
        <v>0.16957597101606731</v>
      </c>
      <c r="E77" s="34">
        <f>($B77/$D$11)^(1/$E$29)-1+$C$11*$K$2</f>
        <v>0.14119776107409171</v>
      </c>
      <c r="F77" s="34">
        <f>($B77/$D$11)^(1/$F$29)-1+$C$11*$K$2</f>
        <v>0.12039728760653794</v>
      </c>
    </row>
    <row r="78" spans="1:6">
      <c r="A78" s="82"/>
      <c r="B78" s="35">
        <f>$E$11*$K$10</f>
        <v>71.13</v>
      </c>
      <c r="C78" s="34">
        <f>($B78/$D$11)^(1/$C$29)-1+$C$11*$K$2</f>
        <v>0.38588056347154026</v>
      </c>
      <c r="D78" s="34">
        <f>($B78/$D$11)^(1/$D$29)-1+$C$11*$K$2</f>
        <v>0.2506263864216744</v>
      </c>
      <c r="E78" s="34">
        <f>($B78/$D$11)^(1/$E$29)-1+$C$11*$K$2</f>
        <v>0.19701454443506455</v>
      </c>
      <c r="F78" s="34">
        <f>($B78/$D$11)^(1/$F$29)-1+$C$11*$K$2</f>
        <v>0.15841411811210099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-0.22925378613290862</v>
      </c>
      <c r="D80" s="34">
        <f>($B80/$D$12)^(1/$D$29)-1+$C$12*$K$2</f>
        <v>-9.8668593052528647E-2</v>
      </c>
      <c r="E80" s="34">
        <f>($B80/$D$12)^(1/$E$29)-1+$C$12*$K$2</f>
        <v>-3.4599224925193545E-2</v>
      </c>
      <c r="F80" s="34">
        <f>($B80/$D$12)^(1/$F$29)-1+$C$12*$K$2</f>
        <v>1.7015857971087484E-2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-0.11412143903114771</v>
      </c>
      <c r="D81" s="34">
        <f>($B81/$D$12)^(1/$D$29)-1+$C$12*$K$2</f>
        <v>-1.7907093369801591E-2</v>
      </c>
      <c r="E81" s="34">
        <f>($B81/$D$12)^(1/$E$29)-1+$C$12*$K$2</f>
        <v>2.7089918755256098E-2</v>
      </c>
      <c r="F81" s="34">
        <f>($B81/$D$12)^(1/$F$29)-1+$C$12*$K$2</f>
        <v>6.2428452471915169E-2</v>
      </c>
    </row>
    <row r="82" spans="1:11">
      <c r="A82" s="82"/>
      <c r="B82" s="35">
        <f>$E$12*$K$8</f>
        <v>28.986999999999995</v>
      </c>
      <c r="C82" s="34">
        <f>($B82/$D$12)^(1/$C$29)-1+$C$12*$K$2</f>
        <v>-2.6843102823966875E-2</v>
      </c>
      <c r="D82" s="34">
        <f>($B82/$D$12)^(1/$D$29)-1+$C$12*$K$2</f>
        <v>3.9978661051635472E-2</v>
      </c>
      <c r="E82" s="34">
        <f>($B82/$D$12)^(1/$E$29)-1+$C$12*$K$2</f>
        <v>7.0253235202623471E-2</v>
      </c>
      <c r="F82" s="34">
        <f>($B82/$D$12)^(1/$F$29)-1+$C$12*$K$2</f>
        <v>9.3633509691029876E-2</v>
      </c>
    </row>
    <row r="83" spans="1:11">
      <c r="B83" s="35">
        <f>$E$12*$K$10</f>
        <v>41.41</v>
      </c>
      <c r="C83" s="34">
        <f>($B83/$D$12)^(1/$C$29)-1+$C$12*$K$2</f>
        <v>7.7012430579809971E-2</v>
      </c>
      <c r="D83" s="34">
        <f>($B83/$D$12)^(1/$D$29)-1+$C$12*$K$2</f>
        <v>0.10574568641443691</v>
      </c>
      <c r="E83" s="34">
        <f>($B83/$D$12)^(1/$E$29)-1+$C$12*$K$2</f>
        <v>0.1183311348520156</v>
      </c>
      <c r="F83" s="34">
        <f>($B83/$D$12)^(1/$F$29)-1+$C$12*$K$2</f>
        <v>0.12787892075462456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0.12256551715462309</v>
      </c>
      <c r="D85" s="34">
        <f>($B85/$D$13)^(1/$D$29)-1+$C$13*$K$2</f>
        <v>0.11112401473023852</v>
      </c>
      <c r="E85" s="34">
        <f>($B85/$D$13)^(1/$E$29)-1+$C$13*$K$2</f>
        <v>0.10625956514596606</v>
      </c>
      <c r="F85" s="34">
        <f>($B85/$D$13)^(1/$F$29)-1+$C$13*$K$2</f>
        <v>0.10262650437711056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0.31346214084524643</v>
      </c>
      <c r="D86" s="34">
        <f>($B86/$D$13)^(1/$D$29)-1+$C$13*$K$2</f>
        <v>0.22051081235614051</v>
      </c>
      <c r="E86" s="34">
        <f>($B86/$D$13)^(1/$E$29)-1+$C$13*$K$2</f>
        <v>0.18287625917117695</v>
      </c>
      <c r="F86" s="34">
        <f>($B86/$D$13)^(1/$F$29)-1+$C$13*$K$2</f>
        <v>0.15547791475943779</v>
      </c>
    </row>
    <row r="87" spans="1:11">
      <c r="B87" s="35">
        <f>$E$13*$K$8</f>
        <v>2.4499999999999997</v>
      </c>
      <c r="C87" s="34">
        <f>($B87/$D$13)^(1/$C$29)-1+$C$13*$K$2</f>
        <v>0.45817507446206779</v>
      </c>
      <c r="D87" s="34">
        <f>($B87/$D$13)^(1/$D$29)-1+$C$13*$K$2</f>
        <v>0.29891373118745895</v>
      </c>
      <c r="E87" s="34">
        <f>($B87/$D$13)^(1/$E$29)-1+$C$13*$K$2</f>
        <v>0.2364842428788409</v>
      </c>
      <c r="F87" s="34">
        <f>($B87/$D$13)^(1/$F$29)-1+$C$13*$K$2</f>
        <v>0.19179452038877226</v>
      </c>
    </row>
    <row r="88" spans="1:11">
      <c r="B88" s="35">
        <f>$E$13*$K$10</f>
        <v>3.5</v>
      </c>
      <c r="C88" s="34">
        <f>($B88/$D$13)^(1/$C$29)-1+$C$13*$K$2</f>
        <v>0.63037403659081359</v>
      </c>
      <c r="D88" s="34">
        <f>($B88/$D$13)^(1/$D$29)-1+$C$13*$K$2</f>
        <v>0.38799137736887274</v>
      </c>
      <c r="E88" s="34">
        <f>($B88/$D$13)^(1/$E$29)-1+$C$13*$K$2</f>
        <v>0.29619604153652984</v>
      </c>
      <c r="F88" s="34">
        <f>($B88/$D$13)^(1/$F$29)-1+$C$13*$K$2</f>
        <v>0.23164950541501955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6.5117603208356578E-2</v>
      </c>
      <c r="D90" s="34">
        <f>($B90/$D$14)^(1/$D$29)-1+$C$14*$K$2</f>
        <v>5.3705752489397018E-2</v>
      </c>
      <c r="E90" s="34">
        <f>($B90/$D$14)^(1/$E$29)-1+$C$14*$K$2</f>
        <v>4.885381117606713E-2</v>
      </c>
      <c r="F90" s="34">
        <f>($B90/$D$14)^(1/$F$29)-1+$C$14*$K$2</f>
        <v>4.523005378017475E-2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0.25600069180282004</v>
      </c>
      <c r="D91" s="34">
        <f>($B91/$D$14)^(1/$D$29)-1+$C$14*$K$2</f>
        <v>0.16308789655425071</v>
      </c>
      <c r="E91" s="34">
        <f>($B91/$D$14)^(1/$E$29)-1+$C$14*$K$2</f>
        <v>0.12546817701074164</v>
      </c>
      <c r="F91" s="34">
        <f>($B91/$D$14)^(1/$F$29)-1+$C$14*$K$2</f>
        <v>9.8080339941453931E-2</v>
      </c>
    </row>
    <row r="92" spans="1:11">
      <c r="B92" s="35">
        <f>$E$14*$K$8</f>
        <v>3.5279999999999996</v>
      </c>
      <c r="C92" s="34">
        <f>($B92/$D$14)^(1/$C$29)-1+$C$14*$K$2</f>
        <v>0.40070336487425162</v>
      </c>
      <c r="D92" s="34">
        <f>($B92/$D$14)^(1/$D$29)-1+$C$14*$K$2</f>
        <v>0.24148747994859654</v>
      </c>
      <c r="E92" s="34">
        <f>($B92/$D$14)^(1/$E$29)-1+$C$14*$K$2</f>
        <v>0.17907453170527832</v>
      </c>
      <c r="F92" s="34">
        <f>($B92/$D$14)^(1/$F$29)-1+$C$14*$K$2</f>
        <v>0.1343961730674218</v>
      </c>
    </row>
    <row r="93" spans="1:11">
      <c r="B93" s="35">
        <f>$E$14*$K$10</f>
        <v>5.04</v>
      </c>
      <c r="C93" s="34">
        <f>($B93/$D$14)^(1/$C$29)-1+$C$14*$K$2</f>
        <v>0.57289011762251729</v>
      </c>
      <c r="D93" s="34">
        <f>($B93/$D$14)^(1/$D$29)-1+$C$14*$K$2</f>
        <v>0.33056133656606368</v>
      </c>
      <c r="E93" s="34">
        <f>($B93/$D$14)^(1/$E$29)-1+$C$14*$K$2</f>
        <v>0.23878451587010374</v>
      </c>
      <c r="F93" s="34">
        <f>($B93/$D$14)^(1/$F$29)-1+$C$14*$K$2</f>
        <v>0.17425031032418292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-0.13841675300006562</v>
      </c>
      <c r="D95" s="34">
        <f>($B95/$D$15)^(1/$D$29)-1+$C$15*$K$2</f>
        <v>-5.620058752416579E-2</v>
      </c>
      <c r="E95" s="34">
        <f>($B95/$D$15)^(1/$E$29)-1+$C$15*$K$2</f>
        <v>-1.8356447507222207E-2</v>
      </c>
      <c r="F95" s="34">
        <f>($B95/$D$15)^(1/$F$29)-1+$C$15*$K$2</f>
        <v>1.1115447615486995E-2</v>
      </c>
      <c r="H95" s="34"/>
      <c r="I95" s="34"/>
      <c r="J95" s="34"/>
      <c r="K95" s="34"/>
    </row>
    <row r="96" spans="1:11">
      <c r="A96" s="82">
        <f>B15</f>
        <v>1.2375000000000001E-2</v>
      </c>
      <c r="B96" s="35">
        <f>$E$15*$K$6</f>
        <v>7.23</v>
      </c>
      <c r="C96" s="34">
        <f>($B96/$D$15)^(1/$C$29)-1+$C$15*$K$2</f>
        <v>5.9825709763521306E-3</v>
      </c>
      <c r="D96" s="34">
        <f>($B96/$D$15)^(1/$D$29)-1+$C$15*$K$2</f>
        <v>3.631716110586225E-2</v>
      </c>
      <c r="E96" s="34">
        <f>($B96/$D$15)^(1/$E$29)-1+$C$15*$K$2</f>
        <v>4.9621237584195788E-2</v>
      </c>
      <c r="F96" s="34">
        <f>($B96/$D$15)^(1/$F$29)-1+$C$15*$K$2</f>
        <v>5.9721086404316504E-2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0.11544731362564609</v>
      </c>
      <c r="D97" s="34">
        <f>($B97/$D$15)^(1/$D$29)-1+$C$15*$K$2</f>
        <v>0.10262919961258976</v>
      </c>
      <c r="E97" s="34">
        <f>($B97/$D$15)^(1/$E$29)-1+$C$15*$K$2</f>
        <v>9.7184587598571848E-2</v>
      </c>
      <c r="F97" s="34">
        <f>($B97/$D$15)^(1/$F$29)-1+$C$15*$K$2</f>
        <v>9.3120229444897729E-2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0.24570322512426845</v>
      </c>
      <c r="D98" s="34">
        <f>($B98/$D$15)^(1/$D$29)-1+$C$15*$K$2</f>
        <v>0.17796976590424951</v>
      </c>
      <c r="E98" s="34">
        <f>($B98/$D$15)^(1/$E$29)-1+$C$15*$K$2</f>
        <v>0.15016350945154155</v>
      </c>
      <c r="F98" s="34">
        <f>($B98/$D$15)^(1/$F$29)-1+$C$15*$K$2</f>
        <v>0.12977349928398885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-0.21428584361451786</v>
      </c>
      <c r="D105" s="34">
        <f>($B105/$D$17)^(1/$D$29)-1+$C$17*$K$2</f>
        <v>-0.11487604344028379</v>
      </c>
      <c r="E105" s="34">
        <f>($B105/$D$17)^(1/$E$29)-1+$C$17*$K$2</f>
        <v>-6.8204602771281153E-2</v>
      </c>
      <c r="F105" s="34">
        <f>($B105/$D$17)^(1/$F$29)-1+$C$17*$K$2</f>
        <v>-3.1475885600833142E-2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-7.9637121017917867E-2</v>
      </c>
      <c r="D106" s="34">
        <f t="shared" ref="D106:D108" si="8">($B106/$D$17)^(1/$D$29)-1+$C$17*$K$2</f>
        <v>-2.6158950510438705E-2</v>
      </c>
      <c r="E106" s="34">
        <f t="shared" ref="E106:E108" si="9">($B106/$D$17)^(1/$E$29)-1+$C$17*$K$2</f>
        <v>-2.2335081669520029E-3</v>
      </c>
      <c r="F106" s="34">
        <f t="shared" ref="F106:F108" si="10">($B106/$D$17)^(1/$F$29)-1+$C$17*$K$2</f>
        <v>1.6120916912685135E-2</v>
      </c>
    </row>
    <row r="107" spans="1:11">
      <c r="A107" s="83" t="s">
        <v>7499</v>
      </c>
      <c r="B107" s="35">
        <f>$E$17*$K$8</f>
        <v>17.29</v>
      </c>
      <c r="C107" s="34">
        <f t="shared" si="7"/>
        <v>2.2435986813944986E-2</v>
      </c>
      <c r="D107" s="34">
        <f t="shared" si="8"/>
        <v>3.7428970398602823E-2</v>
      </c>
      <c r="E107" s="34">
        <f t="shared" si="9"/>
        <v>4.3925849264496497E-2</v>
      </c>
      <c r="F107" s="34">
        <f t="shared" si="10"/>
        <v>4.8826842707217155E-2</v>
      </c>
    </row>
    <row r="108" spans="1:11">
      <c r="B108" s="35">
        <f>$E$17*$K$10</f>
        <v>24.7</v>
      </c>
      <c r="C108" s="34">
        <f t="shared" si="7"/>
        <v>0.14389633448710726</v>
      </c>
      <c r="D108" s="34">
        <f t="shared" si="8"/>
        <v>0.10967452457667892</v>
      </c>
      <c r="E108" s="34">
        <f t="shared" si="9"/>
        <v>9.5340919679109182E-2</v>
      </c>
      <c r="F108" s="34">
        <f t="shared" si="10"/>
        <v>8.4719354141648995E-2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4.4342449999999922E-2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8671875" defaultRowHeight="13.8"/>
  <cols>
    <col min="2" max="2" width="7.44140625" bestFit="1" customWidth="1"/>
    <col min="3" max="3" width="9" bestFit="1" customWidth="1"/>
    <col min="4" max="4" width="8.44140625" customWidth="1"/>
    <col min="5" max="5" width="13" bestFit="1" customWidth="1"/>
    <col min="6" max="6" width="9" bestFit="1" customWidth="1"/>
    <col min="7" max="7" width="8.109375" bestFit="1" customWidth="1"/>
    <col min="8" max="8" width="7.44140625" bestFit="1" customWidth="1"/>
    <col min="10" max="10" width="9.109375" bestFit="1" customWidth="1"/>
    <col min="11" max="11" width="6.44140625" bestFit="1" customWidth="1"/>
    <col min="12" max="13" width="7.4414062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1.275903080125E-2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7.1544105399999988E-2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0.1212514607475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0.29240731249999996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9.2742526401250011E-2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1.0938512499999997E-2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5.24638489175E-2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0.1169700786425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0.1812084853125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9.7958998446250001E-2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1.4215769687499998E-3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2.7964785291249995E-2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8671875" defaultRowHeight="13.8"/>
  <cols>
    <col min="1" max="1" width="5.44140625" bestFit="1" customWidth="1"/>
    <col min="2" max="2" width="12.6640625" bestFit="1" customWidth="1"/>
    <col min="4" max="4" width="8.44140625" bestFit="1" customWidth="1"/>
    <col min="6" max="6" width="12.6640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8671875" defaultRowHeight="13.8"/>
  <cols>
    <col min="1" max="1" width="15.109375" bestFit="1" customWidth="1"/>
    <col min="2" max="2" width="7.44140625" bestFit="1" customWidth="1"/>
    <col min="3" max="4" width="7.10937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lishuyun</cp:lastModifiedBy>
  <dcterms:created xsi:type="dcterms:W3CDTF">2018-05-19T08:29:27Z</dcterms:created>
  <dcterms:modified xsi:type="dcterms:W3CDTF">2019-11-05T22:22:13Z</dcterms:modified>
</cp:coreProperties>
</file>