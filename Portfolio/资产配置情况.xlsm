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omments7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nance-data\Portfolio\"/>
    </mc:Choice>
  </mc:AlternateContent>
  <xr:revisionPtr revIDLastSave="0" documentId="13_ncr:1_{87A85626-64A9-4495-AD2A-00F5E915B277}" xr6:coauthVersionLast="44" xr6:coauthVersionMax="44" xr10:uidLastSave="{00000000-0000-0000-0000-000000000000}"/>
  <bookViews>
    <workbookView xWindow="4290" yWindow="4290" windowWidth="28800" windowHeight="15300" tabRatio="822" xr2:uid="{00000000-000D-0000-FFFF-FFFF00000000}"/>
  </bookViews>
  <sheets>
    <sheet name="交易明细" sheetId="1" r:id="rId1"/>
    <sheet name="且慢估值与基金净值" sheetId="20" r:id="rId2"/>
    <sheet name="资产配置情况" sheetId="11" r:id="rId3"/>
    <sheet name="涨乐财富通" sheetId="17" r:id="rId4"/>
    <sheet name="天天基金网" sheetId="18" r:id="rId5"/>
    <sheet name="持仓市值汇总" sheetId="19" r:id="rId6"/>
    <sheet name="资产配置旭日图" sheetId="16" r:id="rId7"/>
    <sheet name="空间压力测试" sheetId="10" r:id="rId8"/>
    <sheet name="时间压力测试" sheetId="7" r:id="rId9"/>
    <sheet name="指数行业占比" sheetId="8" r:id="rId10"/>
    <sheet name="聚宽行业分类" sheetId="9" r:id="rId11"/>
    <sheet name="基金成本" sheetId="12" r:id="rId12"/>
  </sheets>
  <externalReferences>
    <externalReference r:id="rId13"/>
    <externalReference r:id="rId14"/>
  </externalReferences>
  <definedNames>
    <definedName name="_xlnm._FilterDatabase" localSheetId="0" hidden="1">交易明细!$A$1:$X$140</definedName>
    <definedName name="_xlchart.v1.0" hidden="1">资产配置情况!$A$2:$D$32</definedName>
    <definedName name="_xlchart.v1.1" hidden="1">资产配置情况!$E$2:$E$33</definedName>
  </definedNames>
  <calcPr calcId="191029"/>
  <webPublishing allowPng="1" targetScreenSize="1024x768" codePage="65001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5" i="19" l="1"/>
  <c r="T4" i="1"/>
  <c r="T6" i="1"/>
  <c r="G32" i="11"/>
  <c r="G14" i="19" l="1"/>
  <c r="G3" i="19" l="1"/>
  <c r="G4" i="19"/>
  <c r="G6" i="19"/>
  <c r="G2" i="19"/>
  <c r="G5" i="19" l="1"/>
  <c r="G7" i="19" s="1"/>
  <c r="I7" i="19"/>
  <c r="H7" i="19"/>
  <c r="J3" i="19"/>
  <c r="J4" i="19"/>
  <c r="J5" i="19"/>
  <c r="J6" i="19"/>
  <c r="J2" i="19"/>
  <c r="J7" i="19" l="1"/>
  <c r="E62" i="11"/>
  <c r="R8" i="1" l="1"/>
  <c r="V4" i="1" l="1"/>
  <c r="F14" i="11" l="1"/>
  <c r="Q8" i="1"/>
  <c r="K140" i="1" l="1"/>
  <c r="J140" i="1"/>
  <c r="M137" i="1" l="1"/>
  <c r="K137" i="1" s="1"/>
  <c r="J137" i="1" l="1"/>
  <c r="M136" i="1"/>
  <c r="K136" i="1" l="1"/>
  <c r="J136" i="1"/>
  <c r="C87" i="11"/>
  <c r="C88" i="11"/>
  <c r="C89" i="11"/>
  <c r="C90" i="11"/>
  <c r="C91" i="11"/>
  <c r="C92" i="11"/>
  <c r="C93" i="11"/>
  <c r="C94" i="11"/>
  <c r="C95" i="11"/>
  <c r="C96" i="11"/>
  <c r="C84" i="11"/>
  <c r="C85" i="11"/>
  <c r="C81" i="11"/>
  <c r="C79" i="11"/>
  <c r="C71" i="11"/>
  <c r="C72" i="11"/>
  <c r="C73" i="11"/>
  <c r="C74" i="11"/>
  <c r="C75" i="11"/>
  <c r="C76" i="11"/>
  <c r="C77" i="11"/>
  <c r="C70" i="11"/>
  <c r="T5" i="1" l="1"/>
  <c r="H17" i="11" s="1"/>
  <c r="C83" i="11" s="1"/>
  <c r="F26" i="11" l="1"/>
  <c r="N121" i="1"/>
  <c r="N126" i="1"/>
  <c r="N118" i="1"/>
  <c r="N103" i="1"/>
  <c r="N72" i="1"/>
  <c r="J150" i="1"/>
  <c r="J143" i="1"/>
  <c r="J152" i="1"/>
  <c r="S8" i="1" l="1"/>
  <c r="U8" i="1" s="1"/>
  <c r="R4" i="1"/>
  <c r="K135" i="1"/>
  <c r="J135" i="1"/>
  <c r="K125" i="1" l="1"/>
  <c r="J125" i="1"/>
  <c r="K132" i="1"/>
  <c r="J132" i="1"/>
  <c r="J158" i="1"/>
  <c r="J165" i="1"/>
  <c r="K131" i="1"/>
  <c r="J131" i="1"/>
  <c r="C82" i="11" l="1"/>
  <c r="K129" i="1" l="1"/>
  <c r="J129" i="1"/>
  <c r="K127" i="1"/>
  <c r="J127" i="1"/>
  <c r="W31" i="1" l="1"/>
  <c r="I124" i="1" s="1"/>
  <c r="K124" i="1" s="1"/>
  <c r="U31" i="1"/>
  <c r="H124" i="1" s="1"/>
  <c r="J124" i="1" s="1"/>
  <c r="B81" i="11"/>
  <c r="A81" i="11"/>
  <c r="F16" i="12"/>
  <c r="F5" i="11" l="1"/>
  <c r="F3" i="11" l="1"/>
  <c r="C40" i="11" s="1"/>
  <c r="F4" i="11"/>
  <c r="F6" i="11"/>
  <c r="C41" i="11" s="1"/>
  <c r="F7" i="11"/>
  <c r="F8" i="11"/>
  <c r="F9" i="11"/>
  <c r="F10" i="11"/>
  <c r="F11" i="11"/>
  <c r="F12" i="11"/>
  <c r="F13" i="11"/>
  <c r="F15" i="11"/>
  <c r="F16" i="11"/>
  <c r="F17" i="11"/>
  <c r="F18" i="11"/>
  <c r="F19" i="11"/>
  <c r="F20" i="11"/>
  <c r="F21" i="11"/>
  <c r="F22" i="11"/>
  <c r="F23" i="11"/>
  <c r="F24" i="11"/>
  <c r="F25" i="11"/>
  <c r="F27" i="11"/>
  <c r="F28" i="11"/>
  <c r="F29" i="11"/>
  <c r="F30" i="11"/>
  <c r="C48" i="11" l="1"/>
  <c r="C46" i="11"/>
  <c r="C43" i="11"/>
  <c r="C58" i="11"/>
  <c r="X34" i="1"/>
  <c r="X35" i="1"/>
  <c r="X33" i="1"/>
  <c r="W23" i="1"/>
  <c r="I100" i="1" s="1"/>
  <c r="W20" i="1"/>
  <c r="I109" i="1" s="1"/>
  <c r="W18" i="1"/>
  <c r="I119" i="1" s="1"/>
  <c r="U23" i="1"/>
  <c r="H100" i="1" s="1"/>
  <c r="U20" i="1"/>
  <c r="H109" i="1" s="1"/>
  <c r="U18" i="1"/>
  <c r="H119" i="1" s="1"/>
  <c r="I98" i="1" l="1"/>
  <c r="I106" i="1"/>
  <c r="I86" i="1"/>
  <c r="H86" i="1"/>
  <c r="H98" i="1"/>
  <c r="H97" i="1"/>
  <c r="H107" i="1"/>
  <c r="H106" i="1"/>
  <c r="I97" i="1"/>
  <c r="I107" i="1"/>
  <c r="B61" i="11"/>
  <c r="B62" i="11"/>
  <c r="F33" i="11"/>
  <c r="K123" i="1"/>
  <c r="J123" i="1"/>
  <c r="C62" i="11" l="1"/>
  <c r="AB32" i="10"/>
  <c r="K71" i="10" s="1"/>
  <c r="AA32" i="10"/>
  <c r="Y32" i="10"/>
  <c r="X32" i="10"/>
  <c r="V32" i="10"/>
  <c r="U32" i="10"/>
  <c r="S32" i="10"/>
  <c r="R32" i="10"/>
  <c r="P32" i="10"/>
  <c r="O32" i="10"/>
  <c r="M32" i="10"/>
  <c r="L32" i="10"/>
  <c r="J32" i="10"/>
  <c r="I32" i="10"/>
  <c r="G32" i="10"/>
  <c r="F32" i="10"/>
  <c r="D32" i="10"/>
  <c r="C32" i="10"/>
  <c r="C3" i="10"/>
  <c r="D3" i="10"/>
  <c r="E3" i="10"/>
  <c r="F3" i="10"/>
  <c r="G3" i="10"/>
  <c r="H3" i="10"/>
  <c r="I3" i="10"/>
  <c r="J3" i="10"/>
  <c r="K3" i="10"/>
  <c r="L3" i="10"/>
  <c r="C4" i="10"/>
  <c r="D4" i="10"/>
  <c r="E4" i="10"/>
  <c r="F4" i="10"/>
  <c r="G4" i="10"/>
  <c r="H4" i="10"/>
  <c r="I4" i="10"/>
  <c r="J4" i="10"/>
  <c r="K4" i="10"/>
  <c r="L4" i="10"/>
  <c r="C5" i="10"/>
  <c r="D5" i="10"/>
  <c r="E5" i="10"/>
  <c r="F5" i="10"/>
  <c r="G5" i="10"/>
  <c r="H5" i="10"/>
  <c r="I5" i="10"/>
  <c r="J5" i="10"/>
  <c r="K5" i="10"/>
  <c r="L5" i="10"/>
  <c r="C6" i="10"/>
  <c r="D6" i="10"/>
  <c r="E6" i="10"/>
  <c r="F6" i="10"/>
  <c r="G6" i="10"/>
  <c r="H6" i="10"/>
  <c r="I6" i="10"/>
  <c r="J6" i="10"/>
  <c r="K6" i="10"/>
  <c r="L6" i="10"/>
  <c r="C7" i="10"/>
  <c r="D7" i="10"/>
  <c r="E7" i="10"/>
  <c r="F7" i="10"/>
  <c r="G7" i="10"/>
  <c r="H7" i="10"/>
  <c r="I7" i="10"/>
  <c r="J7" i="10"/>
  <c r="K7" i="10"/>
  <c r="L7" i="10"/>
  <c r="C8" i="10"/>
  <c r="D8" i="10"/>
  <c r="E8" i="10"/>
  <c r="F8" i="10"/>
  <c r="G8" i="10"/>
  <c r="H8" i="10"/>
  <c r="I8" i="10"/>
  <c r="J8" i="10"/>
  <c r="K8" i="10"/>
  <c r="L8" i="10"/>
  <c r="C9" i="10"/>
  <c r="D9" i="10"/>
  <c r="E9" i="10"/>
  <c r="F9" i="10"/>
  <c r="G9" i="10"/>
  <c r="H9" i="10"/>
  <c r="I9" i="10"/>
  <c r="J9" i="10"/>
  <c r="K9" i="10"/>
  <c r="L9" i="10"/>
  <c r="C10" i="10"/>
  <c r="D10" i="10"/>
  <c r="E10" i="10"/>
  <c r="F10" i="10"/>
  <c r="G10" i="10"/>
  <c r="H10" i="10"/>
  <c r="I10" i="10"/>
  <c r="J10" i="10"/>
  <c r="K10" i="10"/>
  <c r="L10" i="10"/>
  <c r="C11" i="10"/>
  <c r="D11" i="10"/>
  <c r="E11" i="10"/>
  <c r="F11" i="10"/>
  <c r="G11" i="10"/>
  <c r="H11" i="10"/>
  <c r="I11" i="10"/>
  <c r="J11" i="10"/>
  <c r="K11" i="10"/>
  <c r="L11" i="10"/>
  <c r="C12" i="10"/>
  <c r="D12" i="10"/>
  <c r="E12" i="10"/>
  <c r="F12" i="10"/>
  <c r="G12" i="10"/>
  <c r="H12" i="10"/>
  <c r="I12" i="10"/>
  <c r="J12" i="10"/>
  <c r="K12" i="10"/>
  <c r="L12" i="10"/>
  <c r="C13" i="10"/>
  <c r="C14" i="10"/>
  <c r="D14" i="10"/>
  <c r="E14" i="10"/>
  <c r="F14" i="10"/>
  <c r="G14" i="10"/>
  <c r="H14" i="10"/>
  <c r="I14" i="10"/>
  <c r="J14" i="10"/>
  <c r="K14" i="10"/>
  <c r="L14" i="10"/>
  <c r="C15" i="10"/>
  <c r="D15" i="10"/>
  <c r="E15" i="10"/>
  <c r="F15" i="10"/>
  <c r="G15" i="10"/>
  <c r="H15" i="10"/>
  <c r="I15" i="10"/>
  <c r="J15" i="10"/>
  <c r="K15" i="10"/>
  <c r="L15" i="10"/>
  <c r="A37" i="10"/>
  <c r="A62" i="10" s="1"/>
  <c r="A38" i="10"/>
  <c r="A63" i="10" s="1"/>
  <c r="A39" i="10"/>
  <c r="A64" i="10" s="1"/>
  <c r="A40" i="10"/>
  <c r="A65" i="10" s="1"/>
  <c r="A41" i="10"/>
  <c r="A66" i="10" s="1"/>
  <c r="A42" i="10"/>
  <c r="A67" i="10" s="1"/>
  <c r="A43" i="10"/>
  <c r="A68" i="10" s="1"/>
  <c r="A44" i="10"/>
  <c r="A69" i="10" s="1"/>
  <c r="A45" i="10"/>
  <c r="A70" i="10" s="1"/>
  <c r="A46" i="10"/>
  <c r="A71" i="10" s="1"/>
  <c r="A47" i="10"/>
  <c r="A72" i="10" s="1"/>
  <c r="A48" i="10"/>
  <c r="A73" i="10" s="1"/>
  <c r="A49" i="10"/>
  <c r="A74" i="10" s="1"/>
  <c r="A50" i="10"/>
  <c r="A75" i="10" s="1"/>
  <c r="A51" i="10"/>
  <c r="A76" i="10" s="1"/>
  <c r="A52" i="10"/>
  <c r="A77" i="10" s="1"/>
  <c r="A53" i="10"/>
  <c r="A78" i="10" s="1"/>
  <c r="A54" i="10"/>
  <c r="A79" i="10" s="1"/>
  <c r="A55" i="10"/>
  <c r="A80" i="10" s="1"/>
  <c r="A56" i="10"/>
  <c r="A81" i="10" s="1"/>
  <c r="A36" i="10"/>
  <c r="A61" i="10" s="1"/>
  <c r="D30" i="10"/>
  <c r="C37" i="10" s="1"/>
  <c r="L2" i="10"/>
  <c r="K2" i="10"/>
  <c r="J2" i="10"/>
  <c r="I2" i="10"/>
  <c r="H2" i="10"/>
  <c r="G2" i="10"/>
  <c r="F2" i="10"/>
  <c r="E2" i="10"/>
  <c r="D2" i="10"/>
  <c r="C2" i="10"/>
  <c r="B106" i="7"/>
  <c r="U34" i="1"/>
  <c r="H113" i="1" s="1"/>
  <c r="J113" i="1" s="1"/>
  <c r="C17" i="7"/>
  <c r="B107" i="7"/>
  <c r="B108" i="7"/>
  <c r="B105" i="7"/>
  <c r="C2" i="7"/>
  <c r="C13" i="7" s="1"/>
  <c r="C3" i="7"/>
  <c r="C4" i="7"/>
  <c r="C5" i="7"/>
  <c r="C6" i="7"/>
  <c r="C7" i="7"/>
  <c r="C8" i="7"/>
  <c r="C9" i="7"/>
  <c r="C10" i="7"/>
  <c r="C11" i="7"/>
  <c r="C12" i="7"/>
  <c r="AA19" i="1"/>
  <c r="B4" i="7" s="1"/>
  <c r="A41" i="7" s="1"/>
  <c r="AA21" i="1"/>
  <c r="B5" i="7" s="1"/>
  <c r="A46" i="7" s="1"/>
  <c r="AA22" i="1"/>
  <c r="AA15" i="1"/>
  <c r="B7" i="7" s="1"/>
  <c r="D25" i="7" s="1"/>
  <c r="D27" i="7" s="1"/>
  <c r="AA26" i="1"/>
  <c r="AA24" i="1"/>
  <c r="B9" i="7" s="1"/>
  <c r="A66" i="7" s="1"/>
  <c r="AA30" i="1"/>
  <c r="B10" i="7" s="1"/>
  <c r="A71" i="7" s="1"/>
  <c r="AA28" i="1"/>
  <c r="B11" i="7" s="1"/>
  <c r="A76" i="7" s="1"/>
  <c r="AA32" i="1"/>
  <c r="B12" i="7" s="1"/>
  <c r="A81" i="7" s="1"/>
  <c r="AA33" i="1"/>
  <c r="AA27" i="1"/>
  <c r="B14" i="7" s="1"/>
  <c r="A91" i="7" s="1"/>
  <c r="AA35" i="1"/>
  <c r="B15" i="7" s="1"/>
  <c r="A96" i="7" s="1"/>
  <c r="AA36" i="1"/>
  <c r="B16" i="7" s="1"/>
  <c r="A101" i="7" s="1"/>
  <c r="AA34" i="1"/>
  <c r="B17" i="7" s="1"/>
  <c r="A106" i="7" s="1"/>
  <c r="AA39" i="1"/>
  <c r="B19" i="7" s="1"/>
  <c r="G25" i="7" s="1"/>
  <c r="G27" i="7" s="1"/>
  <c r="AA42" i="1"/>
  <c r="B18" i="7" s="1"/>
  <c r="A111" i="7" s="1"/>
  <c r="AA38" i="1"/>
  <c r="B20" i="7" s="1"/>
  <c r="AA16" i="1"/>
  <c r="B3" i="8" s="1"/>
  <c r="AA17" i="1"/>
  <c r="B3" i="7" s="1"/>
  <c r="A36" i="7" s="1"/>
  <c r="U16" i="1"/>
  <c r="H60" i="1" s="1"/>
  <c r="J60" i="1" s="1"/>
  <c r="Y16" i="1" s="1"/>
  <c r="D2" i="7" s="1"/>
  <c r="B30" i="7"/>
  <c r="U17" i="1"/>
  <c r="H128" i="1" s="1"/>
  <c r="J128" i="1" s="1"/>
  <c r="U25" i="1"/>
  <c r="H95" i="1" s="1"/>
  <c r="J95" i="1" s="1"/>
  <c r="U15" i="1"/>
  <c r="H24" i="1" s="1"/>
  <c r="J24" i="1" s="1"/>
  <c r="U26" i="1"/>
  <c r="H5" i="1" s="1"/>
  <c r="J5" i="1" s="1"/>
  <c r="J6" i="1"/>
  <c r="J9" i="1"/>
  <c r="U24" i="1"/>
  <c r="H11" i="1" s="1"/>
  <c r="J11" i="1" s="1"/>
  <c r="U19" i="1"/>
  <c r="H139" i="1" s="1"/>
  <c r="J139" i="1" s="1"/>
  <c r="J17" i="1"/>
  <c r="J19" i="1"/>
  <c r="U29" i="1"/>
  <c r="H21" i="1" s="1"/>
  <c r="J21" i="1" s="1"/>
  <c r="U30" i="1"/>
  <c r="H62" i="1" s="1"/>
  <c r="J62" i="1" s="1"/>
  <c r="U21" i="1"/>
  <c r="H138" i="1" s="1"/>
  <c r="J138" i="1" s="1"/>
  <c r="J33" i="1"/>
  <c r="U28" i="1"/>
  <c r="H35" i="1" s="1"/>
  <c r="J35" i="1" s="1"/>
  <c r="J36" i="1"/>
  <c r="J39" i="1"/>
  <c r="U27" i="1"/>
  <c r="H40" i="1" s="1"/>
  <c r="J40" i="1" s="1"/>
  <c r="J43" i="1"/>
  <c r="U33" i="1"/>
  <c r="H55" i="1" s="1"/>
  <c r="J55" i="1" s="1"/>
  <c r="J50" i="1"/>
  <c r="U22" i="1"/>
  <c r="H90" i="1" s="1"/>
  <c r="J90" i="1" s="1"/>
  <c r="J59" i="1"/>
  <c r="J63" i="1"/>
  <c r="J70" i="1"/>
  <c r="J72" i="1"/>
  <c r="J73" i="1"/>
  <c r="J80" i="1"/>
  <c r="J83" i="1"/>
  <c r="J87" i="1"/>
  <c r="U32" i="1"/>
  <c r="J100" i="1"/>
  <c r="J101" i="1"/>
  <c r="J103" i="1"/>
  <c r="J106" i="1"/>
  <c r="J108" i="1"/>
  <c r="J109" i="1"/>
  <c r="U35" i="1"/>
  <c r="H110" i="1" s="1"/>
  <c r="J110" i="1" s="1"/>
  <c r="Y35" i="1" s="1"/>
  <c r="D15" i="7" s="1"/>
  <c r="F15" i="7" s="1"/>
  <c r="J111" i="1"/>
  <c r="J112" i="1"/>
  <c r="J114" i="1"/>
  <c r="J117" i="1"/>
  <c r="J118" i="1"/>
  <c r="J120" i="1"/>
  <c r="J167" i="1"/>
  <c r="J168" i="1"/>
  <c r="J170" i="1"/>
  <c r="J171" i="1"/>
  <c r="U4" i="1"/>
  <c r="U5" i="1"/>
  <c r="J173" i="1"/>
  <c r="J174" i="1"/>
  <c r="J175" i="1"/>
  <c r="J177" i="1"/>
  <c r="J178" i="1"/>
  <c r="B35" i="7"/>
  <c r="B40" i="7"/>
  <c r="B45" i="7"/>
  <c r="B50" i="7"/>
  <c r="B55" i="7"/>
  <c r="B60" i="7"/>
  <c r="B65" i="7"/>
  <c r="B70" i="7"/>
  <c r="B75" i="7"/>
  <c r="B80" i="7"/>
  <c r="W33" i="1"/>
  <c r="I55" i="1" s="1"/>
  <c r="K55" i="1" s="1"/>
  <c r="B85" i="7"/>
  <c r="W27" i="1"/>
  <c r="I51" i="1" s="1"/>
  <c r="K51" i="1" s="1"/>
  <c r="B90" i="7"/>
  <c r="B95" i="7"/>
  <c r="C100" i="7"/>
  <c r="C110" i="7"/>
  <c r="C115" i="7"/>
  <c r="C120" i="7"/>
  <c r="C125" i="7"/>
  <c r="B32" i="7"/>
  <c r="I30" i="7"/>
  <c r="I31" i="7"/>
  <c r="I32" i="7"/>
  <c r="I33" i="7"/>
  <c r="K29" i="7"/>
  <c r="L29" i="7"/>
  <c r="M29" i="7"/>
  <c r="J29" i="7"/>
  <c r="B33" i="7"/>
  <c r="B38" i="7"/>
  <c r="B43" i="7"/>
  <c r="B48" i="7"/>
  <c r="B53" i="7"/>
  <c r="B58" i="7"/>
  <c r="B63" i="7"/>
  <c r="B68" i="7"/>
  <c r="B73" i="7"/>
  <c r="B78" i="7"/>
  <c r="B83" i="7"/>
  <c r="B88" i="7"/>
  <c r="B93" i="7"/>
  <c r="B98" i="7"/>
  <c r="F103" i="7"/>
  <c r="F113" i="7"/>
  <c r="F118" i="7"/>
  <c r="F123" i="7"/>
  <c r="F128" i="7"/>
  <c r="B37" i="7"/>
  <c r="B42" i="7"/>
  <c r="B47" i="7"/>
  <c r="B52" i="7"/>
  <c r="B57" i="7"/>
  <c r="B62" i="7"/>
  <c r="B67" i="7"/>
  <c r="B72" i="7"/>
  <c r="B77" i="7"/>
  <c r="B82" i="7"/>
  <c r="B87" i="7"/>
  <c r="B92" i="7"/>
  <c r="B97" i="7"/>
  <c r="F102" i="7"/>
  <c r="F112" i="7"/>
  <c r="F117" i="7"/>
  <c r="F122" i="7"/>
  <c r="F127" i="7"/>
  <c r="B31" i="7"/>
  <c r="B36" i="7"/>
  <c r="B41" i="7"/>
  <c r="B46" i="7"/>
  <c r="B51" i="7"/>
  <c r="B56" i="7"/>
  <c r="B61" i="7"/>
  <c r="B66" i="7"/>
  <c r="B71" i="7"/>
  <c r="B76" i="7"/>
  <c r="B81" i="7"/>
  <c r="B86" i="7"/>
  <c r="B91" i="7"/>
  <c r="B96" i="7"/>
  <c r="F101" i="7"/>
  <c r="F111" i="7"/>
  <c r="F116" i="7"/>
  <c r="F121" i="7"/>
  <c r="F126" i="7"/>
  <c r="F100" i="7"/>
  <c r="F110" i="7"/>
  <c r="F115" i="7"/>
  <c r="F120" i="7"/>
  <c r="F125" i="7"/>
  <c r="E103" i="7"/>
  <c r="E113" i="7"/>
  <c r="E118" i="7"/>
  <c r="E123" i="7"/>
  <c r="E128" i="7"/>
  <c r="E102" i="7"/>
  <c r="E112" i="7"/>
  <c r="E117" i="7"/>
  <c r="E122" i="7"/>
  <c r="E127" i="7"/>
  <c r="E101" i="7"/>
  <c r="E111" i="7"/>
  <c r="E116" i="7"/>
  <c r="E121" i="7"/>
  <c r="E126" i="7"/>
  <c r="E100" i="7"/>
  <c r="E110" i="7"/>
  <c r="E115" i="7"/>
  <c r="E120" i="7"/>
  <c r="E125" i="7"/>
  <c r="D103" i="7"/>
  <c r="D113" i="7"/>
  <c r="D118" i="7"/>
  <c r="D123" i="7"/>
  <c r="D128" i="7"/>
  <c r="D102" i="7"/>
  <c r="D112" i="7"/>
  <c r="D117" i="7"/>
  <c r="D122" i="7"/>
  <c r="D127" i="7"/>
  <c r="D101" i="7"/>
  <c r="D111" i="7"/>
  <c r="D116" i="7"/>
  <c r="D121" i="7"/>
  <c r="D126" i="7"/>
  <c r="D100" i="7"/>
  <c r="D110" i="7"/>
  <c r="D115" i="7"/>
  <c r="D120" i="7"/>
  <c r="D125" i="7"/>
  <c r="C103" i="7"/>
  <c r="C113" i="7"/>
  <c r="C118" i="7"/>
  <c r="C123" i="7"/>
  <c r="C128" i="7"/>
  <c r="C102" i="7"/>
  <c r="C112" i="7"/>
  <c r="C117" i="7"/>
  <c r="C122" i="7"/>
  <c r="C127" i="7"/>
  <c r="C101" i="7"/>
  <c r="C111" i="7"/>
  <c r="C116" i="7"/>
  <c r="C121" i="7"/>
  <c r="C126" i="7"/>
  <c r="W34" i="1"/>
  <c r="I122" i="1" s="1"/>
  <c r="K122" i="1" s="1"/>
  <c r="W35" i="1"/>
  <c r="I110" i="1" s="1"/>
  <c r="K110" i="1" s="1"/>
  <c r="Z35" i="1" s="1"/>
  <c r="W32" i="1"/>
  <c r="W15" i="1"/>
  <c r="I71" i="1" s="1"/>
  <c r="K71" i="1" s="1"/>
  <c r="W25" i="1"/>
  <c r="I75" i="1" s="1"/>
  <c r="K75" i="1" s="1"/>
  <c r="W26" i="1"/>
  <c r="I5" i="1" s="1"/>
  <c r="K5" i="1" s="1"/>
  <c r="K6" i="1"/>
  <c r="K9" i="1"/>
  <c r="W24" i="1"/>
  <c r="I11" i="1" s="1"/>
  <c r="K11" i="1" s="1"/>
  <c r="W19" i="1"/>
  <c r="I139" i="1" s="1"/>
  <c r="K139" i="1" s="1"/>
  <c r="K17" i="1"/>
  <c r="K19" i="1"/>
  <c r="W29" i="1"/>
  <c r="I21" i="1" s="1"/>
  <c r="K21" i="1" s="1"/>
  <c r="W30" i="1"/>
  <c r="I62" i="1" s="1"/>
  <c r="K62" i="1" s="1"/>
  <c r="W21" i="1"/>
  <c r="I138" i="1" s="1"/>
  <c r="K138" i="1" s="1"/>
  <c r="K33" i="1"/>
  <c r="W28" i="1"/>
  <c r="I54" i="1" s="1"/>
  <c r="K54" i="1" s="1"/>
  <c r="K36" i="1"/>
  <c r="K39" i="1"/>
  <c r="K43" i="1"/>
  <c r="W17" i="1"/>
  <c r="I128" i="1" s="1"/>
  <c r="K128" i="1" s="1"/>
  <c r="K50" i="1"/>
  <c r="W22" i="1"/>
  <c r="K59" i="1"/>
  <c r="W16" i="1"/>
  <c r="I60" i="1" s="1"/>
  <c r="K60" i="1" s="1"/>
  <c r="Z16" i="1" s="1"/>
  <c r="K63" i="1"/>
  <c r="K70" i="1"/>
  <c r="K72" i="1"/>
  <c r="K73" i="1"/>
  <c r="K80" i="1"/>
  <c r="K83" i="1"/>
  <c r="K87" i="1"/>
  <c r="K106" i="1"/>
  <c r="K98" i="1"/>
  <c r="K100" i="1"/>
  <c r="K101" i="1"/>
  <c r="K103" i="1"/>
  <c r="K108" i="1"/>
  <c r="K109" i="1"/>
  <c r="K111" i="1"/>
  <c r="K112" i="1"/>
  <c r="K114" i="1"/>
  <c r="K117" i="1"/>
  <c r="K118" i="1"/>
  <c r="K120" i="1"/>
  <c r="C86" i="11"/>
  <c r="C68" i="11"/>
  <c r="C69" i="11"/>
  <c r="C78" i="11"/>
  <c r="C80" i="11"/>
  <c r="A68" i="11"/>
  <c r="B68" i="11"/>
  <c r="A69" i="11"/>
  <c r="B69" i="11"/>
  <c r="A70" i="11"/>
  <c r="B70" i="11"/>
  <c r="A71" i="11"/>
  <c r="B71" i="11"/>
  <c r="A72" i="11"/>
  <c r="B72" i="11"/>
  <c r="A73" i="11"/>
  <c r="B73" i="11"/>
  <c r="A74" i="11"/>
  <c r="B74" i="11"/>
  <c r="A75" i="11"/>
  <c r="B75" i="11"/>
  <c r="A76" i="11"/>
  <c r="B76" i="11"/>
  <c r="A77" i="11"/>
  <c r="B77" i="11"/>
  <c r="A78" i="11"/>
  <c r="B78" i="11"/>
  <c r="A79" i="11"/>
  <c r="B79" i="11"/>
  <c r="A80" i="11"/>
  <c r="B80" i="11"/>
  <c r="A82" i="11"/>
  <c r="B82" i="11"/>
  <c r="A83" i="11"/>
  <c r="B83" i="11"/>
  <c r="A84" i="11"/>
  <c r="B84" i="11"/>
  <c r="A85" i="11"/>
  <c r="B85" i="11"/>
  <c r="A86" i="11"/>
  <c r="B86" i="11"/>
  <c r="A87" i="11"/>
  <c r="B87" i="11"/>
  <c r="A88" i="11"/>
  <c r="B88" i="11"/>
  <c r="A89" i="11"/>
  <c r="B89" i="11"/>
  <c r="A90" i="11"/>
  <c r="B90" i="11"/>
  <c r="A91" i="11"/>
  <c r="B91" i="11"/>
  <c r="A92" i="11"/>
  <c r="B92" i="11"/>
  <c r="A93" i="11"/>
  <c r="B93" i="11"/>
  <c r="A94" i="11"/>
  <c r="B94" i="11"/>
  <c r="A95" i="11"/>
  <c r="B95" i="11"/>
  <c r="B67" i="11"/>
  <c r="A67" i="11"/>
  <c r="F11" i="12"/>
  <c r="F27" i="12"/>
  <c r="F28" i="12"/>
  <c r="F29" i="12"/>
  <c r="F30" i="12"/>
  <c r="F26" i="12"/>
  <c r="F19" i="12"/>
  <c r="F20" i="12"/>
  <c r="F21" i="12"/>
  <c r="F22" i="12"/>
  <c r="F23" i="12"/>
  <c r="F24" i="12"/>
  <c r="F25" i="12"/>
  <c r="F18" i="12"/>
  <c r="F17" i="12"/>
  <c r="F15" i="12"/>
  <c r="F14" i="12"/>
  <c r="F13" i="12"/>
  <c r="F12" i="12"/>
  <c r="F10" i="12"/>
  <c r="F9" i="12"/>
  <c r="F6" i="12"/>
  <c r="F4" i="12"/>
  <c r="F8" i="12"/>
  <c r="F3" i="12"/>
  <c r="F5" i="12"/>
  <c r="F7" i="12"/>
  <c r="F2" i="12"/>
  <c r="F32" i="11"/>
  <c r="C61" i="11" s="1"/>
  <c r="E61" i="11" s="1"/>
  <c r="C57" i="11"/>
  <c r="F2" i="11"/>
  <c r="C39" i="11" s="1"/>
  <c r="C42" i="11"/>
  <c r="C44" i="11"/>
  <c r="C45" i="11"/>
  <c r="C47" i="11"/>
  <c r="C49" i="11"/>
  <c r="C50" i="11"/>
  <c r="C51" i="11"/>
  <c r="C52" i="11"/>
  <c r="C53" i="11"/>
  <c r="C54" i="11"/>
  <c r="C55" i="11"/>
  <c r="C56" i="11"/>
  <c r="C59" i="11"/>
  <c r="A63" i="11"/>
  <c r="K2" i="11"/>
  <c r="AA37" i="1"/>
  <c r="AA43" i="1"/>
  <c r="AA44" i="1"/>
  <c r="G30" i="10"/>
  <c r="D37" i="10" s="1"/>
  <c r="J30" i="10"/>
  <c r="E38" i="10" s="1"/>
  <c r="M30" i="10"/>
  <c r="F39" i="10" s="1"/>
  <c r="P30" i="10"/>
  <c r="G39" i="10" s="1"/>
  <c r="S30" i="10"/>
  <c r="H36" i="10" s="1"/>
  <c r="V30" i="10"/>
  <c r="I37" i="10" s="1"/>
  <c r="Y30" i="10"/>
  <c r="J37" i="10" s="1"/>
  <c r="AB30" i="10"/>
  <c r="L39" i="10" s="1"/>
  <c r="D35" i="10"/>
  <c r="D60" i="10" s="1"/>
  <c r="E35" i="10"/>
  <c r="E60" i="10" s="1"/>
  <c r="F35" i="10"/>
  <c r="F60" i="10" s="1"/>
  <c r="G35" i="10"/>
  <c r="G60" i="10" s="1"/>
  <c r="H35" i="10"/>
  <c r="H60" i="10" s="1"/>
  <c r="I35" i="10"/>
  <c r="I60" i="10" s="1"/>
  <c r="J35" i="10"/>
  <c r="J60" i="10" s="1"/>
  <c r="K35" i="10"/>
  <c r="K60" i="10" s="1"/>
  <c r="L35" i="10"/>
  <c r="L60" i="10" s="1"/>
  <c r="C35" i="10"/>
  <c r="C60" i="10" s="1"/>
  <c r="I30" i="10"/>
  <c r="L30" i="10"/>
  <c r="O30" i="10"/>
  <c r="R30" i="10"/>
  <c r="U30" i="10"/>
  <c r="X30" i="10"/>
  <c r="AA30" i="10"/>
  <c r="F30" i="10"/>
  <c r="C30" i="10"/>
  <c r="I3" i="9"/>
  <c r="I4" i="9"/>
  <c r="I5" i="9"/>
  <c r="I6" i="9"/>
  <c r="I7" i="9"/>
  <c r="I8" i="9"/>
  <c r="I9" i="9"/>
  <c r="I10" i="9"/>
  <c r="I11" i="9"/>
  <c r="I12" i="9"/>
  <c r="I2" i="9"/>
  <c r="O36" i="1"/>
  <c r="O3" i="1"/>
  <c r="H134" i="1" l="1"/>
  <c r="J134" i="1" s="1"/>
  <c r="H133" i="1"/>
  <c r="J133" i="1" s="1"/>
  <c r="F66" i="10"/>
  <c r="G67" i="10"/>
  <c r="H68" i="10"/>
  <c r="C63" i="10"/>
  <c r="I69" i="10"/>
  <c r="D64" i="10"/>
  <c r="J70" i="10"/>
  <c r="E65" i="10"/>
  <c r="I32" i="1"/>
  <c r="K32" i="1" s="1"/>
  <c r="I134" i="1"/>
  <c r="K134" i="1" s="1"/>
  <c r="I12" i="1"/>
  <c r="K12" i="1" s="1"/>
  <c r="I133" i="1"/>
  <c r="K133" i="1" s="1"/>
  <c r="I99" i="1"/>
  <c r="K99" i="1" s="1"/>
  <c r="Z32" i="1" s="1"/>
  <c r="I126" i="1"/>
  <c r="K126" i="1" s="1"/>
  <c r="H99" i="1"/>
  <c r="J99" i="1" s="1"/>
  <c r="Y32" i="1" s="1"/>
  <c r="D12" i="7" s="1"/>
  <c r="H126" i="1"/>
  <c r="J126" i="1" s="1"/>
  <c r="J46" i="10"/>
  <c r="J48" i="10"/>
  <c r="D48" i="10"/>
  <c r="G44" i="10"/>
  <c r="J42" i="10"/>
  <c r="D42" i="10"/>
  <c r="G40" i="10"/>
  <c r="J38" i="10"/>
  <c r="D38" i="10"/>
  <c r="G36" i="10"/>
  <c r="L73" i="10"/>
  <c r="K72" i="10"/>
  <c r="J71" i="10"/>
  <c r="I70" i="10"/>
  <c r="H69" i="10"/>
  <c r="G68" i="10"/>
  <c r="F67" i="10"/>
  <c r="E66" i="10"/>
  <c r="D65" i="10"/>
  <c r="C64" i="10"/>
  <c r="I46" i="10"/>
  <c r="H47" i="10"/>
  <c r="H45" i="10"/>
  <c r="K43" i="10"/>
  <c r="E43" i="10"/>
  <c r="H41" i="10"/>
  <c r="K39" i="10"/>
  <c r="E39" i="10"/>
  <c r="H37" i="10"/>
  <c r="C61" i="10"/>
  <c r="K73" i="10"/>
  <c r="J72" i="10"/>
  <c r="I71" i="10"/>
  <c r="H70" i="10"/>
  <c r="G69" i="10"/>
  <c r="F68" i="10"/>
  <c r="E67" i="10"/>
  <c r="D66" i="10"/>
  <c r="C65" i="10"/>
  <c r="L62" i="10"/>
  <c r="H46" i="10"/>
  <c r="I48" i="10"/>
  <c r="C48" i="10"/>
  <c r="C46" i="10"/>
  <c r="L44" i="10"/>
  <c r="F44" i="10"/>
  <c r="I42" i="10"/>
  <c r="C42" i="10"/>
  <c r="L40" i="10"/>
  <c r="F40" i="10"/>
  <c r="I38" i="10"/>
  <c r="C38" i="10"/>
  <c r="L36" i="10"/>
  <c r="F36" i="10"/>
  <c r="D61" i="10"/>
  <c r="J73" i="10"/>
  <c r="I72" i="10"/>
  <c r="H71" i="10"/>
  <c r="G70" i="10"/>
  <c r="F69" i="10"/>
  <c r="E68" i="10"/>
  <c r="D67" i="10"/>
  <c r="C66" i="10"/>
  <c r="L63" i="10"/>
  <c r="K62" i="10"/>
  <c r="G46" i="10"/>
  <c r="G47" i="10"/>
  <c r="G45" i="10"/>
  <c r="J43" i="10"/>
  <c r="D43" i="10"/>
  <c r="G41" i="10"/>
  <c r="J39" i="10"/>
  <c r="D39" i="10"/>
  <c r="G37" i="10"/>
  <c r="E61" i="10"/>
  <c r="I73" i="10"/>
  <c r="H72" i="10"/>
  <c r="G71" i="10"/>
  <c r="F70" i="10"/>
  <c r="E69" i="10"/>
  <c r="D68" i="10"/>
  <c r="C67" i="10"/>
  <c r="L64" i="10"/>
  <c r="K63" i="10"/>
  <c r="J62" i="10"/>
  <c r="F46" i="10"/>
  <c r="H48" i="10"/>
  <c r="K44" i="10"/>
  <c r="E44" i="10"/>
  <c r="H42" i="10"/>
  <c r="K40" i="10"/>
  <c r="E40" i="10"/>
  <c r="H38" i="10"/>
  <c r="K36" i="10"/>
  <c r="E36" i="10"/>
  <c r="F61" i="10"/>
  <c r="H73" i="10"/>
  <c r="G72" i="10"/>
  <c r="F71" i="10"/>
  <c r="E70" i="10"/>
  <c r="D69" i="10"/>
  <c r="C68" i="10"/>
  <c r="L65" i="10"/>
  <c r="K64" i="10"/>
  <c r="J63" i="10"/>
  <c r="I62" i="10"/>
  <c r="E46" i="10"/>
  <c r="L47" i="10"/>
  <c r="F47" i="10"/>
  <c r="L45" i="10"/>
  <c r="F45" i="10"/>
  <c r="I43" i="10"/>
  <c r="C43" i="10"/>
  <c r="L41" i="10"/>
  <c r="F41" i="10"/>
  <c r="I39" i="10"/>
  <c r="C39" i="10"/>
  <c r="L37" i="10"/>
  <c r="F37" i="10"/>
  <c r="G61" i="10"/>
  <c r="G73" i="10"/>
  <c r="F72" i="10"/>
  <c r="E71" i="10"/>
  <c r="D70" i="10"/>
  <c r="C69" i="10"/>
  <c r="L66" i="10"/>
  <c r="K65" i="10"/>
  <c r="J64" i="10"/>
  <c r="I63" i="10"/>
  <c r="H62" i="10"/>
  <c r="D46" i="10"/>
  <c r="G48" i="10"/>
  <c r="J44" i="10"/>
  <c r="D44" i="10"/>
  <c r="G42" i="10"/>
  <c r="J40" i="10"/>
  <c r="D40" i="10"/>
  <c r="G38" i="10"/>
  <c r="J36" i="10"/>
  <c r="D36" i="10"/>
  <c r="H61" i="10"/>
  <c r="F73" i="10"/>
  <c r="E72" i="10"/>
  <c r="D71" i="10"/>
  <c r="C70" i="10"/>
  <c r="L67" i="10"/>
  <c r="K66" i="10"/>
  <c r="J65" i="10"/>
  <c r="I64" i="10"/>
  <c r="H63" i="10"/>
  <c r="G62" i="10"/>
  <c r="K47" i="10"/>
  <c r="E47" i="10"/>
  <c r="K45" i="10"/>
  <c r="E45" i="10"/>
  <c r="H43" i="10"/>
  <c r="K41" i="10"/>
  <c r="E41" i="10"/>
  <c r="H39" i="10"/>
  <c r="K37" i="10"/>
  <c r="E37" i="10"/>
  <c r="I61" i="10"/>
  <c r="E73" i="10"/>
  <c r="D72" i="10"/>
  <c r="C71" i="10"/>
  <c r="L68" i="10"/>
  <c r="K67" i="10"/>
  <c r="J66" i="10"/>
  <c r="I65" i="10"/>
  <c r="H64" i="10"/>
  <c r="G63" i="10"/>
  <c r="F62" i="10"/>
  <c r="L48" i="10"/>
  <c r="F48" i="10"/>
  <c r="I44" i="10"/>
  <c r="C44" i="10"/>
  <c r="L42" i="10"/>
  <c r="F42" i="10"/>
  <c r="I40" i="10"/>
  <c r="C40" i="10"/>
  <c r="L38" i="10"/>
  <c r="F38" i="10"/>
  <c r="I36" i="10"/>
  <c r="C36" i="10"/>
  <c r="J61" i="10"/>
  <c r="D73" i="10"/>
  <c r="C72" i="10"/>
  <c r="L69" i="10"/>
  <c r="K68" i="10"/>
  <c r="J67" i="10"/>
  <c r="I66" i="10"/>
  <c r="H65" i="10"/>
  <c r="G64" i="10"/>
  <c r="F63" i="10"/>
  <c r="E62" i="10"/>
  <c r="J47" i="10"/>
  <c r="D47" i="10"/>
  <c r="J45" i="10"/>
  <c r="D45" i="10"/>
  <c r="G43" i="10"/>
  <c r="J41" i="10"/>
  <c r="D41" i="10"/>
  <c r="K61" i="10"/>
  <c r="C73" i="10"/>
  <c r="L70" i="10"/>
  <c r="K69" i="10"/>
  <c r="J68" i="10"/>
  <c r="I67" i="10"/>
  <c r="H66" i="10"/>
  <c r="G65" i="10"/>
  <c r="F64" i="10"/>
  <c r="E63" i="10"/>
  <c r="D62" i="10"/>
  <c r="L46" i="10"/>
  <c r="K48" i="10"/>
  <c r="E48" i="10"/>
  <c r="H44" i="10"/>
  <c r="K42" i="10"/>
  <c r="E42" i="10"/>
  <c r="H40" i="10"/>
  <c r="K38" i="10"/>
  <c r="L61" i="10"/>
  <c r="L71" i="10"/>
  <c r="K70" i="10"/>
  <c r="J69" i="10"/>
  <c r="I68" i="10"/>
  <c r="H67" i="10"/>
  <c r="G66" i="10"/>
  <c r="F65" i="10"/>
  <c r="E64" i="10"/>
  <c r="D63" i="10"/>
  <c r="C62" i="10"/>
  <c r="K46" i="10"/>
  <c r="I47" i="10"/>
  <c r="C47" i="10"/>
  <c r="I45" i="10"/>
  <c r="C45" i="10"/>
  <c r="L43" i="10"/>
  <c r="F43" i="10"/>
  <c r="I41" i="10"/>
  <c r="C41" i="10"/>
  <c r="L72" i="10"/>
  <c r="H93" i="1"/>
  <c r="J93" i="1" s="1"/>
  <c r="D62" i="11"/>
  <c r="F62" i="11"/>
  <c r="F61" i="11"/>
  <c r="D61" i="11"/>
  <c r="I113" i="1"/>
  <c r="K113" i="1" s="1"/>
  <c r="H2" i="1"/>
  <c r="J2" i="1" s="1"/>
  <c r="I25" i="1"/>
  <c r="K25" i="1" s="1"/>
  <c r="H22" i="1"/>
  <c r="J22" i="1" s="1"/>
  <c r="J98" i="1"/>
  <c r="H89" i="1"/>
  <c r="J89" i="1" s="1"/>
  <c r="I79" i="1"/>
  <c r="K79" i="1" s="1"/>
  <c r="I69" i="1"/>
  <c r="K69" i="1" s="1"/>
  <c r="H81" i="1"/>
  <c r="J81" i="1" s="1"/>
  <c r="H20" i="1"/>
  <c r="J20" i="1" s="1"/>
  <c r="I47" i="1"/>
  <c r="K47" i="1" s="1"/>
  <c r="K119" i="1"/>
  <c r="K107" i="1"/>
  <c r="K97" i="1"/>
  <c r="K86" i="1"/>
  <c r="I16" i="1"/>
  <c r="K16" i="1" s="1"/>
  <c r="H29" i="1"/>
  <c r="J29" i="1" s="1"/>
  <c r="I13" i="1"/>
  <c r="K13" i="1" s="1"/>
  <c r="H94" i="1"/>
  <c r="J94" i="1" s="1"/>
  <c r="H47" i="1"/>
  <c r="J47" i="1" s="1"/>
  <c r="J107" i="1"/>
  <c r="J119" i="1"/>
  <c r="J97" i="1"/>
  <c r="J86" i="1"/>
  <c r="I67" i="1"/>
  <c r="K67" i="1" s="1"/>
  <c r="I44" i="1"/>
  <c r="K44" i="1" s="1"/>
  <c r="H91" i="1"/>
  <c r="J91" i="1" s="1"/>
  <c r="I14" i="1"/>
  <c r="K14" i="1" s="1"/>
  <c r="I40" i="1"/>
  <c r="K40" i="1" s="1"/>
  <c r="H85" i="1"/>
  <c r="J85" i="1" s="1"/>
  <c r="H79" i="1"/>
  <c r="J79" i="1" s="1"/>
  <c r="H37" i="1"/>
  <c r="J37" i="1" s="1"/>
  <c r="H18" i="1"/>
  <c r="J18" i="1" s="1"/>
  <c r="I48" i="1"/>
  <c r="K48" i="1" s="1"/>
  <c r="I94" i="1"/>
  <c r="K94" i="1" s="1"/>
  <c r="I82" i="1"/>
  <c r="K82" i="1" s="1"/>
  <c r="I58" i="1"/>
  <c r="K58" i="1" s="1"/>
  <c r="I34" i="1"/>
  <c r="K34" i="1" s="1"/>
  <c r="I93" i="1"/>
  <c r="K93" i="1" s="1"/>
  <c r="H8" i="1"/>
  <c r="J8" i="1" s="1"/>
  <c r="H77" i="1"/>
  <c r="J77" i="1" s="1"/>
  <c r="I38" i="1"/>
  <c r="K38" i="1" s="1"/>
  <c r="I24" i="1"/>
  <c r="K24" i="1" s="1"/>
  <c r="H52" i="1"/>
  <c r="J52" i="1" s="1"/>
  <c r="H45" i="1"/>
  <c r="J45" i="1" s="1"/>
  <c r="H25" i="1"/>
  <c r="J25" i="1" s="1"/>
  <c r="I121" i="1"/>
  <c r="I81" i="1"/>
  <c r="K81" i="1" s="1"/>
  <c r="I29" i="1"/>
  <c r="K29" i="1" s="1"/>
  <c r="I26" i="1"/>
  <c r="K26" i="1" s="1"/>
  <c r="I23" i="1"/>
  <c r="K23" i="1" s="1"/>
  <c r="I7" i="1"/>
  <c r="K7" i="1" s="1"/>
  <c r="I91" i="1"/>
  <c r="K91" i="1" s="1"/>
  <c r="I85" i="1"/>
  <c r="K85" i="1" s="1"/>
  <c r="I78" i="1"/>
  <c r="K78" i="1" s="1"/>
  <c r="I65" i="1"/>
  <c r="K65" i="1" s="1"/>
  <c r="I42" i="1"/>
  <c r="K42" i="1" s="1"/>
  <c r="I28" i="1"/>
  <c r="K28" i="1" s="1"/>
  <c r="I95" i="1"/>
  <c r="K95" i="1" s="1"/>
  <c r="I68" i="1"/>
  <c r="K68" i="1" s="1"/>
  <c r="I64" i="1"/>
  <c r="K64" i="1" s="1"/>
  <c r="I53" i="1"/>
  <c r="K53" i="1" s="1"/>
  <c r="I49" i="1"/>
  <c r="K49" i="1" s="1"/>
  <c r="I46" i="1"/>
  <c r="K46" i="1" s="1"/>
  <c r="I35" i="1"/>
  <c r="K35" i="1" s="1"/>
  <c r="I31" i="1"/>
  <c r="K31" i="1" s="1"/>
  <c r="I27" i="1"/>
  <c r="K27" i="1" s="1"/>
  <c r="I22" i="1"/>
  <c r="K22" i="1" s="1"/>
  <c r="I20" i="1"/>
  <c r="K20" i="1" s="1"/>
  <c r="H48" i="1"/>
  <c r="J48" i="1" s="1"/>
  <c r="H44" i="1"/>
  <c r="J44" i="1" s="1"/>
  <c r="B5" i="8"/>
  <c r="B11" i="8"/>
  <c r="A116" i="7"/>
  <c r="B6" i="8"/>
  <c r="D32" i="7"/>
  <c r="I102" i="1"/>
  <c r="K102" i="1" s="1"/>
  <c r="I88" i="1"/>
  <c r="K88" i="1" s="1"/>
  <c r="I15" i="1"/>
  <c r="K15" i="1" s="1"/>
  <c r="I116" i="1"/>
  <c r="K116" i="1" s="1"/>
  <c r="I84" i="1"/>
  <c r="K84" i="1" s="1"/>
  <c r="I66" i="1"/>
  <c r="K66" i="1" s="1"/>
  <c r="I10" i="1"/>
  <c r="K10" i="1" s="1"/>
  <c r="H74" i="1"/>
  <c r="J74" i="1" s="1"/>
  <c r="H69" i="1"/>
  <c r="J69" i="1" s="1"/>
  <c r="H57" i="1"/>
  <c r="J57" i="1" s="1"/>
  <c r="H34" i="1"/>
  <c r="J34" i="1" s="1"/>
  <c r="H13" i="1"/>
  <c r="J13" i="1" s="1"/>
  <c r="H116" i="1"/>
  <c r="J116" i="1" s="1"/>
  <c r="H102" i="1"/>
  <c r="J102" i="1" s="1"/>
  <c r="H41" i="1"/>
  <c r="J41" i="1" s="1"/>
  <c r="H27" i="1"/>
  <c r="J27" i="1" s="1"/>
  <c r="H16" i="1"/>
  <c r="J16" i="1" s="1"/>
  <c r="H10" i="1"/>
  <c r="J10" i="1" s="1"/>
  <c r="H121" i="1"/>
  <c r="H88" i="1"/>
  <c r="J88" i="1" s="1"/>
  <c r="H76" i="1"/>
  <c r="J76" i="1" s="1"/>
  <c r="H15" i="1"/>
  <c r="J15" i="1" s="1"/>
  <c r="I52" i="1"/>
  <c r="K52" i="1" s="1"/>
  <c r="I90" i="1"/>
  <c r="K90" i="1" s="1"/>
  <c r="I18" i="1"/>
  <c r="K18" i="1" s="1"/>
  <c r="I61" i="1"/>
  <c r="K61" i="1" s="1"/>
  <c r="H51" i="1"/>
  <c r="J51" i="1" s="1"/>
  <c r="H53" i="1"/>
  <c r="J53" i="1" s="1"/>
  <c r="H82" i="1"/>
  <c r="J82" i="1" s="1"/>
  <c r="H32" i="1"/>
  <c r="J32" i="1" s="1"/>
  <c r="H84" i="1"/>
  <c r="J84" i="1" s="1"/>
  <c r="H30" i="1"/>
  <c r="J30" i="1" s="1"/>
  <c r="H56" i="1"/>
  <c r="J56" i="1" s="1"/>
  <c r="H58" i="1"/>
  <c r="J58" i="1" s="1"/>
  <c r="H71" i="1"/>
  <c r="J71" i="1" s="1"/>
  <c r="H96" i="1"/>
  <c r="J96" i="1" s="1"/>
  <c r="H115" i="1"/>
  <c r="J115" i="1" s="1"/>
  <c r="I115" i="1"/>
  <c r="K115" i="1" s="1"/>
  <c r="I104" i="1"/>
  <c r="K104" i="1" s="1"/>
  <c r="I3" i="1"/>
  <c r="K3" i="1" s="1"/>
  <c r="I92" i="1"/>
  <c r="K92" i="1" s="1"/>
  <c r="H104" i="1"/>
  <c r="J104" i="1" s="1"/>
  <c r="H66" i="1"/>
  <c r="J66" i="1" s="1"/>
  <c r="H3" i="1"/>
  <c r="J3" i="1" s="1"/>
  <c r="H7" i="1"/>
  <c r="J7" i="1" s="1"/>
  <c r="H92" i="1"/>
  <c r="J92" i="1" s="1"/>
  <c r="H122" i="1"/>
  <c r="J122" i="1" s="1"/>
  <c r="H61" i="1"/>
  <c r="J61" i="1" s="1"/>
  <c r="I96" i="1"/>
  <c r="K96" i="1" s="1"/>
  <c r="I77" i="1"/>
  <c r="K77" i="1" s="1"/>
  <c r="I56" i="1"/>
  <c r="K56" i="1" s="1"/>
  <c r="I41" i="1"/>
  <c r="K41" i="1" s="1"/>
  <c r="I37" i="1"/>
  <c r="K37" i="1" s="1"/>
  <c r="I8" i="1"/>
  <c r="K8" i="1" s="1"/>
  <c r="I57" i="1"/>
  <c r="K57" i="1" s="1"/>
  <c r="I74" i="1"/>
  <c r="K74" i="1" s="1"/>
  <c r="I76" i="1"/>
  <c r="K76" i="1" s="1"/>
  <c r="I30" i="1"/>
  <c r="K30" i="1" s="1"/>
  <c r="I4" i="1"/>
  <c r="K4" i="1" s="1"/>
  <c r="I2" i="1"/>
  <c r="K2" i="1" s="1"/>
  <c r="D30" i="7"/>
  <c r="I45" i="1"/>
  <c r="K45" i="1" s="1"/>
  <c r="I89" i="1"/>
  <c r="K89" i="1" s="1"/>
  <c r="H75" i="1"/>
  <c r="J75" i="1" s="1"/>
  <c r="H64" i="1"/>
  <c r="J64" i="1" s="1"/>
  <c r="H38" i="1"/>
  <c r="J38" i="1" s="1"/>
  <c r="H54" i="1"/>
  <c r="J54" i="1" s="1"/>
  <c r="H31" i="1"/>
  <c r="J31" i="1" s="1"/>
  <c r="H12" i="1"/>
  <c r="J12" i="1" s="1"/>
  <c r="H14" i="1"/>
  <c r="J14" i="1" s="1"/>
  <c r="H26" i="1"/>
  <c r="J26" i="1" s="1"/>
  <c r="H28" i="1"/>
  <c r="J28" i="1" s="1"/>
  <c r="H42" i="1"/>
  <c r="J42" i="1" s="1"/>
  <c r="H46" i="1"/>
  <c r="J46" i="1" s="1"/>
  <c r="H49" i="1"/>
  <c r="J49" i="1" s="1"/>
  <c r="H65" i="1"/>
  <c r="J65" i="1" s="1"/>
  <c r="H67" i="1"/>
  <c r="J67" i="1" s="1"/>
  <c r="H23" i="1"/>
  <c r="J23" i="1" s="1"/>
  <c r="H78" i="1"/>
  <c r="J78" i="1" s="1"/>
  <c r="H4" i="1"/>
  <c r="J4" i="1" s="1"/>
  <c r="H68" i="1"/>
  <c r="J68" i="1" s="1"/>
  <c r="B8" i="8"/>
  <c r="B7" i="8"/>
  <c r="E31" i="7"/>
  <c r="B4" i="8"/>
  <c r="D33" i="7"/>
  <c r="C96" i="7"/>
  <c r="H25" i="7"/>
  <c r="H27" i="7" s="1"/>
  <c r="I15" i="7"/>
  <c r="G15" i="7"/>
  <c r="E32" i="7"/>
  <c r="E33" i="7"/>
  <c r="D95" i="7"/>
  <c r="C95" i="7"/>
  <c r="F2" i="7"/>
  <c r="E30" i="7"/>
  <c r="A56" i="7"/>
  <c r="B12" i="8"/>
  <c r="B2" i="8"/>
  <c r="H2" i="7"/>
  <c r="D31" i="7"/>
  <c r="F30" i="7"/>
  <c r="H15" i="7"/>
  <c r="C97" i="7"/>
  <c r="C98" i="7"/>
  <c r="D96" i="7"/>
  <c r="D97" i="7"/>
  <c r="F97" i="7"/>
  <c r="F98" i="7"/>
  <c r="B6" i="7"/>
  <c r="B13" i="8"/>
  <c r="B8" i="7"/>
  <c r="B10" i="8"/>
  <c r="B2" i="7"/>
  <c r="AA45" i="1"/>
  <c r="F25" i="7"/>
  <c r="F27" i="7" s="1"/>
  <c r="C30" i="7"/>
  <c r="F32" i="7"/>
  <c r="F31" i="7"/>
  <c r="C33" i="7"/>
  <c r="C31" i="7"/>
  <c r="G2" i="7"/>
  <c r="I2" i="7"/>
  <c r="F33" i="7"/>
  <c r="C32" i="7"/>
  <c r="A121" i="7"/>
  <c r="B13" i="7"/>
  <c r="A86" i="7" s="1"/>
  <c r="B9" i="8"/>
  <c r="F96" i="7"/>
  <c r="F95" i="7"/>
  <c r="E98" i="7"/>
  <c r="E97" i="7"/>
  <c r="E96" i="7"/>
  <c r="E95" i="7"/>
  <c r="D98" i="7"/>
  <c r="M37" i="10" l="1"/>
  <c r="O37" i="10" s="1"/>
  <c r="M63" i="10"/>
  <c r="O63" i="10" s="1"/>
  <c r="M45" i="10"/>
  <c r="O45" i="10" s="1"/>
  <c r="M44" i="10"/>
  <c r="O44" i="10" s="1"/>
  <c r="Z31" i="1"/>
  <c r="Y31" i="1"/>
  <c r="M67" i="10"/>
  <c r="O67" i="10" s="1"/>
  <c r="M71" i="10"/>
  <c r="O71" i="10" s="1"/>
  <c r="M39" i="10"/>
  <c r="O39" i="10" s="1"/>
  <c r="M46" i="10"/>
  <c r="O46" i="10" s="1"/>
  <c r="M64" i="10"/>
  <c r="O64" i="10" s="1"/>
  <c r="M47" i="10"/>
  <c r="O47" i="10" s="1"/>
  <c r="M72" i="10"/>
  <c r="O72" i="10" s="1"/>
  <c r="M48" i="10"/>
  <c r="O48" i="10" s="1"/>
  <c r="M68" i="10"/>
  <c r="O68" i="10" s="1"/>
  <c r="M61" i="10"/>
  <c r="O61" i="10" s="1"/>
  <c r="M69" i="10"/>
  <c r="O69" i="10" s="1"/>
  <c r="M43" i="10"/>
  <c r="O43" i="10" s="1"/>
  <c r="M62" i="10"/>
  <c r="O62" i="10" s="1"/>
  <c r="M36" i="10"/>
  <c r="O36" i="10" s="1"/>
  <c r="M38" i="10"/>
  <c r="O38" i="10" s="1"/>
  <c r="M66" i="10"/>
  <c r="O66" i="10" s="1"/>
  <c r="M65" i="10"/>
  <c r="O65" i="10" s="1"/>
  <c r="M41" i="10"/>
  <c r="O41" i="10" s="1"/>
  <c r="M70" i="10"/>
  <c r="O70" i="10" s="1"/>
  <c r="M73" i="10"/>
  <c r="O73" i="10" s="1"/>
  <c r="M40" i="10"/>
  <c r="O40" i="10" s="1"/>
  <c r="M42" i="10"/>
  <c r="O42" i="10" s="1"/>
  <c r="Y27" i="1"/>
  <c r="Y33" i="1"/>
  <c r="Z20" i="1"/>
  <c r="Y18" i="1"/>
  <c r="Y20" i="1"/>
  <c r="Y22" i="1"/>
  <c r="D6" i="7" s="1"/>
  <c r="E53" i="7" s="1"/>
  <c r="Y23" i="1"/>
  <c r="Z18" i="1"/>
  <c r="Z23" i="1"/>
  <c r="Z27" i="1"/>
  <c r="D14" i="7" s="1"/>
  <c r="F92" i="7" s="1"/>
  <c r="Y17" i="1"/>
  <c r="D3" i="7" s="1"/>
  <c r="F36" i="7" s="1"/>
  <c r="Z19" i="1"/>
  <c r="Z21" i="1"/>
  <c r="Z28" i="1"/>
  <c r="Y30" i="1"/>
  <c r="D10" i="7" s="1"/>
  <c r="D73" i="7" s="1"/>
  <c r="Y26" i="1"/>
  <c r="D8" i="7" s="1"/>
  <c r="D62" i="7" s="1"/>
  <c r="Z29" i="1"/>
  <c r="Y29" i="1"/>
  <c r="Z33" i="1"/>
  <c r="D13" i="7" s="1"/>
  <c r="Z34" i="1"/>
  <c r="Y34" i="1"/>
  <c r="D17" i="7" s="1"/>
  <c r="C108" i="7" s="1"/>
  <c r="Z17" i="1"/>
  <c r="Z26" i="1"/>
  <c r="Y25" i="1"/>
  <c r="Y24" i="1"/>
  <c r="Y28" i="1"/>
  <c r="Y19" i="1"/>
  <c r="Z30" i="1"/>
  <c r="Z24" i="1"/>
  <c r="Z25" i="1"/>
  <c r="Y15" i="1"/>
  <c r="Y21" i="1"/>
  <c r="Z15" i="1"/>
  <c r="Z22" i="1"/>
  <c r="F4" i="8"/>
  <c r="F9" i="8"/>
  <c r="F5" i="8"/>
  <c r="F3" i="8"/>
  <c r="F7" i="8"/>
  <c r="F6" i="8"/>
  <c r="F11" i="8"/>
  <c r="A51" i="7"/>
  <c r="C25" i="7"/>
  <c r="C27" i="7" s="1"/>
  <c r="B25" i="7"/>
  <c r="B27" i="7" s="1"/>
  <c r="B21" i="7"/>
  <c r="A31" i="7"/>
  <c r="F82" i="7"/>
  <c r="D82" i="7"/>
  <c r="D81" i="7"/>
  <c r="D80" i="7"/>
  <c r="C83" i="7"/>
  <c r="H12" i="7"/>
  <c r="F12" i="7"/>
  <c r="F83" i="7"/>
  <c r="F80" i="7"/>
  <c r="E83" i="7"/>
  <c r="E82" i="7"/>
  <c r="E81" i="7"/>
  <c r="E80" i="7"/>
  <c r="D83" i="7"/>
  <c r="C80" i="7"/>
  <c r="C81" i="7"/>
  <c r="C82" i="7"/>
  <c r="G12" i="7"/>
  <c r="I12" i="7"/>
  <c r="F81" i="7"/>
  <c r="F2" i="8"/>
  <c r="E25" i="7"/>
  <c r="E27" i="7" s="1"/>
  <c r="A61" i="7"/>
  <c r="F10" i="8"/>
  <c r="F8" i="8"/>
  <c r="D53" i="7" l="1"/>
  <c r="E51" i="7"/>
  <c r="C53" i="7"/>
  <c r="C52" i="7"/>
  <c r="F53" i="7"/>
  <c r="D51" i="7"/>
  <c r="F6" i="7"/>
  <c r="H6" i="7"/>
  <c r="F52" i="7"/>
  <c r="C51" i="7"/>
  <c r="E52" i="7"/>
  <c r="G6" i="7"/>
  <c r="I6" i="7"/>
  <c r="F50" i="7"/>
  <c r="D50" i="7"/>
  <c r="C50" i="7"/>
  <c r="D52" i="7"/>
  <c r="F51" i="7"/>
  <c r="E50" i="7"/>
  <c r="F14" i="7"/>
  <c r="F107" i="7"/>
  <c r="F17" i="7"/>
  <c r="F93" i="7"/>
  <c r="C92" i="7"/>
  <c r="H14" i="7"/>
  <c r="D36" i="7"/>
  <c r="H10" i="7"/>
  <c r="F91" i="7"/>
  <c r="E37" i="7"/>
  <c r="I10" i="7"/>
  <c r="E91" i="7"/>
  <c r="D91" i="7"/>
  <c r="C91" i="7"/>
  <c r="D38" i="7"/>
  <c r="E107" i="7"/>
  <c r="E92" i="7"/>
  <c r="C93" i="7"/>
  <c r="F37" i="7"/>
  <c r="E90" i="7"/>
  <c r="D93" i="7"/>
  <c r="C90" i="7"/>
  <c r="I14" i="7"/>
  <c r="D90" i="7"/>
  <c r="I3" i="7"/>
  <c r="E38" i="7"/>
  <c r="F62" i="7"/>
  <c r="F90" i="7"/>
  <c r="E93" i="7"/>
  <c r="D92" i="7"/>
  <c r="G14" i="7"/>
  <c r="G3" i="7"/>
  <c r="C105" i="7"/>
  <c r="C107" i="7"/>
  <c r="C37" i="7"/>
  <c r="D35" i="7"/>
  <c r="C35" i="7"/>
  <c r="H17" i="7"/>
  <c r="D106" i="7"/>
  <c r="C106" i="7"/>
  <c r="D107" i="7"/>
  <c r="E108" i="7"/>
  <c r="G10" i="7"/>
  <c r="D108" i="7"/>
  <c r="F105" i="7"/>
  <c r="F3" i="7"/>
  <c r="D37" i="7"/>
  <c r="C36" i="7"/>
  <c r="E35" i="7"/>
  <c r="F35" i="7"/>
  <c r="E105" i="7"/>
  <c r="G17" i="7"/>
  <c r="I17" i="7"/>
  <c r="F60" i="7"/>
  <c r="H3" i="7"/>
  <c r="F38" i="7"/>
  <c r="C38" i="7"/>
  <c r="E36" i="7"/>
  <c r="D105" i="7"/>
  <c r="F108" i="7"/>
  <c r="E106" i="7"/>
  <c r="F106" i="7"/>
  <c r="D63" i="7"/>
  <c r="F72" i="7"/>
  <c r="E70" i="7"/>
  <c r="F10" i="7"/>
  <c r="E71" i="7"/>
  <c r="C70" i="7"/>
  <c r="C73" i="7"/>
  <c r="D71" i="7"/>
  <c r="E73" i="7"/>
  <c r="F70" i="7"/>
  <c r="C71" i="7"/>
  <c r="F63" i="7"/>
  <c r="D72" i="7"/>
  <c r="F71" i="7"/>
  <c r="C72" i="7"/>
  <c r="C63" i="7"/>
  <c r="D70" i="7"/>
  <c r="E72" i="7"/>
  <c r="F73" i="7"/>
  <c r="D4" i="7"/>
  <c r="D7" i="7"/>
  <c r="F8" i="7"/>
  <c r="D11" i="7"/>
  <c r="D5" i="7"/>
  <c r="E61" i="7"/>
  <c r="E62" i="7"/>
  <c r="E63" i="7"/>
  <c r="C60" i="7"/>
  <c r="D60" i="7"/>
  <c r="G8" i="7"/>
  <c r="I8" i="7"/>
  <c r="C61" i="7"/>
  <c r="D61" i="7"/>
  <c r="E60" i="7"/>
  <c r="C62" i="7"/>
  <c r="F61" i="7"/>
  <c r="H8" i="7"/>
  <c r="F88" i="7"/>
  <c r="E88" i="7"/>
  <c r="C86" i="7"/>
  <c r="E85" i="7"/>
  <c r="D86" i="7"/>
  <c r="C88" i="7"/>
  <c r="F85" i="7"/>
  <c r="E86" i="7"/>
  <c r="E87" i="7"/>
  <c r="D87" i="7"/>
  <c r="F87" i="7"/>
  <c r="F86" i="7"/>
  <c r="D88" i="7"/>
  <c r="I13" i="7"/>
  <c r="C85" i="7"/>
  <c r="H13" i="7"/>
  <c r="D85" i="7"/>
  <c r="G13" i="7"/>
  <c r="F13" i="7"/>
  <c r="C87" i="7"/>
  <c r="D9" i="7"/>
  <c r="A126" i="7"/>
  <c r="I25" i="7"/>
  <c r="I27" i="7" s="1"/>
  <c r="E65" i="7" l="1"/>
  <c r="E67" i="7"/>
  <c r="E68" i="7"/>
  <c r="F65" i="7"/>
  <c r="C66" i="7"/>
  <c r="F66" i="7"/>
  <c r="C68" i="7"/>
  <c r="D67" i="7"/>
  <c r="D66" i="7"/>
  <c r="F67" i="7"/>
  <c r="H9" i="7"/>
  <c r="E66" i="7"/>
  <c r="C67" i="7"/>
  <c r="D65" i="7"/>
  <c r="C65" i="7"/>
  <c r="I9" i="7"/>
  <c r="F9" i="7"/>
  <c r="D68" i="7"/>
  <c r="F68" i="7"/>
  <c r="G9" i="7"/>
  <c r="F58" i="7"/>
  <c r="F55" i="7"/>
  <c r="E55" i="7"/>
  <c r="D57" i="7"/>
  <c r="I7" i="7"/>
  <c r="D56" i="7"/>
  <c r="E58" i="7"/>
  <c r="D58" i="7"/>
  <c r="C57" i="7"/>
  <c r="D55" i="7"/>
  <c r="F56" i="7"/>
  <c r="F57" i="7"/>
  <c r="F7" i="7"/>
  <c r="E57" i="7"/>
  <c r="C56" i="7"/>
  <c r="E56" i="7"/>
  <c r="G7" i="7"/>
  <c r="C55" i="7"/>
  <c r="C58" i="7"/>
  <c r="H7" i="7"/>
  <c r="D47" i="7"/>
  <c r="C48" i="7"/>
  <c r="I5" i="7"/>
  <c r="G5" i="7"/>
  <c r="E48" i="7"/>
  <c r="D48" i="7"/>
  <c r="F5" i="7"/>
  <c r="F47" i="7"/>
  <c r="C47" i="7"/>
  <c r="F46" i="7"/>
  <c r="E47" i="7"/>
  <c r="D46" i="7"/>
  <c r="F48" i="7"/>
  <c r="C45" i="7"/>
  <c r="D45" i="7"/>
  <c r="F45" i="7"/>
  <c r="H5" i="7"/>
  <c r="C46" i="7"/>
  <c r="E46" i="7"/>
  <c r="E45" i="7"/>
  <c r="F76" i="7"/>
  <c r="E76" i="7"/>
  <c r="D76" i="7"/>
  <c r="I11" i="7"/>
  <c r="C78" i="7"/>
  <c r="E78" i="7"/>
  <c r="D78" i="7"/>
  <c r="C76" i="7"/>
  <c r="F78" i="7"/>
  <c r="F11" i="7"/>
  <c r="F75" i="7"/>
  <c r="E75" i="7"/>
  <c r="C77" i="7"/>
  <c r="F77" i="7"/>
  <c r="H11" i="7"/>
  <c r="C75" i="7"/>
  <c r="E77" i="7"/>
  <c r="D77" i="7"/>
  <c r="G11" i="7"/>
  <c r="D75" i="7"/>
  <c r="C41" i="7"/>
  <c r="D42" i="7"/>
  <c r="C42" i="7"/>
  <c r="F43" i="7"/>
  <c r="F40" i="7"/>
  <c r="E40" i="7"/>
  <c r="D41" i="7"/>
  <c r="C40" i="7"/>
  <c r="F41" i="7"/>
  <c r="E43" i="7"/>
  <c r="D43" i="7"/>
  <c r="C43" i="7"/>
  <c r="I4" i="7"/>
  <c r="H4" i="7"/>
  <c r="E42" i="7"/>
  <c r="F42" i="7"/>
  <c r="F4" i="7"/>
  <c r="E41" i="7"/>
  <c r="D40" i="7"/>
  <c r="G4" i="7"/>
  <c r="L33" i="7" l="1"/>
  <c r="M31" i="7"/>
  <c r="M33" i="7"/>
  <c r="K32" i="7"/>
  <c r="L32" i="7"/>
  <c r="K31" i="7"/>
  <c r="M32" i="7"/>
  <c r="L31" i="7"/>
  <c r="M30" i="7"/>
  <c r="J33" i="7"/>
  <c r="J31" i="7"/>
  <c r="L30" i="7"/>
  <c r="K30" i="7"/>
  <c r="K33" i="7"/>
  <c r="J32" i="7"/>
  <c r="J30" i="7"/>
  <c r="R6" i="1" l="1"/>
  <c r="T8" i="1" l="1"/>
  <c r="G31" i="11" s="1"/>
  <c r="V2" i="1"/>
  <c r="U6" i="1"/>
  <c r="T2" i="1" l="1"/>
  <c r="M172" i="1"/>
  <c r="M176" i="1" l="1"/>
  <c r="J176" i="1" s="1"/>
  <c r="J172" i="1"/>
  <c r="B60" i="11"/>
  <c r="F31" i="11"/>
  <c r="B41" i="11" l="1"/>
  <c r="E41" i="11" s="1"/>
  <c r="B56" i="11"/>
  <c r="E56" i="11" s="1"/>
  <c r="B55" i="11"/>
  <c r="E55" i="11" s="1"/>
  <c r="B45" i="11"/>
  <c r="E45" i="11" s="1"/>
  <c r="B57" i="11"/>
  <c r="E57" i="11" s="1"/>
  <c r="B43" i="11"/>
  <c r="E43" i="11" s="1"/>
  <c r="B47" i="11"/>
  <c r="E47" i="11" s="1"/>
  <c r="B58" i="11"/>
  <c r="E58" i="11" s="1"/>
  <c r="B52" i="11"/>
  <c r="E52" i="11" s="1"/>
  <c r="B59" i="11"/>
  <c r="E59" i="11" s="1"/>
  <c r="B46" i="11"/>
  <c r="E46" i="11" s="1"/>
  <c r="B48" i="11"/>
  <c r="E48" i="11" s="1"/>
  <c r="B53" i="11"/>
  <c r="E53" i="11" s="1"/>
  <c r="B50" i="11"/>
  <c r="E50" i="11" s="1"/>
  <c r="B40" i="11"/>
  <c r="E40" i="11" s="1"/>
  <c r="B49" i="11"/>
  <c r="E49" i="11" s="1"/>
  <c r="B54" i="11"/>
  <c r="E54" i="11" s="1"/>
  <c r="B51" i="11"/>
  <c r="E51" i="11" s="1"/>
  <c r="B39" i="11"/>
  <c r="B42" i="11"/>
  <c r="E42" i="11" s="1"/>
  <c r="B44" i="11"/>
  <c r="F34" i="11"/>
  <c r="E14" i="11" s="1"/>
  <c r="C60" i="11"/>
  <c r="E60" i="11" s="1"/>
  <c r="B16" i="10" l="1"/>
  <c r="B49" i="10" s="1"/>
  <c r="F56" i="11"/>
  <c r="B9" i="10"/>
  <c r="B42" i="10" s="1"/>
  <c r="P42" i="10" s="1"/>
  <c r="B5" i="10"/>
  <c r="B38" i="10" s="1"/>
  <c r="B11" i="10"/>
  <c r="B44" i="10" s="1"/>
  <c r="B69" i="10" s="1"/>
  <c r="P69" i="10" s="1"/>
  <c r="D57" i="11"/>
  <c r="F48" i="11"/>
  <c r="B3" i="10"/>
  <c r="B36" i="10" s="1"/>
  <c r="E39" i="11"/>
  <c r="B10" i="10"/>
  <c r="B43" i="10" s="1"/>
  <c r="P43" i="10" s="1"/>
  <c r="B17" i="10"/>
  <c r="B50" i="10" s="1"/>
  <c r="B75" i="10" s="1"/>
  <c r="P75" i="10" s="1"/>
  <c r="D51" i="11"/>
  <c r="F44" i="11"/>
  <c r="E44" i="11"/>
  <c r="F54" i="11"/>
  <c r="F40" i="11"/>
  <c r="F43" i="11"/>
  <c r="E31" i="11"/>
  <c r="C31" i="11" s="1"/>
  <c r="A60" i="11" s="1"/>
  <c r="F52" i="11"/>
  <c r="D52" i="11"/>
  <c r="D43" i="11"/>
  <c r="B7" i="10"/>
  <c r="B40" i="10" s="1"/>
  <c r="P40" i="10" s="1"/>
  <c r="B12" i="10"/>
  <c r="B45" i="10" s="1"/>
  <c r="B70" i="10" s="1"/>
  <c r="P70" i="10" s="1"/>
  <c r="B22" i="10"/>
  <c r="B55" i="10" s="1"/>
  <c r="B80" i="10" s="1"/>
  <c r="P80" i="10" s="1"/>
  <c r="D58" i="11"/>
  <c r="B18" i="10"/>
  <c r="B51" i="10" s="1"/>
  <c r="P51" i="10" s="1"/>
  <c r="F58" i="11"/>
  <c r="D54" i="11"/>
  <c r="D41" i="11"/>
  <c r="F41" i="11"/>
  <c r="F57" i="11"/>
  <c r="B6" i="10"/>
  <c r="B39" i="10" s="1"/>
  <c r="P39" i="10" s="1"/>
  <c r="F50" i="11"/>
  <c r="B63" i="11"/>
  <c r="B21" i="10"/>
  <c r="B54" i="10" s="1"/>
  <c r="B79" i="10" s="1"/>
  <c r="P79" i="10" s="1"/>
  <c r="D42" i="11"/>
  <c r="D50" i="11"/>
  <c r="F39" i="11"/>
  <c r="F42" i="11"/>
  <c r="B14" i="10"/>
  <c r="B47" i="10" s="1"/>
  <c r="B72" i="10" s="1"/>
  <c r="P72" i="10" s="1"/>
  <c r="D39" i="11"/>
  <c r="D49" i="11"/>
  <c r="B19" i="10"/>
  <c r="B52" i="10" s="1"/>
  <c r="B77" i="10" s="1"/>
  <c r="P77" i="10" s="1"/>
  <c r="F59" i="11"/>
  <c r="F46" i="11"/>
  <c r="B13" i="10"/>
  <c r="B46" i="10" s="1"/>
  <c r="B71" i="10" s="1"/>
  <c r="P71" i="10" s="1"/>
  <c r="F47" i="11"/>
  <c r="D55" i="11"/>
  <c r="D59" i="11"/>
  <c r="D46" i="11"/>
  <c r="F49" i="11"/>
  <c r="D47" i="11"/>
  <c r="F55" i="11"/>
  <c r="B23" i="10"/>
  <c r="B56" i="10" s="1"/>
  <c r="P56" i="10" s="1"/>
  <c r="B4" i="10"/>
  <c r="B37" i="10" s="1"/>
  <c r="B62" i="10" s="1"/>
  <c r="P62" i="10" s="1"/>
  <c r="F51" i="11"/>
  <c r="D45" i="11"/>
  <c r="F53" i="11"/>
  <c r="B15" i="10"/>
  <c r="B48" i="10" s="1"/>
  <c r="B73" i="10" s="1"/>
  <c r="P73" i="10" s="1"/>
  <c r="F45" i="11"/>
  <c r="D56" i="11"/>
  <c r="D44" i="11"/>
  <c r="D40" i="11"/>
  <c r="B20" i="10"/>
  <c r="B53" i="10" s="1"/>
  <c r="P53" i="10" s="1"/>
  <c r="D48" i="11"/>
  <c r="B8" i="10"/>
  <c r="B41" i="10" s="1"/>
  <c r="B66" i="10" s="1"/>
  <c r="P66" i="10" s="1"/>
  <c r="D53" i="11"/>
  <c r="E33" i="11"/>
  <c r="E11" i="11"/>
  <c r="E13" i="11"/>
  <c r="E27" i="11"/>
  <c r="E16" i="11"/>
  <c r="E18" i="11"/>
  <c r="C18" i="11" s="1"/>
  <c r="A49" i="11" s="1"/>
  <c r="E2" i="11"/>
  <c r="E35" i="11"/>
  <c r="E3" i="11"/>
  <c r="E5" i="11"/>
  <c r="E19" i="11"/>
  <c r="C19" i="11" s="1"/>
  <c r="A50" i="11" s="1"/>
  <c r="E20" i="11"/>
  <c r="C20" i="11" s="1"/>
  <c r="A51" i="11" s="1"/>
  <c r="E26" i="11"/>
  <c r="E17" i="11"/>
  <c r="E24" i="11"/>
  <c r="E4" i="11"/>
  <c r="E28" i="11"/>
  <c r="E29" i="11"/>
  <c r="E32" i="11"/>
  <c r="E22" i="11"/>
  <c r="E8" i="11"/>
  <c r="E30" i="11"/>
  <c r="E12" i="11"/>
  <c r="E6" i="11"/>
  <c r="E21" i="11"/>
  <c r="E10" i="11"/>
  <c r="E25" i="11"/>
  <c r="E15" i="11"/>
  <c r="E7" i="11"/>
  <c r="C7" i="11" s="1"/>
  <c r="A42" i="11" s="1"/>
  <c r="E9" i="11"/>
  <c r="E23" i="11"/>
  <c r="C63" i="11"/>
  <c r="F60" i="11"/>
  <c r="D60" i="11"/>
  <c r="B63" i="10"/>
  <c r="P63" i="10" s="1"/>
  <c r="P38" i="10"/>
  <c r="P36" i="10"/>
  <c r="B61" i="10"/>
  <c r="B74" i="10"/>
  <c r="P74" i="10" s="1"/>
  <c r="P49" i="10"/>
  <c r="P44" i="10"/>
  <c r="B67" i="10"/>
  <c r="P67" i="10" s="1"/>
  <c r="P45" i="10" l="1"/>
  <c r="P50" i="10"/>
  <c r="B68" i="10"/>
  <c r="P68" i="10" s="1"/>
  <c r="B31" i="11"/>
  <c r="B78" i="10"/>
  <c r="P78" i="10" s="1"/>
  <c r="B65" i="10"/>
  <c r="P65" i="10" s="1"/>
  <c r="B76" i="10"/>
  <c r="P76" i="10" s="1"/>
  <c r="P37" i="10"/>
  <c r="P52" i="10"/>
  <c r="P54" i="10"/>
  <c r="P46" i="10"/>
  <c r="P55" i="10"/>
  <c r="D63" i="11"/>
  <c r="B64" i="10"/>
  <c r="P64" i="10" s="1"/>
  <c r="B81" i="10"/>
  <c r="P81" i="10" s="1"/>
  <c r="B57" i="10"/>
  <c r="P48" i="10"/>
  <c r="P47" i="10"/>
  <c r="P41" i="10"/>
  <c r="B11" i="11"/>
  <c r="C14" i="11"/>
  <c r="A47" i="11" s="1"/>
  <c r="C12" i="11"/>
  <c r="A46" i="11" s="1"/>
  <c r="C3" i="11"/>
  <c r="A40" i="11" s="1"/>
  <c r="C16" i="11"/>
  <c r="A48" i="11" s="1"/>
  <c r="C8" i="11"/>
  <c r="A43" i="11" s="1"/>
  <c r="C22" i="11"/>
  <c r="A53" i="11" s="1"/>
  <c r="B22" i="11"/>
  <c r="C23" i="11"/>
  <c r="A54" i="11" s="1"/>
  <c r="A23" i="11"/>
  <c r="B23" i="11"/>
  <c r="C32" i="11"/>
  <c r="A61" i="11" s="1"/>
  <c r="B32" i="11"/>
  <c r="E34" i="11"/>
  <c r="C2" i="11"/>
  <c r="A39" i="11" s="1"/>
  <c r="A2" i="11"/>
  <c r="B2" i="11"/>
  <c r="B27" i="11"/>
  <c r="C27" i="11"/>
  <c r="A58" i="11" s="1"/>
  <c r="A27" i="11"/>
  <c r="C25" i="11"/>
  <c r="A56" i="11" s="1"/>
  <c r="B25" i="11"/>
  <c r="B24" i="11"/>
  <c r="A24" i="11"/>
  <c r="C24" i="11"/>
  <c r="A55" i="11" s="1"/>
  <c r="B10" i="11"/>
  <c r="C10" i="11"/>
  <c r="A44" i="11" s="1"/>
  <c r="C11" i="11"/>
  <c r="A45" i="11" s="1"/>
  <c r="C97" i="11"/>
  <c r="C21" i="11"/>
  <c r="A52" i="11" s="1"/>
  <c r="A21" i="11"/>
  <c r="B21" i="11"/>
  <c r="B26" i="11"/>
  <c r="C26" i="11"/>
  <c r="A57" i="11" s="1"/>
  <c r="C33" i="11"/>
  <c r="A62" i="11" s="1"/>
  <c r="B33" i="11"/>
  <c r="A33" i="11"/>
  <c r="A31" i="11"/>
  <c r="C30" i="11"/>
  <c r="A59" i="11" s="1"/>
  <c r="B30" i="11"/>
  <c r="C5" i="11"/>
  <c r="A41" i="11" s="1"/>
  <c r="B5" i="11"/>
  <c r="P61" i="10"/>
  <c r="P82" i="10" l="1"/>
  <c r="P84" i="10" s="1"/>
  <c r="B82" i="10"/>
  <c r="P57" i="10"/>
  <c r="D86" i="11"/>
  <c r="D85" i="11"/>
  <c r="D72" i="11"/>
  <c r="D88" i="11"/>
  <c r="D74" i="11"/>
  <c r="D91" i="11"/>
  <c r="D94" i="11"/>
  <c r="D78" i="11"/>
  <c r="D68" i="11"/>
  <c r="D82" i="11"/>
  <c r="D80" i="11"/>
  <c r="D90" i="11"/>
  <c r="D84" i="11"/>
  <c r="D73" i="11"/>
  <c r="D70" i="11"/>
  <c r="D76" i="11"/>
  <c r="D71" i="11"/>
  <c r="D81" i="11"/>
  <c r="D69" i="11"/>
  <c r="D83" i="11"/>
  <c r="D93" i="11"/>
  <c r="D75" i="11"/>
  <c r="D77" i="11"/>
  <c r="D89" i="11"/>
  <c r="D95" i="11"/>
  <c r="D87" i="11"/>
  <c r="D92" i="11"/>
  <c r="D79" i="11"/>
  <c r="D96" i="11"/>
  <c r="D97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  <author>Microsoft Office User</author>
    <author>Microsoft Office 用户</author>
  </authors>
  <commentList>
    <comment ref="J1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 xml:space="preserve">份额价值，即某 PB 或 PE 乘以当时买入的金额。用于计算持仓平均 PB 和 PE
</t>
        </r>
      </text>
    </comment>
    <comment ref="K1" authorId="0" shapeId="0" xr:uid="{00000000-0006-0000-0000-000002000000}">
      <text>
        <r>
          <rPr>
            <sz val="9"/>
            <color rgb="FF000000"/>
            <rFont val="宋体"/>
            <family val="3"/>
            <charset val="134"/>
          </rPr>
          <t>份额价值，即某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乘以当时买入的金额。用于计算持仓平均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和</t>
        </r>
        <r>
          <rPr>
            <sz val="9"/>
            <color rgb="FF000000"/>
            <rFont val="宋体"/>
            <family val="3"/>
            <charset val="134"/>
          </rPr>
          <t xml:space="preserve"> PE
</t>
        </r>
      </text>
    </comment>
    <comment ref="R8" authorId="1" shapeId="0" xr:uid="{0ABCA472-D479-614A-9C92-3685DD250120}">
      <text>
        <r>
          <rPr>
            <b/>
            <sz val="10"/>
            <color rgb="FF000000"/>
            <rFont val="Microsoft YaHei UI"/>
            <family val="2"/>
            <charset val="134"/>
          </rPr>
          <t>读取自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 </t>
        </r>
        <r>
          <rPr>
            <b/>
            <sz val="10"/>
            <color rgb="FF000000"/>
            <rFont val="Microsoft YaHei UI"/>
            <family val="2"/>
            <charset val="134"/>
          </rPr>
          <t>天天基金对账单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.xls
</t>
        </r>
      </text>
    </comment>
    <comment ref="S8" authorId="2" shapeId="0" xr:uid="{00000000-0006-0000-0000-000003000000}">
      <text>
        <r>
          <rPr>
            <sz val="11"/>
            <color rgb="FF000000"/>
            <rFont val="DengXian"/>
            <family val="4"/>
            <charset val="134"/>
            <scheme val="minor"/>
          </rPr>
          <t>每次卖出的获利部分</t>
        </r>
      </text>
    </comment>
    <comment ref="S14" authorId="2" shapeId="0" xr:uid="{00000000-0006-0000-0000-000004000000}">
      <text>
        <r>
          <rPr>
            <b/>
            <sz val="11"/>
            <color rgb="FF000000"/>
            <rFont val="ＭＳ Ｐゴシック"/>
            <family val="2"/>
            <charset val="128"/>
          </rPr>
          <t>为了方便，场内通常使用单位净值，场外使用累计净值。</t>
        </r>
      </text>
    </comment>
    <comment ref="T14" authorId="0" shapeId="0" xr:uid="{00000000-0006-0000-0000-000005000000}">
      <text>
        <r>
          <rPr>
            <sz val="9"/>
            <color rgb="FF000000"/>
            <rFont val="宋体"/>
            <family val="3"/>
            <charset val="134"/>
          </rPr>
          <t>每次更新且慢估值，即可自动向前折算持仓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PB
</t>
        </r>
      </text>
    </comment>
    <comment ref="Q15" authorId="2" shapeId="0" xr:uid="{00000000-0006-0000-0000-000006000000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  <comment ref="N108" authorId="1" shapeId="0" xr:uid="{F3485592-8826-3646-A28E-7040E9A131D1}">
      <text>
        <r>
          <rPr>
            <b/>
            <sz val="10"/>
            <color rgb="FF000000"/>
            <rFont val="Microsoft YaHei UI"/>
            <family val="2"/>
            <charset val="134"/>
          </rPr>
          <t>仅计算最后一次平仓利润</t>
        </r>
      </text>
    </comment>
    <comment ref="N138" authorId="1" shapeId="0" xr:uid="{669E13BF-0FA0-4542-BC96-71EE950A31AE}">
      <text>
        <r>
          <rPr>
            <sz val="10"/>
            <color rgb="FF000000"/>
            <rFont val="DengXian"/>
            <family val="4"/>
            <charset val="134"/>
            <scheme val="minor"/>
          </rPr>
          <t>调仓为中证</t>
        </r>
        <r>
          <rPr>
            <sz val="10"/>
            <color rgb="FF000000"/>
            <rFont val="Microsoft YaHei UI"/>
            <family val="2"/>
            <charset val="134"/>
          </rPr>
          <t>500</t>
        </r>
        <r>
          <rPr>
            <sz val="10"/>
            <color rgb="FF000000"/>
            <rFont val="DengXian"/>
            <family val="4"/>
            <charset val="134"/>
            <scheme val="minor"/>
          </rPr>
          <t>，并非亏本平仓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</authors>
  <commentList>
    <comment ref="F1" authorId="0" shapeId="0" xr:uid="{C2D81A48-46F7-402A-9534-2B80674054A8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lishuyun</author>
  </authors>
  <commentList>
    <comment ref="G31" authorId="0" shapeId="0" xr:uid="{677D56AA-B993-4583-93EE-D8B71A72F0C8}">
      <text>
        <r>
          <rPr>
            <b/>
            <sz val="9"/>
            <color rgb="FF000000"/>
            <rFont val="宋体"/>
            <family val="3"/>
            <charset val="134"/>
          </rPr>
          <t>每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个月根据天天基金对账单得出货币基金收益例如：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>600.61</t>
        </r>
        <r>
          <rPr>
            <b/>
            <sz val="9"/>
            <color rgb="FF000000"/>
            <rFont val="宋体"/>
            <family val="3"/>
            <charset val="134"/>
          </rPr>
          <t>，</t>
        </r>
        <r>
          <rPr>
            <b/>
            <sz val="9"/>
            <color rgb="FF000000"/>
            <rFont val="宋体"/>
            <family val="3"/>
            <charset val="134"/>
          </rPr>
          <t>6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 xml:space="preserve">723.45 </t>
        </r>
        <r>
          <rPr>
            <b/>
            <sz val="9"/>
            <color rgb="FF000000"/>
            <rFont val="宋体"/>
            <family val="3"/>
            <charset val="134"/>
          </rPr>
          <t>加一起就是</t>
        </r>
        <r>
          <rPr>
            <b/>
            <sz val="9"/>
            <color rgb="FF000000"/>
            <rFont val="宋体"/>
            <family val="3"/>
            <charset val="134"/>
          </rPr>
          <t>1324.06</t>
        </r>
      </text>
    </comment>
    <comment ref="F33" authorId="1" shapeId="0" xr:uid="{D60A5949-FA7A-4672-924E-2967EDF91041}">
      <text>
        <r>
          <rPr>
            <b/>
            <sz val="9"/>
            <color rgb="FF000000"/>
            <rFont val="宋体"/>
            <family val="3"/>
            <charset val="134"/>
          </rPr>
          <t>支付宝公积金服务自助更新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kangliquan</author>
  </authors>
  <commentList>
    <comment ref="H5" authorId="0" shapeId="0" xr:uid="{1ED4A822-5946-4275-B7B5-0FC78FF253A6}">
      <text>
        <r>
          <rPr>
            <sz val="9"/>
            <color indexed="81"/>
            <rFont val="宋体"/>
            <family val="3"/>
            <charset val="134"/>
          </rPr>
          <t xml:space="preserve">且慢投入市值删除了“盈米宝”中的 5000 多现金部分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B2" authorId="0" shapeId="0" xr:uid="{E485C7D6-1ADF-4D27-81F3-8EE338BF5410}">
      <text>
        <r>
          <rPr>
            <b/>
            <sz val="9"/>
            <color indexed="81"/>
            <rFont val="宋体"/>
            <family val="3"/>
            <charset val="134"/>
          </rPr>
          <t>lishuyun: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  <author>lishuyun</author>
  </authors>
  <commentList>
    <comment ref="Q11" authorId="0" shapeId="0" xr:uid="{00000000-0006-0000-0600-000001000000}">
      <text>
        <r>
          <rPr>
            <b/>
            <sz val="11"/>
            <color indexed="81"/>
            <rFont val="ＭＳ Ｐゴシック"/>
            <family val="2"/>
          </rPr>
          <t>金融地产的没找到，暂时和上证50用同样的</t>
        </r>
      </text>
    </comment>
    <comment ref="S11" authorId="1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E13" authorId="1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B21" authorId="1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所有不想估值的品种并入货币基金，按年化收益计算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C13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通过聚宽获取成分股权重后，再聚宽一级行业中统计占比
和中证行业不同的是，金融和地产被分开了</t>
        </r>
      </text>
    </comment>
  </commentList>
</comments>
</file>

<file path=xl/sharedStrings.xml><?xml version="1.0" encoding="utf-8"?>
<sst xmlns="http://schemas.openxmlformats.org/spreadsheetml/2006/main" count="15968" uniqueCount="7718">
  <si>
    <t>日期</t>
    <phoneticPr fontId="3" type="noConversion"/>
  </si>
  <si>
    <t>品种</t>
    <phoneticPr fontId="3" type="noConversion"/>
  </si>
  <si>
    <t>广发医药卫生联接A</t>
  </si>
  <si>
    <t>华安德国30(DAX)联接</t>
  </si>
  <si>
    <t>富国中证红利指数增强</t>
  </si>
  <si>
    <t>广发养老指数A</t>
  </si>
  <si>
    <t>7-10年国开债指数A</t>
    <phoneticPr fontId="3" type="noConversion"/>
  </si>
  <si>
    <t>华夏海外收益债券A</t>
  </si>
  <si>
    <t>操作</t>
    <phoneticPr fontId="3" type="noConversion"/>
  </si>
  <si>
    <t>账户</t>
    <phoneticPr fontId="3" type="noConversion"/>
  </si>
  <si>
    <t>天天基金</t>
    <phoneticPr fontId="3" type="noConversion"/>
  </si>
  <si>
    <t>买入</t>
    <phoneticPr fontId="3" type="noConversion"/>
  </si>
  <si>
    <t>卖出</t>
    <phoneticPr fontId="3" type="noConversion"/>
  </si>
  <si>
    <t>账户资金</t>
    <phoneticPr fontId="3" type="noConversion"/>
  </si>
  <si>
    <t>支付宝</t>
    <phoneticPr fontId="3" type="noConversion"/>
  </si>
  <si>
    <t>广发中证环保产业A</t>
    <phoneticPr fontId="3" type="noConversion"/>
  </si>
  <si>
    <t>支付宝</t>
    <phoneticPr fontId="3" type="noConversion"/>
  </si>
  <si>
    <t>广发医药</t>
  </si>
  <si>
    <t>500ETF</t>
  </si>
  <si>
    <t>1000ETF</t>
  </si>
  <si>
    <t>环保ETF</t>
  </si>
  <si>
    <t>黄金ETF</t>
  </si>
  <si>
    <t>证券ETF</t>
  </si>
  <si>
    <t>传媒ETF</t>
  </si>
  <si>
    <t>股票账户</t>
    <phoneticPr fontId="3" type="noConversion"/>
  </si>
  <si>
    <t>股票账户</t>
    <phoneticPr fontId="3" type="noConversion"/>
  </si>
  <si>
    <t>已投部分年化</t>
    <phoneticPr fontId="3" type="noConversion"/>
  </si>
  <si>
    <t>公式：=XIRR($E2:$E38,$A2:$A38)</t>
    <phoneticPr fontId="3" type="noConversion"/>
  </si>
  <si>
    <t>投入是负数，卖出是正数</t>
    <phoneticPr fontId="3" type="noConversion"/>
  </si>
  <si>
    <t>手续费</t>
    <phoneticPr fontId="3" type="noConversion"/>
  </si>
  <si>
    <t>金额(含手续费）</t>
    <phoneticPr fontId="3" type="noConversion"/>
  </si>
  <si>
    <t>兴全可转债混合</t>
    <phoneticPr fontId="3" type="noConversion"/>
  </si>
  <si>
    <t>广发中证全指金融地产联接A</t>
    <phoneticPr fontId="3" type="noConversion"/>
  </si>
  <si>
    <t>中证环保</t>
    <phoneticPr fontId="3" type="noConversion"/>
  </si>
  <si>
    <t>总占比</t>
    <phoneticPr fontId="3" type="noConversion"/>
  </si>
  <si>
    <t>黄金</t>
    <phoneticPr fontId="3" type="noConversion"/>
  </si>
  <si>
    <t>300ETF</t>
    <phoneticPr fontId="3" type="noConversion"/>
  </si>
  <si>
    <t>创业板</t>
    <rPh sb="0" eb="1">
      <t>chuang'ye'b</t>
    </rPh>
    <phoneticPr fontId="3" type="noConversion"/>
  </si>
  <si>
    <t>50ETF</t>
    <phoneticPr fontId="3" type="noConversion"/>
  </si>
  <si>
    <t>买入</t>
    <phoneticPr fontId="3" type="noConversion"/>
  </si>
  <si>
    <t>份额</t>
    <phoneticPr fontId="3" type="noConversion"/>
  </si>
  <si>
    <t>已投市值</t>
    <phoneticPr fontId="3" type="noConversion"/>
  </si>
  <si>
    <t>最新市值</t>
    <phoneticPr fontId="3" type="noConversion"/>
  </si>
  <si>
    <t>盈亏比例</t>
    <phoneticPr fontId="3" type="noConversion"/>
  </si>
  <si>
    <t>分红</t>
    <phoneticPr fontId="3" type="noConversion"/>
  </si>
  <si>
    <t>总资金</t>
    <phoneticPr fontId="3" type="noConversion"/>
  </si>
  <si>
    <t>基金名称</t>
    <phoneticPr fontId="3" type="noConversion"/>
  </si>
  <si>
    <t>估值日期</t>
    <phoneticPr fontId="3" type="noConversion"/>
  </si>
  <si>
    <t>证券ETF</t>
    <phoneticPr fontId="3" type="noConversion"/>
  </si>
  <si>
    <t>传媒ETF</t>
    <phoneticPr fontId="3" type="noConversion"/>
  </si>
  <si>
    <t>红利场外</t>
    <phoneticPr fontId="3" type="noConversion"/>
  </si>
  <si>
    <t>金融场外</t>
    <phoneticPr fontId="3" type="noConversion"/>
  </si>
  <si>
    <t>养老场外</t>
    <phoneticPr fontId="3" type="noConversion"/>
  </si>
  <si>
    <t>基金累计净值</t>
    <phoneticPr fontId="3" type="noConversion"/>
  </si>
  <si>
    <t>累计净值</t>
    <phoneticPr fontId="3" type="noConversion"/>
  </si>
  <si>
    <t>单位净值</t>
    <phoneticPr fontId="3" type="noConversion"/>
  </si>
  <si>
    <t>市值比例</t>
    <phoneticPr fontId="3" type="noConversion"/>
  </si>
  <si>
    <t>纸白银</t>
    <phoneticPr fontId="3" type="noConversion"/>
  </si>
  <si>
    <t>现金</t>
    <phoneticPr fontId="3" type="noConversion"/>
  </si>
  <si>
    <t>医药卫生</t>
    <phoneticPr fontId="3" type="noConversion"/>
  </si>
  <si>
    <t>名称</t>
    <phoneticPr fontId="3" type="noConversion"/>
  </si>
  <si>
    <t>代码</t>
    <phoneticPr fontId="3" type="noConversion"/>
  </si>
  <si>
    <t>161017</t>
    <phoneticPr fontId="3" type="noConversion"/>
  </si>
  <si>
    <t>001180</t>
    <phoneticPr fontId="3" type="noConversion"/>
  </si>
  <si>
    <t>000968</t>
    <phoneticPr fontId="3" type="noConversion"/>
  </si>
  <si>
    <t>001064</t>
    <phoneticPr fontId="3" type="noConversion"/>
  </si>
  <si>
    <t>000071</t>
    <phoneticPr fontId="3" type="noConversion"/>
  </si>
  <si>
    <t>工商银行</t>
    <phoneticPr fontId="3" type="noConversion"/>
  </si>
  <si>
    <t>100038</t>
    <phoneticPr fontId="3" type="noConversion"/>
  </si>
  <si>
    <t>账面盈亏</t>
    <rPh sb="0" eb="1">
      <t>zhang'mian</t>
    </rPh>
    <rPh sb="2" eb="3">
      <t>ying'kui</t>
    </rPh>
    <phoneticPr fontId="3" type="noConversion"/>
  </si>
  <si>
    <t>德国30</t>
    <rPh sb="0" eb="1">
      <t>de'guo</t>
    </rPh>
    <phoneticPr fontId="3" type="noConversion"/>
  </si>
  <si>
    <t>大类目</t>
    <rPh sb="0" eb="1">
      <t>da'lei</t>
    </rPh>
    <rPh sb="2" eb="3">
      <t>mu</t>
    </rPh>
    <phoneticPr fontId="3" type="noConversion"/>
  </si>
  <si>
    <t>医药</t>
    <rPh sb="0" eb="1">
      <t>yi'yao</t>
    </rPh>
    <phoneticPr fontId="3" type="noConversion"/>
  </si>
  <si>
    <t>红利</t>
    <rPh sb="0" eb="1">
      <t>hong'li</t>
    </rPh>
    <phoneticPr fontId="3" type="noConversion"/>
  </si>
  <si>
    <t>养老</t>
    <rPh sb="0" eb="1">
      <t>yang'lao</t>
    </rPh>
    <phoneticPr fontId="3" type="noConversion"/>
  </si>
  <si>
    <t>国债</t>
    <rPh sb="0" eb="1">
      <t>guo'z</t>
    </rPh>
    <phoneticPr fontId="3" type="noConversion"/>
  </si>
  <si>
    <t>医药</t>
    <rPh sb="0" eb="1">
      <t>yi'y</t>
    </rPh>
    <phoneticPr fontId="3" type="noConversion"/>
  </si>
  <si>
    <t>养老</t>
    <rPh sb="0" eb="1">
      <t>yang'l</t>
    </rPh>
    <phoneticPr fontId="3" type="noConversion"/>
  </si>
  <si>
    <t>500ETF</t>
    <phoneticPr fontId="3" type="noConversion"/>
  </si>
  <si>
    <t>500ETF</t>
    <phoneticPr fontId="3" type="noConversion"/>
  </si>
  <si>
    <t>红利</t>
    <rPh sb="0" eb="1">
      <t>h'l</t>
    </rPh>
    <phoneticPr fontId="3" type="noConversion"/>
  </si>
  <si>
    <t>国债</t>
    <rPh sb="0" eb="1">
      <t>g'z</t>
    </rPh>
    <phoneticPr fontId="3" type="noConversion"/>
  </si>
  <si>
    <t>500ETF</t>
    <phoneticPr fontId="3" type="noConversion"/>
  </si>
  <si>
    <t>环保</t>
    <rPh sb="0" eb="1">
      <t>huan'bao</t>
    </rPh>
    <phoneticPr fontId="3" type="noConversion"/>
  </si>
  <si>
    <t>500ETF</t>
    <phoneticPr fontId="3" type="noConversion"/>
  </si>
  <si>
    <t>500ETF</t>
    <phoneticPr fontId="3" type="noConversion"/>
  </si>
  <si>
    <t>传媒</t>
    <rPh sb="0" eb="1">
      <t>chuan'mei</t>
    </rPh>
    <phoneticPr fontId="3" type="noConversion"/>
  </si>
  <si>
    <t>500ETF</t>
    <phoneticPr fontId="3" type="noConversion"/>
  </si>
  <si>
    <t>环保</t>
    <rPh sb="0" eb="1">
      <t>huan'b</t>
    </rPh>
    <phoneticPr fontId="3" type="noConversion"/>
  </si>
  <si>
    <t>1000ETF</t>
    <phoneticPr fontId="3" type="noConversion"/>
  </si>
  <si>
    <t>1000ETF</t>
    <phoneticPr fontId="3" type="noConversion"/>
  </si>
  <si>
    <t>环保</t>
    <rPh sb="0" eb="1">
      <t>h'b</t>
    </rPh>
    <phoneticPr fontId="3" type="noConversion"/>
  </si>
  <si>
    <t>海外债</t>
    <rPh sb="0" eb="1">
      <t>hai'wai'z</t>
    </rPh>
    <phoneticPr fontId="3" type="noConversion"/>
  </si>
  <si>
    <t>传媒</t>
    <rPh sb="0" eb="1">
      <t>c'm</t>
    </rPh>
    <phoneticPr fontId="3" type="noConversion"/>
  </si>
  <si>
    <t>黄金</t>
    <rPh sb="0" eb="1">
      <t>huang'j</t>
    </rPh>
    <phoneticPr fontId="3" type="noConversion"/>
  </si>
  <si>
    <t>证券</t>
    <rPh sb="0" eb="1">
      <t>zheng'quan</t>
    </rPh>
    <phoneticPr fontId="3" type="noConversion"/>
  </si>
  <si>
    <t>可转债</t>
    <rPh sb="0" eb="1">
      <t>ke'z'z</t>
    </rPh>
    <phoneticPr fontId="3" type="noConversion"/>
  </si>
  <si>
    <t>金融地产</t>
    <rPh sb="0" eb="1">
      <t>j'r'd'c</t>
    </rPh>
    <phoneticPr fontId="3" type="noConversion"/>
  </si>
  <si>
    <t>300ETF</t>
    <phoneticPr fontId="3" type="noConversion"/>
  </si>
  <si>
    <t>300ETF</t>
    <phoneticPr fontId="3" type="noConversion"/>
  </si>
  <si>
    <t>证券</t>
    <rPh sb="0" eb="1">
      <t>z'q</t>
    </rPh>
    <phoneticPr fontId="3" type="noConversion"/>
  </si>
  <si>
    <t>养老</t>
    <rPh sb="0" eb="1">
      <t>y'l</t>
    </rPh>
    <phoneticPr fontId="3" type="noConversion"/>
  </si>
  <si>
    <t>50ETF</t>
    <phoneticPr fontId="3" type="noConversion"/>
  </si>
  <si>
    <t>白银</t>
    <rPh sb="0" eb="1">
      <t>bai'y</t>
    </rPh>
    <phoneticPr fontId="3" type="noConversion"/>
  </si>
  <si>
    <t>1000ETF</t>
    <phoneticPr fontId="3" type="noConversion"/>
  </si>
  <si>
    <t>500ETF</t>
    <phoneticPr fontId="3" type="noConversion"/>
  </si>
  <si>
    <t>1000ETF</t>
    <phoneticPr fontId="3" type="noConversion"/>
  </si>
  <si>
    <t>500ETF</t>
    <phoneticPr fontId="3" type="noConversion"/>
  </si>
  <si>
    <t>300ETF</t>
    <phoneticPr fontId="3" type="noConversion"/>
  </si>
  <si>
    <t>海外债</t>
    <rPh sb="0" eb="1">
      <t>hai'w'z</t>
    </rPh>
    <phoneticPr fontId="3" type="noConversion"/>
  </si>
  <si>
    <t>代码</t>
    <rPh sb="0" eb="1">
      <t>dai'ma</t>
    </rPh>
    <phoneticPr fontId="3" type="noConversion"/>
  </si>
  <si>
    <t>红利场外</t>
  </si>
  <si>
    <t>50ETF</t>
  </si>
  <si>
    <t>300ETF</t>
  </si>
  <si>
    <t>创业板</t>
  </si>
  <si>
    <t>医药ETF</t>
  </si>
  <si>
    <t>医药场外</t>
  </si>
  <si>
    <t>养老场外</t>
  </si>
  <si>
    <t>环保场外</t>
  </si>
  <si>
    <t>金融场外</t>
  </si>
  <si>
    <t>德国30</t>
  </si>
  <si>
    <t>恒生</t>
  </si>
  <si>
    <t>7-10国债</t>
  </si>
  <si>
    <t>海外债</t>
  </si>
  <si>
    <t>001180</t>
    <phoneticPr fontId="3" type="noConversion"/>
  </si>
  <si>
    <t>001469</t>
    <phoneticPr fontId="3" type="noConversion"/>
  </si>
  <si>
    <t>000614</t>
    <phoneticPr fontId="3" type="noConversion"/>
  </si>
  <si>
    <t>003376</t>
    <phoneticPr fontId="3" type="noConversion"/>
  </si>
  <si>
    <t>最新市值</t>
    <rPh sb="0" eb="1">
      <t>zui'x</t>
    </rPh>
    <phoneticPr fontId="3" type="noConversion"/>
  </si>
  <si>
    <t>持仓PE</t>
    <phoneticPr fontId="3" type="noConversion"/>
  </si>
  <si>
    <t>持仓PB</t>
    <rPh sb="0" eb="1">
      <t>chi'c</t>
    </rPh>
    <phoneticPr fontId="3" type="noConversion"/>
  </si>
  <si>
    <t>指数PE</t>
    <phoneticPr fontId="3" type="noConversion"/>
  </si>
  <si>
    <t>PE折算率</t>
    <phoneticPr fontId="3" type="noConversion"/>
  </si>
  <si>
    <t>指数PB</t>
    <rPh sb="0" eb="1">
      <t>zhi'shu</t>
    </rPh>
    <phoneticPr fontId="3" type="noConversion"/>
  </si>
  <si>
    <t>PB折算率</t>
    <rPh sb="2" eb="3">
      <t>zhe'suan'l</t>
    </rPh>
    <phoneticPr fontId="3" type="noConversion"/>
  </si>
  <si>
    <t>份额PE价值</t>
    <phoneticPr fontId="3" type="noConversion"/>
  </si>
  <si>
    <t>份额PB价值</t>
    <phoneticPr fontId="3" type="noConversion"/>
  </si>
  <si>
    <t>估值PE</t>
    <phoneticPr fontId="3" type="noConversion"/>
  </si>
  <si>
    <t>估值PB</t>
    <rPh sb="0" eb="1">
      <t>gu'zhi</t>
    </rPh>
    <phoneticPr fontId="3" type="noConversion"/>
  </si>
  <si>
    <t>投资组合盈亏</t>
    <rPh sb="0" eb="1">
      <t>tou'zi</t>
    </rPh>
    <rPh sb="2" eb="3">
      <t>zu'he</t>
    </rPh>
    <rPh sb="4" eb="5">
      <t>ying'k</t>
    </rPh>
    <phoneticPr fontId="3" type="noConversion"/>
  </si>
  <si>
    <t>权益类盈亏</t>
    <rPh sb="0" eb="1">
      <t>quan'yi'lei</t>
    </rPh>
    <rPh sb="3" eb="4">
      <t>ying'k</t>
    </rPh>
    <phoneticPr fontId="3" type="noConversion"/>
  </si>
  <si>
    <t>富国沪深300指数增强</t>
    <rPh sb="0" eb="1">
      <t>fu'guo</t>
    </rPh>
    <rPh sb="2" eb="3">
      <t>hu'shen</t>
    </rPh>
    <rPh sb="7" eb="8">
      <t>zhi'shu</t>
    </rPh>
    <rPh sb="9" eb="10">
      <t>zeng'q</t>
    </rPh>
    <phoneticPr fontId="3" type="noConversion"/>
  </si>
  <si>
    <t>金融地产</t>
  </si>
  <si>
    <t>创业板</t>
    <phoneticPr fontId="3" type="noConversion"/>
  </si>
  <si>
    <t>持仓估值</t>
    <phoneticPr fontId="3" type="noConversion"/>
  </si>
  <si>
    <t>历史最高</t>
    <phoneticPr fontId="3" type="noConversion"/>
  </si>
  <si>
    <t>相关指数</t>
    <phoneticPr fontId="3" type="noConversion"/>
  </si>
  <si>
    <t>000992</t>
    <phoneticPr fontId="3" type="noConversion"/>
  </si>
  <si>
    <t>000016</t>
    <phoneticPr fontId="3" type="noConversion"/>
  </si>
  <si>
    <t>000300</t>
    <phoneticPr fontId="3" type="noConversion"/>
  </si>
  <si>
    <t>000905</t>
    <phoneticPr fontId="3" type="noConversion"/>
  </si>
  <si>
    <t>原材料</t>
  </si>
  <si>
    <t>能源</t>
  </si>
  <si>
    <t>工业</t>
  </si>
  <si>
    <t>可选消费</t>
  </si>
  <si>
    <t>主要消费</t>
  </si>
  <si>
    <t>医药卫生</t>
  </si>
  <si>
    <t>信息技术</t>
  </si>
  <si>
    <t>公用事业</t>
  </si>
  <si>
    <t>中证红利</t>
    <phoneticPr fontId="3" type="noConversion"/>
  </si>
  <si>
    <t>电信业务</t>
  </si>
  <si>
    <t>上证50</t>
    <phoneticPr fontId="3" type="noConversion"/>
  </si>
  <si>
    <t>沪深300</t>
    <phoneticPr fontId="3" type="noConversion"/>
  </si>
  <si>
    <t>中证500</t>
    <phoneticPr fontId="3" type="noConversion"/>
  </si>
  <si>
    <t>000852</t>
    <phoneticPr fontId="3" type="noConversion"/>
  </si>
  <si>
    <t>中证1000</t>
    <phoneticPr fontId="3" type="noConversion"/>
  </si>
  <si>
    <t>000991</t>
    <phoneticPr fontId="3" type="noConversion"/>
  </si>
  <si>
    <t>全指医药</t>
    <phoneticPr fontId="3" type="noConversion"/>
  </si>
  <si>
    <t>399975</t>
    <phoneticPr fontId="3" type="noConversion"/>
  </si>
  <si>
    <t>证券公司</t>
    <phoneticPr fontId="3" type="noConversion"/>
  </si>
  <si>
    <t>金融地产</t>
    <phoneticPr fontId="3" type="noConversion"/>
  </si>
  <si>
    <t>399812</t>
    <phoneticPr fontId="3" type="noConversion"/>
  </si>
  <si>
    <t>养老产业</t>
    <phoneticPr fontId="3" type="noConversion"/>
  </si>
  <si>
    <t>399971</t>
    <phoneticPr fontId="3" type="noConversion"/>
  </si>
  <si>
    <t>中证传媒</t>
    <phoneticPr fontId="3" type="noConversion"/>
  </si>
  <si>
    <t>000827</t>
    <phoneticPr fontId="3" type="noConversion"/>
  </si>
  <si>
    <t>中证环保</t>
    <phoneticPr fontId="3" type="noConversion"/>
  </si>
  <si>
    <t>组合持仓</t>
    <phoneticPr fontId="3" type="noConversion"/>
  </si>
  <si>
    <t>投资组合</t>
    <phoneticPr fontId="3" type="noConversion"/>
  </si>
  <si>
    <t>中证行业分类</t>
    <phoneticPr fontId="3" type="noConversion"/>
  </si>
  <si>
    <t>code</t>
  </si>
  <si>
    <t>000059.XSHE</t>
  </si>
  <si>
    <t>HY001</t>
  </si>
  <si>
    <t>000096.XSHE</t>
  </si>
  <si>
    <t>000159.XSHE</t>
  </si>
  <si>
    <t>000552.XSHE</t>
  </si>
  <si>
    <t>000554.XSHE</t>
  </si>
  <si>
    <t>000723.XSHE</t>
  </si>
  <si>
    <t>000780.XSHE</t>
  </si>
  <si>
    <t>000852.XSHE</t>
  </si>
  <si>
    <t>000937.XSHE</t>
  </si>
  <si>
    <t>000968.XSHE</t>
  </si>
  <si>
    <t>000983.XSHE</t>
  </si>
  <si>
    <t>002018.XSHE</t>
  </si>
  <si>
    <t>002128.XSHE</t>
  </si>
  <si>
    <t>002207.XSHE</t>
  </si>
  <si>
    <t>002221.XSHE</t>
  </si>
  <si>
    <t>002267.XSHE</t>
  </si>
  <si>
    <t>002278.XSHE</t>
  </si>
  <si>
    <t>002353.XSHE</t>
  </si>
  <si>
    <t>002490.XSHE</t>
  </si>
  <si>
    <t>002554.XSHE</t>
  </si>
  <si>
    <t>002629.XSHE</t>
  </si>
  <si>
    <t>002778.XSHE</t>
  </si>
  <si>
    <t>002828.XSHE</t>
  </si>
  <si>
    <t>300084.XSHE</t>
  </si>
  <si>
    <t>300157.XSHE</t>
  </si>
  <si>
    <t>300164.XSHE</t>
  </si>
  <si>
    <t>300191.XSHE</t>
  </si>
  <si>
    <t>600028.XSHG</t>
  </si>
  <si>
    <t>600121.XSHG</t>
  </si>
  <si>
    <t>600123.XSHG</t>
  </si>
  <si>
    <t>600157.XSHG</t>
  </si>
  <si>
    <t>600188.XSHG</t>
  </si>
  <si>
    <t>600256.XSHG</t>
  </si>
  <si>
    <t>600339.XSHG</t>
  </si>
  <si>
    <t>600348.XSHG</t>
  </si>
  <si>
    <t>600387.XSHG</t>
  </si>
  <si>
    <t>600395.XSHG</t>
  </si>
  <si>
    <t>600397.XSHG</t>
  </si>
  <si>
    <t>600403.XSHG</t>
  </si>
  <si>
    <t>600408.XSHG</t>
  </si>
  <si>
    <t>600508.XSHG</t>
  </si>
  <si>
    <t>600546.XSHG</t>
  </si>
  <si>
    <t>600583.XSHG</t>
  </si>
  <si>
    <t>600688.XSHG</t>
  </si>
  <si>
    <t>600740.XSHG</t>
  </si>
  <si>
    <t>600759.XSHG</t>
  </si>
  <si>
    <t>600777.XSHG</t>
  </si>
  <si>
    <t>600792.XSHG</t>
  </si>
  <si>
    <t>600856.XSHG</t>
  </si>
  <si>
    <t>600871.XSHG</t>
  </si>
  <si>
    <t>600971.XSHG</t>
  </si>
  <si>
    <t>600997.XSHG</t>
  </si>
  <si>
    <t>601001.XSHG</t>
  </si>
  <si>
    <t>601011.XSHG</t>
  </si>
  <si>
    <t>601015.XSHG</t>
  </si>
  <si>
    <t>601088.XSHG</t>
  </si>
  <si>
    <t>601101.XSHG</t>
  </si>
  <si>
    <t>601225.XSHG</t>
  </si>
  <si>
    <t>601666.XSHG</t>
  </si>
  <si>
    <t>601699.XSHG</t>
  </si>
  <si>
    <t>601798.XSHG</t>
  </si>
  <si>
    <t>601808.XSHG</t>
  </si>
  <si>
    <t>601857.XSHG</t>
  </si>
  <si>
    <t>601898.XSHG</t>
  </si>
  <si>
    <t>601918.XSHG</t>
  </si>
  <si>
    <t>603003.XSHG</t>
  </si>
  <si>
    <t>603036.XSHG</t>
  </si>
  <si>
    <t>603113.XSHG</t>
  </si>
  <si>
    <t>603619.XSHG</t>
  </si>
  <si>
    <t>603689.XSHG</t>
  </si>
  <si>
    <t>603727.XSHG</t>
  </si>
  <si>
    <t>603798.XSHG</t>
  </si>
  <si>
    <t>603800.XSHG</t>
  </si>
  <si>
    <t>603906.XSHG</t>
  </si>
  <si>
    <t>000012.XSHE</t>
  </si>
  <si>
    <t>HY002</t>
  </si>
  <si>
    <t>000023.XSHE</t>
  </si>
  <si>
    <t>000060.XSHE</t>
  </si>
  <si>
    <t>000301.XSHE</t>
  </si>
  <si>
    <t>000401.XSHE</t>
  </si>
  <si>
    <t>000408.XSHE</t>
  </si>
  <si>
    <t>000420.XSHE</t>
  </si>
  <si>
    <t>000422.XSHE</t>
  </si>
  <si>
    <t>000426.XSHE</t>
  </si>
  <si>
    <t>000488.XSHE</t>
  </si>
  <si>
    <t>000510.XSHE</t>
  </si>
  <si>
    <t>000525.XSHE</t>
  </si>
  <si>
    <t>000545.XSHE</t>
  </si>
  <si>
    <t>000546.XSHE</t>
  </si>
  <si>
    <t>000553.XSHE</t>
  </si>
  <si>
    <t>000565.XSHE</t>
  </si>
  <si>
    <t>000576.XSHE</t>
  </si>
  <si>
    <t>000592.XSHE</t>
  </si>
  <si>
    <t>000603.XSHE</t>
  </si>
  <si>
    <t>000612.XSHE</t>
  </si>
  <si>
    <t>000629.XSHE</t>
  </si>
  <si>
    <t>000630.XSHE</t>
  </si>
  <si>
    <t>000633.XSHE</t>
  </si>
  <si>
    <t>000635.XSHE</t>
  </si>
  <si>
    <t>000637.XSHE</t>
  </si>
  <si>
    <t>000655.XSHE</t>
  </si>
  <si>
    <t>000657.XSHE</t>
  </si>
  <si>
    <t>000659.XSHE</t>
  </si>
  <si>
    <t>000672.XSHE</t>
  </si>
  <si>
    <t>000677.XSHE</t>
  </si>
  <si>
    <t>000683.XSHE</t>
  </si>
  <si>
    <t>000688.XSHE</t>
  </si>
  <si>
    <t>000693.XSHE</t>
  </si>
  <si>
    <t>000698.XSHE</t>
  </si>
  <si>
    <t>000703.XSHE</t>
  </si>
  <si>
    <t>000707.XSHE</t>
  </si>
  <si>
    <t>000708.XSHE</t>
  </si>
  <si>
    <t>000709.XSHE</t>
  </si>
  <si>
    <t>000717.XSHE</t>
  </si>
  <si>
    <t>000731.XSHE</t>
  </si>
  <si>
    <t>000751.XSHE</t>
  </si>
  <si>
    <t>000755.XSHE</t>
  </si>
  <si>
    <t>000758.XSHE</t>
  </si>
  <si>
    <t>000761.XSHE</t>
  </si>
  <si>
    <t>000762.XSHE</t>
  </si>
  <si>
    <t>000778.XSHE</t>
  </si>
  <si>
    <t>000782.XSHE</t>
  </si>
  <si>
    <t>000786.XSHE</t>
  </si>
  <si>
    <t>000789.XSHE</t>
  </si>
  <si>
    <t>000792.XSHE</t>
  </si>
  <si>
    <t>000795.XSHE</t>
  </si>
  <si>
    <t>000807.XSHE</t>
  </si>
  <si>
    <t>000815.XSHE</t>
  </si>
  <si>
    <t>000818.XSHE</t>
  </si>
  <si>
    <t>000819.XSHE</t>
  </si>
  <si>
    <t>000822.XSHE</t>
  </si>
  <si>
    <t>000825.XSHE</t>
  </si>
  <si>
    <t>000830.XSHE</t>
  </si>
  <si>
    <t>000831.XSHE</t>
  </si>
  <si>
    <t>000859.XSHE</t>
  </si>
  <si>
    <t>000877.XSHE</t>
  </si>
  <si>
    <t>000878.XSHE</t>
  </si>
  <si>
    <t>000890.XSHE</t>
  </si>
  <si>
    <t>000898.XSHE</t>
  </si>
  <si>
    <t>000902.XSHE</t>
  </si>
  <si>
    <t>000910.XSHE</t>
  </si>
  <si>
    <t>000912.XSHE</t>
  </si>
  <si>
    <t>000920.XSHE</t>
  </si>
  <si>
    <t>000923.XSHE</t>
  </si>
  <si>
    <t>000930.XSHE</t>
  </si>
  <si>
    <t>000932.XSHE</t>
  </si>
  <si>
    <t>000933.XSHE</t>
  </si>
  <si>
    <t>000935.XSHE</t>
  </si>
  <si>
    <t>000936.XSHE</t>
  </si>
  <si>
    <t>000949.XSHE</t>
  </si>
  <si>
    <t>000953.XSHE</t>
  </si>
  <si>
    <t>000959.XSHE</t>
  </si>
  <si>
    <t>000960.XSHE</t>
  </si>
  <si>
    <t>000962.XSHE</t>
  </si>
  <si>
    <t>000969.XSHE</t>
  </si>
  <si>
    <t>000970.XSHE</t>
  </si>
  <si>
    <t>000973.XSHE</t>
  </si>
  <si>
    <t>000975.XSHE</t>
  </si>
  <si>
    <t>000985.XSHE</t>
  </si>
  <si>
    <t>000990.XSHE</t>
  </si>
  <si>
    <t>002002.XSHE</t>
  </si>
  <si>
    <t>002004.XSHE</t>
  </si>
  <si>
    <t>002012.XSHE</t>
  </si>
  <si>
    <t>002014.XSHE</t>
  </si>
  <si>
    <t>002037.XSHE</t>
  </si>
  <si>
    <t>002043.XSHE</t>
  </si>
  <si>
    <t>002053.XSHE</t>
  </si>
  <si>
    <t>002054.XSHE</t>
  </si>
  <si>
    <t>002056.XSHE</t>
  </si>
  <si>
    <t>002057.XSHE</t>
  </si>
  <si>
    <t>002064.XSHE</t>
  </si>
  <si>
    <t>002066.XSHE</t>
  </si>
  <si>
    <t>002067.XSHE</t>
  </si>
  <si>
    <t>002068.XSHE</t>
  </si>
  <si>
    <t>002070.XSHE</t>
  </si>
  <si>
    <t>002075.XSHE</t>
  </si>
  <si>
    <t>002078.XSHE</t>
  </si>
  <si>
    <t>002080.XSHE</t>
  </si>
  <si>
    <t>002082.XSHE</t>
  </si>
  <si>
    <t>002088.XSHE</t>
  </si>
  <si>
    <t>002092.XSHE</t>
  </si>
  <si>
    <t>002096.XSHE</t>
  </si>
  <si>
    <t>002108.XSHE</t>
  </si>
  <si>
    <t>002109.XSHE</t>
  </si>
  <si>
    <t>002110.XSHE</t>
  </si>
  <si>
    <t>002114.XSHE</t>
  </si>
  <si>
    <t>002125.XSHE</t>
  </si>
  <si>
    <t>002132.XSHE</t>
  </si>
  <si>
    <t>002136.XSHE</t>
  </si>
  <si>
    <t>002145.XSHE</t>
  </si>
  <si>
    <t>002149.XSHE</t>
  </si>
  <si>
    <t>002155.XSHE</t>
  </si>
  <si>
    <t>002160.XSHE</t>
  </si>
  <si>
    <t>002162.XSHE</t>
  </si>
  <si>
    <t>002165.XSHE</t>
  </si>
  <si>
    <t>002167.XSHE</t>
  </si>
  <si>
    <t>002170.XSHE</t>
  </si>
  <si>
    <t>002171.XSHE</t>
  </si>
  <si>
    <t>002182.XSHE</t>
  </si>
  <si>
    <t>002192.XSHE</t>
  </si>
  <si>
    <t>002201.XSHE</t>
  </si>
  <si>
    <t>002203.XSHE</t>
  </si>
  <si>
    <t>002205.XSHE</t>
  </si>
  <si>
    <t>002206.XSHE</t>
  </si>
  <si>
    <t>002211.XSHE</t>
  </si>
  <si>
    <t>002215.XSHE</t>
  </si>
  <si>
    <t>002224.XSHE</t>
  </si>
  <si>
    <t>002225.XSHE</t>
  </si>
  <si>
    <t>002226.XSHE</t>
  </si>
  <si>
    <t>002228.XSHE</t>
  </si>
  <si>
    <t>002233.XSHE</t>
  </si>
  <si>
    <t>002237.XSHE</t>
  </si>
  <si>
    <t>002240.XSHE</t>
  </si>
  <si>
    <t>002243.XSHE</t>
  </si>
  <si>
    <t>002246.XSHE</t>
  </si>
  <si>
    <t>002250.XSHE</t>
  </si>
  <si>
    <t>002254.XSHE</t>
  </si>
  <si>
    <t>002256.XSHE</t>
  </si>
  <si>
    <t>002258.XSHE</t>
  </si>
  <si>
    <t>002263.XSHE</t>
  </si>
  <si>
    <t>002271.XSHE</t>
  </si>
  <si>
    <t>002274.XSHE</t>
  </si>
  <si>
    <t>002295.XSHE</t>
  </si>
  <si>
    <t>002302.XSHE</t>
  </si>
  <si>
    <t>002303.XSHE</t>
  </si>
  <si>
    <t>002318.XSHE</t>
  </si>
  <si>
    <t>002319.XSHE</t>
  </si>
  <si>
    <t>002324.XSHE</t>
  </si>
  <si>
    <t>002326.XSHE</t>
  </si>
  <si>
    <t>002340.XSHE</t>
  </si>
  <si>
    <t>002341.XSHE</t>
  </si>
  <si>
    <t>002360.XSHE</t>
  </si>
  <si>
    <t>002361.XSHE</t>
  </si>
  <si>
    <t>002378.XSHE</t>
  </si>
  <si>
    <t>002379.XSHE</t>
  </si>
  <si>
    <t>002381.XSHE</t>
  </si>
  <si>
    <t>002386.XSHE</t>
  </si>
  <si>
    <t>002391.XSHE</t>
  </si>
  <si>
    <t>002392.XSHE</t>
  </si>
  <si>
    <t>002395.XSHE</t>
  </si>
  <si>
    <t>002398.XSHE</t>
  </si>
  <si>
    <t>002407.XSHE</t>
  </si>
  <si>
    <t>002408.XSHE</t>
  </si>
  <si>
    <t>002409.XSHE</t>
  </si>
  <si>
    <t>002427.XSHE</t>
  </si>
  <si>
    <t>002428.XSHE</t>
  </si>
  <si>
    <t>002440.XSHE</t>
  </si>
  <si>
    <t>002442.XSHE</t>
  </si>
  <si>
    <t>002443.XSHE</t>
  </si>
  <si>
    <t>002450.XSHE</t>
  </si>
  <si>
    <t>002455.XSHE</t>
  </si>
  <si>
    <t>002457.XSHE</t>
  </si>
  <si>
    <t>002460.XSHE</t>
  </si>
  <si>
    <t>002466.XSHE</t>
  </si>
  <si>
    <t>002470.XSHE</t>
  </si>
  <si>
    <t>002476.XSHE</t>
  </si>
  <si>
    <t>002478.XSHE</t>
  </si>
  <si>
    <t>002493.XSHE</t>
  </si>
  <si>
    <t>002496.XSHE</t>
  </si>
  <si>
    <t>002497.XSHE</t>
  </si>
  <si>
    <t>002501.XSHE</t>
  </si>
  <si>
    <t>002513.XSHE</t>
  </si>
  <si>
    <t>002521.XSHE</t>
  </si>
  <si>
    <t>002522.XSHE</t>
  </si>
  <si>
    <t>002529.XSHE</t>
  </si>
  <si>
    <t>002538.XSHE</t>
  </si>
  <si>
    <t>002539.XSHE</t>
  </si>
  <si>
    <t>002540.XSHE</t>
  </si>
  <si>
    <t>002549.XSHE</t>
  </si>
  <si>
    <t>002556.XSHE</t>
  </si>
  <si>
    <t>002562.XSHE</t>
  </si>
  <si>
    <t>002565.XSHE</t>
  </si>
  <si>
    <t>002578.XSHE</t>
  </si>
  <si>
    <t>002584.XSHE</t>
  </si>
  <si>
    <t>002585.XSHE</t>
  </si>
  <si>
    <t>002588.XSHE</t>
  </si>
  <si>
    <t>002591.XSHE</t>
  </si>
  <si>
    <t>002593.XSHE</t>
  </si>
  <si>
    <t>002596.XSHE</t>
  </si>
  <si>
    <t>002597.XSHE</t>
  </si>
  <si>
    <t>002601.XSHE</t>
  </si>
  <si>
    <t>002631.XSHE</t>
  </si>
  <si>
    <t>002632.XSHE</t>
  </si>
  <si>
    <t>002637.XSHE</t>
  </si>
  <si>
    <t>002643.XSHE</t>
  </si>
  <si>
    <t>002648.XSHE</t>
  </si>
  <si>
    <t>002666.XSHE</t>
  </si>
  <si>
    <t>002669.XSHE</t>
  </si>
  <si>
    <t>002671.XSHE</t>
  </si>
  <si>
    <t>002676.XSHE</t>
  </si>
  <si>
    <t>002679.XSHE</t>
  </si>
  <si>
    <t>002683.XSHE</t>
  </si>
  <si>
    <t>002701.XSHE</t>
  </si>
  <si>
    <t>002709.XSHE</t>
  </si>
  <si>
    <t>002716.XSHE</t>
  </si>
  <si>
    <t>002734.XSHE</t>
  </si>
  <si>
    <t>002735.XSHE</t>
  </si>
  <si>
    <t>002741.XSHE</t>
  </si>
  <si>
    <t>002742.XSHE</t>
  </si>
  <si>
    <t>002748.XSHE</t>
  </si>
  <si>
    <t>002749.XSHE</t>
  </si>
  <si>
    <t>002752.XSHE</t>
  </si>
  <si>
    <t>002753.XSHE</t>
  </si>
  <si>
    <t>002756.XSHE</t>
  </si>
  <si>
    <t>002768.XSHE</t>
  </si>
  <si>
    <t>002783.XSHE</t>
  </si>
  <si>
    <t>002785.XSHE</t>
  </si>
  <si>
    <t>002787.XSHE</t>
  </si>
  <si>
    <t>002799.XSHE</t>
  </si>
  <si>
    <t>002802.XSHE</t>
  </si>
  <si>
    <t>002803.XSHE</t>
  </si>
  <si>
    <t>002805.XSHE</t>
  </si>
  <si>
    <t>002806.XSHE</t>
  </si>
  <si>
    <t>002809.XSHE</t>
  </si>
  <si>
    <t>002810.XSHE</t>
  </si>
  <si>
    <t>002812.XSHE</t>
  </si>
  <si>
    <t>002824.XSHE</t>
  </si>
  <si>
    <t>002825.XSHE</t>
  </si>
  <si>
    <t>002827.XSHE</t>
  </si>
  <si>
    <t>002831.XSHE</t>
  </si>
  <si>
    <t>002838.XSHE</t>
  </si>
  <si>
    <t>002842.XSHE</t>
  </si>
  <si>
    <t>002846.XSHE</t>
  </si>
  <si>
    <t>002886.XSHE</t>
  </si>
  <si>
    <t>002895.XSHE</t>
  </si>
  <si>
    <t>002909.XSHE</t>
  </si>
  <si>
    <t>002915.XSHE</t>
  </si>
  <si>
    <t>002917.XSHE</t>
  </si>
  <si>
    <t>002918.XSHE</t>
  </si>
  <si>
    <t>300019.XSHE</t>
  </si>
  <si>
    <t>300034.XSHE</t>
  </si>
  <si>
    <t>300037.XSHE</t>
  </si>
  <si>
    <t>300041.XSHE</t>
  </si>
  <si>
    <t>300054.XSHE</t>
  </si>
  <si>
    <t>300057.XSHE</t>
  </si>
  <si>
    <t>300064.XSHE</t>
  </si>
  <si>
    <t>300067.XSHE</t>
  </si>
  <si>
    <t>300073.XSHE</t>
  </si>
  <si>
    <t>300082.XSHE</t>
  </si>
  <si>
    <t>300093.XSHE</t>
  </si>
  <si>
    <t>300107.XSHE</t>
  </si>
  <si>
    <t>300109.XSHE</t>
  </si>
  <si>
    <t>300121.XSHE</t>
  </si>
  <si>
    <t>300127.XSHE</t>
  </si>
  <si>
    <t>300132.XSHE</t>
  </si>
  <si>
    <t>300135.XSHE</t>
  </si>
  <si>
    <t>300163.XSHE</t>
  </si>
  <si>
    <t>300169.XSHE</t>
  </si>
  <si>
    <t>300174.XSHE</t>
  </si>
  <si>
    <t>300179.XSHE</t>
  </si>
  <si>
    <t>300180.XSHE</t>
  </si>
  <si>
    <t>300192.XSHE</t>
  </si>
  <si>
    <t>300196.XSHE</t>
  </si>
  <si>
    <t>300198.XSHE</t>
  </si>
  <si>
    <t>300200.XSHE</t>
  </si>
  <si>
    <t>300214.XSHE</t>
  </si>
  <si>
    <t>300218.XSHE</t>
  </si>
  <si>
    <t>300221.XSHE</t>
  </si>
  <si>
    <t>300224.XSHE</t>
  </si>
  <si>
    <t>300225.XSHE</t>
  </si>
  <si>
    <t>300236.XSHE</t>
  </si>
  <si>
    <t>300243.XSHE</t>
  </si>
  <si>
    <t>300261.XSHE</t>
  </si>
  <si>
    <t>300285.XSHE</t>
  </si>
  <si>
    <t>300305.XSHE</t>
  </si>
  <si>
    <t>300320.XSHE</t>
  </si>
  <si>
    <t>300321.XSHE</t>
  </si>
  <si>
    <t>300325.XSHE</t>
  </si>
  <si>
    <t>300328.XSHE</t>
  </si>
  <si>
    <t>300337.XSHE</t>
  </si>
  <si>
    <t>300340.XSHE</t>
  </si>
  <si>
    <t>300387.XSHE</t>
  </si>
  <si>
    <t>300395.XSHE</t>
  </si>
  <si>
    <t>300398.XSHE</t>
  </si>
  <si>
    <t>300405.XSHE</t>
  </si>
  <si>
    <t>300409.XSHE</t>
  </si>
  <si>
    <t>300428.XSHE</t>
  </si>
  <si>
    <t>300429.XSHE</t>
  </si>
  <si>
    <t>300437.XSHE</t>
  </si>
  <si>
    <t>300446.XSHE</t>
  </si>
  <si>
    <t>300478.XSHE</t>
  </si>
  <si>
    <t>300481.XSHE</t>
  </si>
  <si>
    <t>300487.XSHE</t>
  </si>
  <si>
    <t>300489.XSHE</t>
  </si>
  <si>
    <t>300501.XSHE</t>
  </si>
  <si>
    <t>300505.XSHE</t>
  </si>
  <si>
    <t>300522.XSHE</t>
  </si>
  <si>
    <t>300530.XSHE</t>
  </si>
  <si>
    <t>300535.XSHE</t>
  </si>
  <si>
    <t>300537.XSHE</t>
  </si>
  <si>
    <t>300539.XSHE</t>
  </si>
  <si>
    <t>300554.XSHE</t>
  </si>
  <si>
    <t>300568.XSHE</t>
  </si>
  <si>
    <t>300575.XSHE</t>
  </si>
  <si>
    <t>300576.XSHE</t>
  </si>
  <si>
    <t>300586.XSHE</t>
  </si>
  <si>
    <t>300587.XSHE</t>
  </si>
  <si>
    <t>300596.XSHE</t>
  </si>
  <si>
    <t>300610.XSHE</t>
  </si>
  <si>
    <t>300618.XSHE</t>
  </si>
  <si>
    <t>300637.XSHE</t>
  </si>
  <si>
    <t>300641.XSHE</t>
  </si>
  <si>
    <t>300644.XSHE</t>
  </si>
  <si>
    <t>300655.XSHE</t>
  </si>
  <si>
    <t>300665.XSHE</t>
  </si>
  <si>
    <t>300684.XSHE</t>
  </si>
  <si>
    <t>300697.XSHE</t>
  </si>
  <si>
    <t>300699.XSHE</t>
  </si>
  <si>
    <t>300700.XSHE</t>
  </si>
  <si>
    <t>300715.XSHE</t>
  </si>
  <si>
    <t>300716.XSHE</t>
  </si>
  <si>
    <t>300717.XSHE</t>
  </si>
  <si>
    <t>300721.XSHE</t>
  </si>
  <si>
    <t>300727.XSHE</t>
  </si>
  <si>
    <t>300731.XSHE</t>
  </si>
  <si>
    <t>300737.XSHE</t>
  </si>
  <si>
    <t>300748.XSHE</t>
  </si>
  <si>
    <t>600010.XSHG</t>
  </si>
  <si>
    <t>600019.XSHG</t>
  </si>
  <si>
    <t>600022.XSHG</t>
  </si>
  <si>
    <t>600063.XSHG</t>
  </si>
  <si>
    <t>600069.XSHG</t>
  </si>
  <si>
    <t>600075.XSHG</t>
  </si>
  <si>
    <t>600076.XSHG</t>
  </si>
  <si>
    <t>600078.XSHG</t>
  </si>
  <si>
    <t>600091.XSHG</t>
  </si>
  <si>
    <t>600096.XSHG</t>
  </si>
  <si>
    <t>600103.XSHG</t>
  </si>
  <si>
    <t>600110.XSHG</t>
  </si>
  <si>
    <t>600111.XSHG</t>
  </si>
  <si>
    <t>600117.XSHG</t>
  </si>
  <si>
    <t>600126.XSHG</t>
  </si>
  <si>
    <t>600135.XSHG</t>
  </si>
  <si>
    <t>600141.XSHG</t>
  </si>
  <si>
    <t>600143.XSHG</t>
  </si>
  <si>
    <t>600160.XSHG</t>
  </si>
  <si>
    <t>600165.XSHG</t>
  </si>
  <si>
    <t>600172.XSHG</t>
  </si>
  <si>
    <t>600176.XSHG</t>
  </si>
  <si>
    <t>600206.XSHG</t>
  </si>
  <si>
    <t>600207.XSHG</t>
  </si>
  <si>
    <t>600210.XSHG</t>
  </si>
  <si>
    <t>600219.XSHG</t>
  </si>
  <si>
    <t>600226.XSHG</t>
  </si>
  <si>
    <t>600228.XSHG</t>
  </si>
  <si>
    <t>600230.XSHG</t>
  </si>
  <si>
    <t>600231.XSHG</t>
  </si>
  <si>
    <t>600235.XSHG</t>
  </si>
  <si>
    <t>600255.XSHG</t>
  </si>
  <si>
    <t>600259.XSHG</t>
  </si>
  <si>
    <t>600265.XSHG</t>
  </si>
  <si>
    <t>600273.XSHG</t>
  </si>
  <si>
    <t>600277.XSHG</t>
  </si>
  <si>
    <t>600281.XSHG</t>
  </si>
  <si>
    <t>600282.XSHG</t>
  </si>
  <si>
    <t>600301.XSHG</t>
  </si>
  <si>
    <t>600307.XSHG</t>
  </si>
  <si>
    <t>600308.XSHG</t>
  </si>
  <si>
    <t>600309.XSHG</t>
  </si>
  <si>
    <t>600311.XSHG</t>
  </si>
  <si>
    <t>600319.XSHG</t>
  </si>
  <si>
    <t>600328.XSHG</t>
  </si>
  <si>
    <t>600330.XSHG</t>
  </si>
  <si>
    <t>600331.XSHG</t>
  </si>
  <si>
    <t>600338.XSHG</t>
  </si>
  <si>
    <t>600346.XSHG</t>
  </si>
  <si>
    <t>600352.XSHG</t>
  </si>
  <si>
    <t>600356.XSHG</t>
  </si>
  <si>
    <t>600362.XSHG</t>
  </si>
  <si>
    <t>600366.XSHG</t>
  </si>
  <si>
    <t>600367.XSHG</t>
  </si>
  <si>
    <t>600378.XSHG</t>
  </si>
  <si>
    <t>600389.XSHG</t>
  </si>
  <si>
    <t>600392.XSHG</t>
  </si>
  <si>
    <t>600399.XSHG</t>
  </si>
  <si>
    <t>600409.XSHG</t>
  </si>
  <si>
    <t>600423.XSHG</t>
  </si>
  <si>
    <t>600425.XSHG</t>
  </si>
  <si>
    <t>600426.XSHG</t>
  </si>
  <si>
    <t>600433.XSHG</t>
  </si>
  <si>
    <t>600449.XSHG</t>
  </si>
  <si>
    <t>600456.XSHG</t>
  </si>
  <si>
    <t>600458.XSHG</t>
  </si>
  <si>
    <t>600459.XSHG</t>
  </si>
  <si>
    <t>600470.XSHG</t>
  </si>
  <si>
    <t>600486.XSHG</t>
  </si>
  <si>
    <t>600489.XSHG</t>
  </si>
  <si>
    <t>600490.XSHG</t>
  </si>
  <si>
    <t>600497.XSHG</t>
  </si>
  <si>
    <t>600500.XSHG</t>
  </si>
  <si>
    <t>600507.XSHG</t>
  </si>
  <si>
    <t>600516.XSHG</t>
  </si>
  <si>
    <t>600527.XSHG</t>
  </si>
  <si>
    <t>600529.XSHG</t>
  </si>
  <si>
    <t>600531.XSHG</t>
  </si>
  <si>
    <t>600532.XSHG</t>
  </si>
  <si>
    <t>600539.XSHG</t>
  </si>
  <si>
    <t>600547.XSHG</t>
  </si>
  <si>
    <t>600549.XSHG</t>
  </si>
  <si>
    <t>600558.XSHG</t>
  </si>
  <si>
    <t>600567.XSHG</t>
  </si>
  <si>
    <t>600569.XSHG</t>
  </si>
  <si>
    <t>600581.XSHG</t>
  </si>
  <si>
    <t>600585.XSHG</t>
  </si>
  <si>
    <t>600586.XSHG</t>
  </si>
  <si>
    <t>600589.XSHG</t>
  </si>
  <si>
    <t>600595.XSHG</t>
  </si>
  <si>
    <t>600596.XSHG</t>
  </si>
  <si>
    <t>600614.XSHG</t>
  </si>
  <si>
    <t>600615.XSHG</t>
  </si>
  <si>
    <t>600618.XSHG</t>
  </si>
  <si>
    <t>600623.XSHG</t>
  </si>
  <si>
    <t>600636.XSHG</t>
  </si>
  <si>
    <t>600673.XSHG</t>
  </si>
  <si>
    <t>600678.XSHG</t>
  </si>
  <si>
    <t>600691.XSHG</t>
  </si>
  <si>
    <t>600714.XSHG</t>
  </si>
  <si>
    <t>600720.XSHG</t>
  </si>
  <si>
    <t>600722.XSHG</t>
  </si>
  <si>
    <t>600725.XSHG</t>
  </si>
  <si>
    <t>600727.XSHG</t>
  </si>
  <si>
    <t>600731.XSHG</t>
  </si>
  <si>
    <t>600746.XSHG</t>
  </si>
  <si>
    <t>600766.XSHG</t>
  </si>
  <si>
    <t>600768.XSHG</t>
  </si>
  <si>
    <t>600782.XSHG</t>
  </si>
  <si>
    <t>600793.XSHG</t>
  </si>
  <si>
    <t>600796.XSHG</t>
  </si>
  <si>
    <t>600801.XSHG</t>
  </si>
  <si>
    <t>600802.XSHG</t>
  </si>
  <si>
    <t>600803.XSHG</t>
  </si>
  <si>
    <t>600808.XSHG</t>
  </si>
  <si>
    <t>600810.XSHG</t>
  </si>
  <si>
    <t>600819.XSHG</t>
  </si>
  <si>
    <t>600844.XSHG</t>
  </si>
  <si>
    <t>600881.XSHG</t>
  </si>
  <si>
    <t>600883.XSHG</t>
  </si>
  <si>
    <t>600884.XSHG</t>
  </si>
  <si>
    <t>600888.XSHG</t>
  </si>
  <si>
    <t>600889.XSHG</t>
  </si>
  <si>
    <t>600961.XSHG</t>
  </si>
  <si>
    <t>600963.XSHG</t>
  </si>
  <si>
    <t>600966.XSHG</t>
  </si>
  <si>
    <t>600980.XSHG</t>
  </si>
  <si>
    <t>600985.XSHG</t>
  </si>
  <si>
    <t>600988.XSHG</t>
  </si>
  <si>
    <t>600992.XSHG</t>
  </si>
  <si>
    <t>601003.XSHG</t>
  </si>
  <si>
    <t>601005.XSHG</t>
  </si>
  <si>
    <t>601020.XSHG</t>
  </si>
  <si>
    <t>601028.XSHG</t>
  </si>
  <si>
    <t>601069.XSHG</t>
  </si>
  <si>
    <t>601113.XSHG</t>
  </si>
  <si>
    <t>601137.XSHG</t>
  </si>
  <si>
    <t>601168.XSHG</t>
  </si>
  <si>
    <t>601208.XSHG</t>
  </si>
  <si>
    <t>601212.XSHG</t>
  </si>
  <si>
    <t>601216.XSHG</t>
  </si>
  <si>
    <t>601233.XSHG</t>
  </si>
  <si>
    <t>601388.XSHG</t>
  </si>
  <si>
    <t>601600.XSHG</t>
  </si>
  <si>
    <t>601636.XSHG</t>
  </si>
  <si>
    <t>601677.XSHG</t>
  </si>
  <si>
    <t>601678.XSHG</t>
  </si>
  <si>
    <t>601899.XSHG</t>
  </si>
  <si>
    <t>601958.XSHG</t>
  </si>
  <si>
    <t>601968.XSHG</t>
  </si>
  <si>
    <t>601969.XSHG</t>
  </si>
  <si>
    <t>601992.XSHG</t>
  </si>
  <si>
    <t>601996.XSHG</t>
  </si>
  <si>
    <t>603002.XSHG</t>
  </si>
  <si>
    <t>603010.XSHG</t>
  </si>
  <si>
    <t>603021.XSHG</t>
  </si>
  <si>
    <t>603022.XSHG</t>
  </si>
  <si>
    <t>603026.XSHG</t>
  </si>
  <si>
    <t>603028.XSHG</t>
  </si>
  <si>
    <t>603033.XSHG</t>
  </si>
  <si>
    <t>603041.XSHG</t>
  </si>
  <si>
    <t>603045.XSHG</t>
  </si>
  <si>
    <t>603055.XSHG</t>
  </si>
  <si>
    <t>603067.XSHG</t>
  </si>
  <si>
    <t>603077.XSHG</t>
  </si>
  <si>
    <t>603078.XSHG</t>
  </si>
  <si>
    <t>603086.XSHG</t>
  </si>
  <si>
    <t>603110.XSHG</t>
  </si>
  <si>
    <t>603165.XSHG</t>
  </si>
  <si>
    <t>603181.XSHG</t>
  </si>
  <si>
    <t>603188.XSHG</t>
  </si>
  <si>
    <t>603192.XSHG</t>
  </si>
  <si>
    <t>603225.XSHG</t>
  </si>
  <si>
    <t>603226.XSHG</t>
  </si>
  <si>
    <t>603227.XSHG</t>
  </si>
  <si>
    <t>603260.XSHG</t>
  </si>
  <si>
    <t>603278.XSHG</t>
  </si>
  <si>
    <t>603299.XSHG</t>
  </si>
  <si>
    <t>603330.XSHG</t>
  </si>
  <si>
    <t>603360.XSHG</t>
  </si>
  <si>
    <t>603378.XSHG</t>
  </si>
  <si>
    <t>603499.XSHG</t>
  </si>
  <si>
    <t>603505.XSHG</t>
  </si>
  <si>
    <t>603527.XSHG</t>
  </si>
  <si>
    <t>603580.XSHG</t>
  </si>
  <si>
    <t>603585.XSHG</t>
  </si>
  <si>
    <t>603599.XSHG</t>
  </si>
  <si>
    <t>603601.XSHG</t>
  </si>
  <si>
    <t>603607.XSHG</t>
  </si>
  <si>
    <t>603612.XSHG</t>
  </si>
  <si>
    <t>603616.XSHG</t>
  </si>
  <si>
    <t>603639.XSHG</t>
  </si>
  <si>
    <t>603650.XSHG</t>
  </si>
  <si>
    <t>603659.XSHG</t>
  </si>
  <si>
    <t>603663.XSHG</t>
  </si>
  <si>
    <t>603683.XSHG</t>
  </si>
  <si>
    <t>603688.XSHG</t>
  </si>
  <si>
    <t>603722.XSHG</t>
  </si>
  <si>
    <t>603725.XSHG</t>
  </si>
  <si>
    <t>603733.XSHG</t>
  </si>
  <si>
    <t>603737.XSHG</t>
  </si>
  <si>
    <t>603790.XSHG</t>
  </si>
  <si>
    <t>603799.XSHG</t>
  </si>
  <si>
    <t>603810.XSHG</t>
  </si>
  <si>
    <t>603822.XSHG</t>
  </si>
  <si>
    <t>603823.XSHG</t>
  </si>
  <si>
    <t>603826.XSHG</t>
  </si>
  <si>
    <t>603876.XSHG</t>
  </si>
  <si>
    <t>603878.XSHG</t>
  </si>
  <si>
    <t>603879.XSHG</t>
  </si>
  <si>
    <t>603916.XSHG</t>
  </si>
  <si>
    <t>603928.XSHG</t>
  </si>
  <si>
    <t>603937.XSHG</t>
  </si>
  <si>
    <t>603938.XSHG</t>
  </si>
  <si>
    <t>603968.XSHG</t>
  </si>
  <si>
    <t>603969.XSHG</t>
  </si>
  <si>
    <t>603970.XSHG</t>
  </si>
  <si>
    <t>603976.XSHG</t>
  </si>
  <si>
    <t>603977.XSHG</t>
  </si>
  <si>
    <t>603978.XSHG</t>
  </si>
  <si>
    <t>603980.XSHG</t>
  </si>
  <si>
    <t>603991.XSHG</t>
  </si>
  <si>
    <t>603993.XSHG</t>
  </si>
  <si>
    <t>000005.XSHE</t>
  </si>
  <si>
    <t>HY003</t>
  </si>
  <si>
    <t>000008.XSHE</t>
  </si>
  <si>
    <t>000009.XSHE</t>
  </si>
  <si>
    <t>000010.XSHE</t>
  </si>
  <si>
    <t>000018.XSHE</t>
  </si>
  <si>
    <t>000035.XSHE</t>
  </si>
  <si>
    <t>000039.XSHE</t>
  </si>
  <si>
    <t>000049.XSHE</t>
  </si>
  <si>
    <t>000055.XSHE</t>
  </si>
  <si>
    <t>000065.XSHE</t>
  </si>
  <si>
    <t>000068.XSHE</t>
  </si>
  <si>
    <t>000088.XSHE</t>
  </si>
  <si>
    <t>000089.XSHE</t>
  </si>
  <si>
    <t>000090.XSHE</t>
  </si>
  <si>
    <t>000099.XSHE</t>
  </si>
  <si>
    <t>000151.XSHE</t>
  </si>
  <si>
    <t>000155.XSHE</t>
  </si>
  <si>
    <t>000157.XSHE</t>
  </si>
  <si>
    <t>000338.XSHE</t>
  </si>
  <si>
    <t>000400.XSHE</t>
  </si>
  <si>
    <t>000404.XSHE</t>
  </si>
  <si>
    <t>000409.XSHE</t>
  </si>
  <si>
    <t>000410.XSHE</t>
  </si>
  <si>
    <t>000425.XSHE</t>
  </si>
  <si>
    <t>000429.XSHE</t>
  </si>
  <si>
    <t>000498.XSHE</t>
  </si>
  <si>
    <t>000507.XSHE</t>
  </si>
  <si>
    <t>000509.XSHE</t>
  </si>
  <si>
    <t>000519.XSHE</t>
  </si>
  <si>
    <t>000520.XSHE</t>
  </si>
  <si>
    <t>000528.XSHE</t>
  </si>
  <si>
    <t>000529.XSHE</t>
  </si>
  <si>
    <t>000530.XSHE</t>
  </si>
  <si>
    <t>000547.XSHE</t>
  </si>
  <si>
    <t>000548.XSHE</t>
  </si>
  <si>
    <t>000551.XSHE</t>
  </si>
  <si>
    <t>000557.XSHE</t>
  </si>
  <si>
    <t>000570.XSHE</t>
  </si>
  <si>
    <t>000571.XSHE</t>
  </si>
  <si>
    <t>000582.XSHE</t>
  </si>
  <si>
    <t>000584.XSHE</t>
  </si>
  <si>
    <t>000585.XSHE</t>
  </si>
  <si>
    <t>000595.XSHE</t>
  </si>
  <si>
    <t>000619.XSHE</t>
  </si>
  <si>
    <t>000626.XSHE</t>
  </si>
  <si>
    <t>000628.XSHE</t>
  </si>
  <si>
    <t>000632.XSHE</t>
  </si>
  <si>
    <t>000638.XSHE</t>
  </si>
  <si>
    <t>000652.XSHE</t>
  </si>
  <si>
    <t>000666.XSHE</t>
  </si>
  <si>
    <t>000678.XSHE</t>
  </si>
  <si>
    <t>000680.XSHE</t>
  </si>
  <si>
    <t>000682.XSHE</t>
  </si>
  <si>
    <t>000687.XSHE</t>
  </si>
  <si>
    <t>000697.XSHE</t>
  </si>
  <si>
    <t>000701.XSHE</t>
  </si>
  <si>
    <t>000711.XSHE</t>
  </si>
  <si>
    <t>000738.XSHE</t>
  </si>
  <si>
    <t>000768.XSHE</t>
  </si>
  <si>
    <t>000777.XSHE</t>
  </si>
  <si>
    <t>000803.XSHE</t>
  </si>
  <si>
    <t>000806.XSHE</t>
  </si>
  <si>
    <t>000811.XSHE</t>
  </si>
  <si>
    <t>000812.XSHE</t>
  </si>
  <si>
    <t>000816.XSHE</t>
  </si>
  <si>
    <t>000820.XSHE</t>
  </si>
  <si>
    <t>000821.XSHE</t>
  </si>
  <si>
    <t>000826.XSHE</t>
  </si>
  <si>
    <t>000828.XSHE</t>
  </si>
  <si>
    <t>000833.XSHE</t>
  </si>
  <si>
    <t>000837.XSHE</t>
  </si>
  <si>
    <t>000856.XSHE</t>
  </si>
  <si>
    <t>000861.XSHE</t>
  </si>
  <si>
    <t>000880.XSHE</t>
  </si>
  <si>
    <t>000881.XSHE</t>
  </si>
  <si>
    <t>000885.XSHE</t>
  </si>
  <si>
    <t>000886.XSHE</t>
  </si>
  <si>
    <t>000900.XSHE</t>
  </si>
  <si>
    <t>000903.XSHE</t>
  </si>
  <si>
    <t>000905.XSHE</t>
  </si>
  <si>
    <t>000906.XSHE</t>
  </si>
  <si>
    <t>000922.XSHE</t>
  </si>
  <si>
    <t>000925.XSHE</t>
  </si>
  <si>
    <t>000928.XSHE</t>
  </si>
  <si>
    <t>000951.XSHE</t>
  </si>
  <si>
    <t>000967.XSHE</t>
  </si>
  <si>
    <t>000976.XSHE</t>
  </si>
  <si>
    <t>001965.XSHE</t>
  </si>
  <si>
    <t>002006.XSHE</t>
  </si>
  <si>
    <t>002009.XSHE</t>
  </si>
  <si>
    <t>002010.XSHE</t>
  </si>
  <si>
    <t>002011.XSHE</t>
  </si>
  <si>
    <t>002013.XSHE</t>
  </si>
  <si>
    <t>002021.XSHE</t>
  </si>
  <si>
    <t>002023.XSHE</t>
  </si>
  <si>
    <t>002026.XSHE</t>
  </si>
  <si>
    <t>002028.XSHE</t>
  </si>
  <si>
    <t>002031.XSHE</t>
  </si>
  <si>
    <t>002034.XSHE</t>
  </si>
  <si>
    <t>002040.XSHE</t>
  </si>
  <si>
    <t>002046.XSHE</t>
  </si>
  <si>
    <t>002047.XSHE</t>
  </si>
  <si>
    <t>002050.XSHE</t>
  </si>
  <si>
    <t>002051.XSHE</t>
  </si>
  <si>
    <t>002058.XSHE</t>
  </si>
  <si>
    <t>002060.XSHE</t>
  </si>
  <si>
    <t>002061.XSHE</t>
  </si>
  <si>
    <t>002062.XSHE</t>
  </si>
  <si>
    <t>002073.XSHE</t>
  </si>
  <si>
    <t>002074.XSHE</t>
  </si>
  <si>
    <t>002081.XSHE</t>
  </si>
  <si>
    <t>002084.XSHE</t>
  </si>
  <si>
    <t>002090.XSHE</t>
  </si>
  <si>
    <t>002091.XSHE</t>
  </si>
  <si>
    <t>002097.XSHE</t>
  </si>
  <si>
    <t>002111.XSHE</t>
  </si>
  <si>
    <t>002112.XSHE</t>
  </si>
  <si>
    <t>002116.XSHE</t>
  </si>
  <si>
    <t>002117.XSHE</t>
  </si>
  <si>
    <t>002120.XSHE</t>
  </si>
  <si>
    <t>002121.XSHE</t>
  </si>
  <si>
    <t>002122.XSHE</t>
  </si>
  <si>
    <t>002130.XSHE</t>
  </si>
  <si>
    <t>002135.XSHE</t>
  </si>
  <si>
    <t>002140.XSHE</t>
  </si>
  <si>
    <t>002141.XSHE</t>
  </si>
  <si>
    <t>002150.XSHE</t>
  </si>
  <si>
    <t>002151.XSHE</t>
  </si>
  <si>
    <t>002158.XSHE</t>
  </si>
  <si>
    <t>002163.XSHE</t>
  </si>
  <si>
    <t>002164.XSHE</t>
  </si>
  <si>
    <t>002168.XSHE</t>
  </si>
  <si>
    <t>002169.XSHE</t>
  </si>
  <si>
    <t>002176.XSHE</t>
  </si>
  <si>
    <t>002183.XSHE</t>
  </si>
  <si>
    <t>002184.XSHE</t>
  </si>
  <si>
    <t>002190.XSHE</t>
  </si>
  <si>
    <t>002191.XSHE</t>
  </si>
  <si>
    <t>002196.XSHE</t>
  </si>
  <si>
    <t>002200.XSHE</t>
  </si>
  <si>
    <t>002202.XSHE</t>
  </si>
  <si>
    <t>002204.XSHE</t>
  </si>
  <si>
    <t>002209.XSHE</t>
  </si>
  <si>
    <t>002210.XSHE</t>
  </si>
  <si>
    <t>002212.XSHE</t>
  </si>
  <si>
    <t>002227.XSHE</t>
  </si>
  <si>
    <t>002229.XSHE</t>
  </si>
  <si>
    <t>002245.XSHE</t>
  </si>
  <si>
    <t>002248.XSHE</t>
  </si>
  <si>
    <t>002249.XSHE</t>
  </si>
  <si>
    <t>002255.XSHE</t>
  </si>
  <si>
    <t>002260.XSHE</t>
  </si>
  <si>
    <t>002266.XSHE</t>
  </si>
  <si>
    <t>002270.XSHE</t>
  </si>
  <si>
    <t>002272.XSHE</t>
  </si>
  <si>
    <t>002276.XSHE</t>
  </si>
  <si>
    <t>002282.XSHE</t>
  </si>
  <si>
    <t>002297.XSHE</t>
  </si>
  <si>
    <t>002300.XSHE</t>
  </si>
  <si>
    <t>002301.XSHE</t>
  </si>
  <si>
    <t>002307.XSHE</t>
  </si>
  <si>
    <t>002309.XSHE</t>
  </si>
  <si>
    <t>002310.XSHE</t>
  </si>
  <si>
    <t>002320.XSHE</t>
  </si>
  <si>
    <t>002322.XSHE</t>
  </si>
  <si>
    <t>002323.XSHE</t>
  </si>
  <si>
    <t>002325.XSHE</t>
  </si>
  <si>
    <t>002333.XSHE</t>
  </si>
  <si>
    <t>002334.XSHE</t>
  </si>
  <si>
    <t>002335.XSHE</t>
  </si>
  <si>
    <t>002337.XSHE</t>
  </si>
  <si>
    <t>002338.XSHE</t>
  </si>
  <si>
    <t>002339.XSHE</t>
  </si>
  <si>
    <t>002342.XSHE</t>
  </si>
  <si>
    <t>002346.XSHE</t>
  </si>
  <si>
    <t>002347.XSHE</t>
  </si>
  <si>
    <t>002350.XSHE</t>
  </si>
  <si>
    <t>002352.XSHE</t>
  </si>
  <si>
    <t>002357.XSHE</t>
  </si>
  <si>
    <t>002358.XSHE</t>
  </si>
  <si>
    <t>002359.XSHE</t>
  </si>
  <si>
    <t>002364.XSHE</t>
  </si>
  <si>
    <t>002366.XSHE</t>
  </si>
  <si>
    <t>002367.XSHE</t>
  </si>
  <si>
    <t>002372.XSHE</t>
  </si>
  <si>
    <t>002374.XSHE</t>
  </si>
  <si>
    <t>002375.XSHE</t>
  </si>
  <si>
    <t>002380.XSHE</t>
  </si>
  <si>
    <t>002383.XSHE</t>
  </si>
  <si>
    <t>002389.XSHE</t>
  </si>
  <si>
    <t>002413.XSHE</t>
  </si>
  <si>
    <t>002418.XSHE</t>
  </si>
  <si>
    <t>002423.XSHE</t>
  </si>
  <si>
    <t>002430.XSHE</t>
  </si>
  <si>
    <t>002431.XSHE</t>
  </si>
  <si>
    <t>002438.XSHE</t>
  </si>
  <si>
    <t>002441.XSHE</t>
  </si>
  <si>
    <t>002444.XSHE</t>
  </si>
  <si>
    <t>002451.XSHE</t>
  </si>
  <si>
    <t>002452.XSHE</t>
  </si>
  <si>
    <t>002459.XSHE</t>
  </si>
  <si>
    <t>002468.XSHE</t>
  </si>
  <si>
    <t>002469.XSHE</t>
  </si>
  <si>
    <t>002471.XSHE</t>
  </si>
  <si>
    <t>002472.XSHE</t>
  </si>
  <si>
    <t>002480.XSHE</t>
  </si>
  <si>
    <t>002482.XSHE</t>
  </si>
  <si>
    <t>002483.XSHE</t>
  </si>
  <si>
    <t>002487.XSHE</t>
  </si>
  <si>
    <t>002492.XSHE</t>
  </si>
  <si>
    <t>002498.XSHE</t>
  </si>
  <si>
    <t>002504.XSHE</t>
  </si>
  <si>
    <t>002509.XSHE</t>
  </si>
  <si>
    <t>002514.XSHE</t>
  </si>
  <si>
    <t>002518.XSHE</t>
  </si>
  <si>
    <t>002520.XSHE</t>
  </si>
  <si>
    <t>002523.XSHE</t>
  </si>
  <si>
    <t>002526.XSHE</t>
  </si>
  <si>
    <t>002527.XSHE</t>
  </si>
  <si>
    <t>002531.XSHE</t>
  </si>
  <si>
    <t>002532.XSHE</t>
  </si>
  <si>
    <t>002533.XSHE</t>
  </si>
  <si>
    <t>002534.XSHE</t>
  </si>
  <si>
    <t>002535.XSHE</t>
  </si>
  <si>
    <t>002541.XSHE</t>
  </si>
  <si>
    <t>002542.XSHE</t>
  </si>
  <si>
    <t>002545.XSHE</t>
  </si>
  <si>
    <t>002546.XSHE</t>
  </si>
  <si>
    <t>002547.XSHE</t>
  </si>
  <si>
    <t>002552.XSHE</t>
  </si>
  <si>
    <t>002553.XSHE</t>
  </si>
  <si>
    <t>002559.XSHE</t>
  </si>
  <si>
    <t>002560.XSHE</t>
  </si>
  <si>
    <t>002564.XSHE</t>
  </si>
  <si>
    <t>002573.XSHE</t>
  </si>
  <si>
    <t>002576.XSHE</t>
  </si>
  <si>
    <t>002580.XSHE</t>
  </si>
  <si>
    <t>002586.XSHE</t>
  </si>
  <si>
    <t>002595.XSHE</t>
  </si>
  <si>
    <t>002598.XSHE</t>
  </si>
  <si>
    <t>002599.XSHE</t>
  </si>
  <si>
    <t>002606.XSHE</t>
  </si>
  <si>
    <t>002611.XSHE</t>
  </si>
  <si>
    <t>002613.XSHE</t>
  </si>
  <si>
    <t>002617.XSHE</t>
  </si>
  <si>
    <t>002620.XSHE</t>
  </si>
  <si>
    <t>002621.XSHE</t>
  </si>
  <si>
    <t>002622.XSHE</t>
  </si>
  <si>
    <t>002625.XSHE</t>
  </si>
  <si>
    <t>002627.XSHE</t>
  </si>
  <si>
    <t>002628.XSHE</t>
  </si>
  <si>
    <t>002630.XSHE</t>
  </si>
  <si>
    <t>002633.XSHE</t>
  </si>
  <si>
    <t>002638.XSHE</t>
  </si>
  <si>
    <t>002639.XSHE</t>
  </si>
  <si>
    <t>002641.XSHE</t>
  </si>
  <si>
    <t>002645.XSHE</t>
  </si>
  <si>
    <t>002651.XSHE</t>
  </si>
  <si>
    <t>002652.XSHE</t>
  </si>
  <si>
    <t>002660.XSHE</t>
  </si>
  <si>
    <t>002663.XSHE</t>
  </si>
  <si>
    <t>002665.XSHE</t>
  </si>
  <si>
    <t>002667.XSHE</t>
  </si>
  <si>
    <t>002672.XSHE</t>
  </si>
  <si>
    <t>002682.XSHE</t>
  </si>
  <si>
    <t>002684.XSHE</t>
  </si>
  <si>
    <t>002685.XSHE</t>
  </si>
  <si>
    <t>002686.XSHE</t>
  </si>
  <si>
    <t>002689.XSHE</t>
  </si>
  <si>
    <t>002690.XSHE</t>
  </si>
  <si>
    <t>002691.XSHE</t>
  </si>
  <si>
    <t>002692.XSHE</t>
  </si>
  <si>
    <t>002694.XSHE</t>
  </si>
  <si>
    <t>002698.XSHE</t>
  </si>
  <si>
    <t>002706.XSHE</t>
  </si>
  <si>
    <t>002711.XSHE</t>
  </si>
  <si>
    <t>002713.XSHE</t>
  </si>
  <si>
    <t>002717.XSHE</t>
  </si>
  <si>
    <t>002718.XSHE</t>
  </si>
  <si>
    <t>002722.XSHE</t>
  </si>
  <si>
    <t>002724.XSHE</t>
  </si>
  <si>
    <t>002729.XSHE</t>
  </si>
  <si>
    <t>002730.XSHE</t>
  </si>
  <si>
    <t>002733.XSHE</t>
  </si>
  <si>
    <t>002738.XSHE</t>
  </si>
  <si>
    <t>002743.XSHE</t>
  </si>
  <si>
    <t>002747.XSHE</t>
  </si>
  <si>
    <t>002751.XSHE</t>
  </si>
  <si>
    <t>002755.XSHE</t>
  </si>
  <si>
    <t>002757.XSHE</t>
  </si>
  <si>
    <t>002760.XSHE</t>
  </si>
  <si>
    <t>002767.XSHE</t>
  </si>
  <si>
    <t>002769.XSHE</t>
  </si>
  <si>
    <t>002774.XSHE</t>
  </si>
  <si>
    <t>002775.XSHE</t>
  </si>
  <si>
    <t>002779.XSHE</t>
  </si>
  <si>
    <t>002781.XSHE</t>
  </si>
  <si>
    <t>002786.XSHE</t>
  </si>
  <si>
    <t>002789.XSHE</t>
  </si>
  <si>
    <t>002790.XSHE</t>
  </si>
  <si>
    <t>002791.XSHE</t>
  </si>
  <si>
    <t>002793.XSHE</t>
  </si>
  <si>
    <t>002795.XSHE</t>
  </si>
  <si>
    <t>002796.XSHE</t>
  </si>
  <si>
    <t>002798.XSHE</t>
  </si>
  <si>
    <t>002800.XSHE</t>
  </si>
  <si>
    <t>002801.XSHE</t>
  </si>
  <si>
    <t>002811.XSHE</t>
  </si>
  <si>
    <t>002816.XSHE</t>
  </si>
  <si>
    <t>002822.XSHE</t>
  </si>
  <si>
    <t>002823.XSHE</t>
  </si>
  <si>
    <t>002829.XSHE</t>
  </si>
  <si>
    <t>002830.XSHE</t>
  </si>
  <si>
    <t>002833.XSHE</t>
  </si>
  <si>
    <t>002836.XSHE</t>
  </si>
  <si>
    <t>002837.XSHE</t>
  </si>
  <si>
    <t>002843.XSHE</t>
  </si>
  <si>
    <t>002849.XSHE</t>
  </si>
  <si>
    <t>002850.XSHE</t>
  </si>
  <si>
    <t>002851.XSHE</t>
  </si>
  <si>
    <t>002856.XSHE</t>
  </si>
  <si>
    <t>002857.XSHE</t>
  </si>
  <si>
    <t>002860.XSHE</t>
  </si>
  <si>
    <t>002871.XSHE</t>
  </si>
  <si>
    <t>002877.XSHE</t>
  </si>
  <si>
    <t>002879.XSHE</t>
  </si>
  <si>
    <t>002882.XSHE</t>
  </si>
  <si>
    <t>002883.XSHE</t>
  </si>
  <si>
    <t>002884.XSHE</t>
  </si>
  <si>
    <t>002887.XSHE</t>
  </si>
  <si>
    <t>002889.XSHE</t>
  </si>
  <si>
    <t>002890.XSHE</t>
  </si>
  <si>
    <t>002892.XSHE</t>
  </si>
  <si>
    <t>002896.XSHE</t>
  </si>
  <si>
    <t>002903.XSHE</t>
  </si>
  <si>
    <t>002921.XSHE</t>
  </si>
  <si>
    <t>002922.XSHE</t>
  </si>
  <si>
    <t>002927.XSHE</t>
  </si>
  <si>
    <t>002928.XSHE</t>
  </si>
  <si>
    <t>002930.XSHE</t>
  </si>
  <si>
    <t>002931.XSHE</t>
  </si>
  <si>
    <t>002933.XSHE</t>
  </si>
  <si>
    <t>002935.XSHE</t>
  </si>
  <si>
    <t>300001.XSHE</t>
  </si>
  <si>
    <t>300004.XSHE</t>
  </si>
  <si>
    <t>300008.XSHE</t>
  </si>
  <si>
    <t>300011.XSHE</t>
  </si>
  <si>
    <t>300012.XSHE</t>
  </si>
  <si>
    <t>300013.XSHE</t>
  </si>
  <si>
    <t>300014.XSHE</t>
  </si>
  <si>
    <t>300018.XSHE</t>
  </si>
  <si>
    <t>300021.XSHE</t>
  </si>
  <si>
    <t>300023.XSHE</t>
  </si>
  <si>
    <t>300024.XSHE</t>
  </si>
  <si>
    <t>300035.XSHE</t>
  </si>
  <si>
    <t>300040.XSHE</t>
  </si>
  <si>
    <t>300048.XSHE</t>
  </si>
  <si>
    <t>300055.XSHE</t>
  </si>
  <si>
    <t>300056.XSHE</t>
  </si>
  <si>
    <t>300062.XSHE</t>
  </si>
  <si>
    <t>300066.XSHE</t>
  </si>
  <si>
    <t>300068.XSHE</t>
  </si>
  <si>
    <t>300069.XSHE</t>
  </si>
  <si>
    <t>300070.XSHE</t>
  </si>
  <si>
    <t>300072.XSHE</t>
  </si>
  <si>
    <t>300090.XSHE</t>
  </si>
  <si>
    <t>300091.XSHE</t>
  </si>
  <si>
    <t>300092.XSHE</t>
  </si>
  <si>
    <t>300095.XSHE</t>
  </si>
  <si>
    <t>300097.XSHE</t>
  </si>
  <si>
    <t>300101.XSHE</t>
  </si>
  <si>
    <t>300103.XSHE</t>
  </si>
  <si>
    <t>300105.XSHE</t>
  </si>
  <si>
    <t>300112.XSHE</t>
  </si>
  <si>
    <t>300116.XSHE</t>
  </si>
  <si>
    <t>300117.XSHE</t>
  </si>
  <si>
    <t>300123.XSHE</t>
  </si>
  <si>
    <t>300124.XSHE</t>
  </si>
  <si>
    <t>300125.XSHE</t>
  </si>
  <si>
    <t>300126.XSHE</t>
  </si>
  <si>
    <t>300129.XSHE</t>
  </si>
  <si>
    <t>300140.XSHE</t>
  </si>
  <si>
    <t>300141.XSHE</t>
  </si>
  <si>
    <t>300145.XSHE</t>
  </si>
  <si>
    <t>300151.XSHE</t>
  </si>
  <si>
    <t>300152.XSHE</t>
  </si>
  <si>
    <t>300153.XSHE</t>
  </si>
  <si>
    <t>300154.XSHE</t>
  </si>
  <si>
    <t>300156.XSHE</t>
  </si>
  <si>
    <t>300159.XSHE</t>
  </si>
  <si>
    <t>300161.XSHE</t>
  </si>
  <si>
    <t>300171.XSHE</t>
  </si>
  <si>
    <t>300172.XSHE</t>
  </si>
  <si>
    <t>300173.XSHE</t>
  </si>
  <si>
    <t>300177.XSHE</t>
  </si>
  <si>
    <t>300185.XSHE</t>
  </si>
  <si>
    <t>300187.XSHE</t>
  </si>
  <si>
    <t>300190.XSHE</t>
  </si>
  <si>
    <t>300193.XSHE</t>
  </si>
  <si>
    <t>300195.XSHE</t>
  </si>
  <si>
    <t>300197.XSHE</t>
  </si>
  <si>
    <t>300201.XSHE</t>
  </si>
  <si>
    <t>300207.XSHE</t>
  </si>
  <si>
    <t>300208.XSHE</t>
  </si>
  <si>
    <t>300210.XSHE</t>
  </si>
  <si>
    <t>300215.XSHE</t>
  </si>
  <si>
    <t>300216.XSHE</t>
  </si>
  <si>
    <t>300222.XSHE</t>
  </si>
  <si>
    <t>300228.XSHE</t>
  </si>
  <si>
    <t>300230.XSHE</t>
  </si>
  <si>
    <t>300234.XSHE</t>
  </si>
  <si>
    <t>300237.XSHE</t>
  </si>
  <si>
    <t>300240.XSHE</t>
  </si>
  <si>
    <t>300249.XSHE</t>
  </si>
  <si>
    <t>300257.XSHE</t>
  </si>
  <si>
    <t>300259.XSHE</t>
  </si>
  <si>
    <t>300260.XSHE</t>
  </si>
  <si>
    <t>300262.XSHE</t>
  </si>
  <si>
    <t>300263.XSHE</t>
  </si>
  <si>
    <t>300265.XSHE</t>
  </si>
  <si>
    <t>300266.XSHE</t>
  </si>
  <si>
    <t>300272.XSHE</t>
  </si>
  <si>
    <t>300274.XSHE</t>
  </si>
  <si>
    <t>300276.XSHE</t>
  </si>
  <si>
    <t>300278.XSHE</t>
  </si>
  <si>
    <t>300281.XSHE</t>
  </si>
  <si>
    <t>300283.XSHE</t>
  </si>
  <si>
    <t>300284.XSHE</t>
  </si>
  <si>
    <t>300286.XSHE</t>
  </si>
  <si>
    <t>300293.XSHE</t>
  </si>
  <si>
    <t>300306.XSHE</t>
  </si>
  <si>
    <t>300307.XSHE</t>
  </si>
  <si>
    <t>300308.XSHE</t>
  </si>
  <si>
    <t>300317.XSHE</t>
  </si>
  <si>
    <t>300334.XSHE</t>
  </si>
  <si>
    <t>300335.XSHE</t>
  </si>
  <si>
    <t>300341.XSHE</t>
  </si>
  <si>
    <t>300342.XSHE</t>
  </si>
  <si>
    <t>300344.XSHE</t>
  </si>
  <si>
    <t>300345.XSHE</t>
  </si>
  <si>
    <t>300349.XSHE</t>
  </si>
  <si>
    <t>300350.XSHE</t>
  </si>
  <si>
    <t>300355.XSHE</t>
  </si>
  <si>
    <t>300356.XSHE</t>
  </si>
  <si>
    <t>300358.XSHE</t>
  </si>
  <si>
    <t>300360.XSHE</t>
  </si>
  <si>
    <t>300362.XSHE</t>
  </si>
  <si>
    <t>300370.XSHE</t>
  </si>
  <si>
    <t>300371.XSHE</t>
  </si>
  <si>
    <t>300374.XSHE</t>
  </si>
  <si>
    <t>300376.XSHE</t>
  </si>
  <si>
    <t>300382.XSHE</t>
  </si>
  <si>
    <t>300384.XSHE</t>
  </si>
  <si>
    <t>300385.XSHE</t>
  </si>
  <si>
    <t>300388.XSHE</t>
  </si>
  <si>
    <t>300391.XSHE</t>
  </si>
  <si>
    <t>300397.XSHE</t>
  </si>
  <si>
    <t>300400.XSHE</t>
  </si>
  <si>
    <t>300402.XSHE</t>
  </si>
  <si>
    <t>300403.XSHE</t>
  </si>
  <si>
    <t>300407.XSHE</t>
  </si>
  <si>
    <t>300411.XSHE</t>
  </si>
  <si>
    <t>300412.XSHE</t>
  </si>
  <si>
    <t>300414.XSHE</t>
  </si>
  <si>
    <t>300415.XSHE</t>
  </si>
  <si>
    <t>300416.XSHE</t>
  </si>
  <si>
    <t>300420.XSHE</t>
  </si>
  <si>
    <t>300421.XSHE</t>
  </si>
  <si>
    <t>300422.XSHE</t>
  </si>
  <si>
    <t>300423.XSHE</t>
  </si>
  <si>
    <t>300424.XSHE</t>
  </si>
  <si>
    <t>300425.XSHE</t>
  </si>
  <si>
    <t>300427.XSHE</t>
  </si>
  <si>
    <t>300430.XSHE</t>
  </si>
  <si>
    <t>300434.XSHE</t>
  </si>
  <si>
    <t>300435.XSHE</t>
  </si>
  <si>
    <t>300438.XSHE</t>
  </si>
  <si>
    <t>300441.XSHE</t>
  </si>
  <si>
    <t>300442.XSHE</t>
  </si>
  <si>
    <t>300443.XSHE</t>
  </si>
  <si>
    <t>300444.XSHE</t>
  </si>
  <si>
    <t>300445.XSHE</t>
  </si>
  <si>
    <t>300447.XSHE</t>
  </si>
  <si>
    <t>300450.XSHE</t>
  </si>
  <si>
    <t>300457.XSHE</t>
  </si>
  <si>
    <t>300461.XSHE</t>
  </si>
  <si>
    <t>300464.XSHE</t>
  </si>
  <si>
    <t>300466.XSHE</t>
  </si>
  <si>
    <t>300470.XSHE</t>
  </si>
  <si>
    <t>300471.XSHE</t>
  </si>
  <si>
    <t>300472.XSHE</t>
  </si>
  <si>
    <t>300474.XSHE</t>
  </si>
  <si>
    <t>300475.XSHE</t>
  </si>
  <si>
    <t>300477.XSHE</t>
  </si>
  <si>
    <t>300480.XSHE</t>
  </si>
  <si>
    <t>300484.XSHE</t>
  </si>
  <si>
    <t>300486.XSHE</t>
  </si>
  <si>
    <t>300488.XSHE</t>
  </si>
  <si>
    <t>300490.XSHE</t>
  </si>
  <si>
    <t>300491.XSHE</t>
  </si>
  <si>
    <t>300492.XSHE</t>
  </si>
  <si>
    <t>300495.XSHE</t>
  </si>
  <si>
    <t>300499.XSHE</t>
  </si>
  <si>
    <t>300500.XSHE</t>
  </si>
  <si>
    <t>300503.XSHE</t>
  </si>
  <si>
    <t>300506.XSHE</t>
  </si>
  <si>
    <t>300508.XSHE</t>
  </si>
  <si>
    <t>300509.XSHE</t>
  </si>
  <si>
    <t>300510.XSHE</t>
  </si>
  <si>
    <t>300512.XSHE</t>
  </si>
  <si>
    <t>300515.XSHE</t>
  </si>
  <si>
    <t>300517.XSHE</t>
  </si>
  <si>
    <t>300521.XSHE</t>
  </si>
  <si>
    <t>300527.XSHE</t>
  </si>
  <si>
    <t>300532.XSHE</t>
  </si>
  <si>
    <t>300536.XSHE</t>
  </si>
  <si>
    <t>300538.XSHE</t>
  </si>
  <si>
    <t>300540.XSHE</t>
  </si>
  <si>
    <t>300545.XSHE</t>
  </si>
  <si>
    <t>300549.XSHE</t>
  </si>
  <si>
    <t>300569.XSHE</t>
  </si>
  <si>
    <t>300581.XSHE</t>
  </si>
  <si>
    <t>300582.XSHE</t>
  </si>
  <si>
    <t>300589.XSHE</t>
  </si>
  <si>
    <t>300592.XSHE</t>
  </si>
  <si>
    <t>300593.XSHE</t>
  </si>
  <si>
    <t>300599.XSHE</t>
  </si>
  <si>
    <t>300600.XSHE</t>
  </si>
  <si>
    <t>300604.XSHE</t>
  </si>
  <si>
    <t>300606.XSHE</t>
  </si>
  <si>
    <t>300607.XSHE</t>
  </si>
  <si>
    <t>300617.XSHE</t>
  </si>
  <si>
    <t>300619.XSHE</t>
  </si>
  <si>
    <t>300621.XSHE</t>
  </si>
  <si>
    <t>300626.XSHE</t>
  </si>
  <si>
    <t>300627.XSHE</t>
  </si>
  <si>
    <t>300629.XSHE</t>
  </si>
  <si>
    <t>300631.XSHE</t>
  </si>
  <si>
    <t>300635.XSHE</t>
  </si>
  <si>
    <t>300648.XSHE</t>
  </si>
  <si>
    <t>300649.XSHE</t>
  </si>
  <si>
    <t>300660.XSHE</t>
  </si>
  <si>
    <t>300662.XSHE</t>
  </si>
  <si>
    <t>300664.XSHE</t>
  </si>
  <si>
    <t>300668.XSHE</t>
  </si>
  <si>
    <t>300669.XSHE</t>
  </si>
  <si>
    <t>300670.XSHE</t>
  </si>
  <si>
    <t>300675.XSHE</t>
  </si>
  <si>
    <t>300681.XSHE</t>
  </si>
  <si>
    <t>300688.XSHE</t>
  </si>
  <si>
    <t>300690.XSHE</t>
  </si>
  <si>
    <t>300692.XSHE</t>
  </si>
  <si>
    <t>300693.XSHE</t>
  </si>
  <si>
    <t>300696.XSHE</t>
  </si>
  <si>
    <t>300712.XSHE</t>
  </si>
  <si>
    <t>300713.XSHE</t>
  </si>
  <si>
    <t>300718.XSHE</t>
  </si>
  <si>
    <t>300719.XSHE</t>
  </si>
  <si>
    <t>300720.XSHE</t>
  </si>
  <si>
    <t>300722.XSHE</t>
  </si>
  <si>
    <t>300732.XSHE</t>
  </si>
  <si>
    <t>300746.XSHE</t>
  </si>
  <si>
    <t>300750.XSHE</t>
  </si>
  <si>
    <t>600004.XSHG</t>
  </si>
  <si>
    <t>600009.XSHG</t>
  </si>
  <si>
    <t>600012.XSHG</t>
  </si>
  <si>
    <t>600017.XSHG</t>
  </si>
  <si>
    <t>600018.XSHG</t>
  </si>
  <si>
    <t>600020.XSHG</t>
  </si>
  <si>
    <t>600026.XSHG</t>
  </si>
  <si>
    <t>600029.XSHG</t>
  </si>
  <si>
    <t>600031.XSHG</t>
  </si>
  <si>
    <t>600033.XSHG</t>
  </si>
  <si>
    <t>600035.XSHG</t>
  </si>
  <si>
    <t>600038.XSHG</t>
  </si>
  <si>
    <t>600039.XSHG</t>
  </si>
  <si>
    <t>600051.XSHG</t>
  </si>
  <si>
    <t>600057.XSHG</t>
  </si>
  <si>
    <t>600058.XSHG</t>
  </si>
  <si>
    <t>600068.XSHG</t>
  </si>
  <si>
    <t>600072.XSHG</t>
  </si>
  <si>
    <t>600083.XSHG</t>
  </si>
  <si>
    <t>600089.XSHG</t>
  </si>
  <si>
    <t>600093.XSHG</t>
  </si>
  <si>
    <t>600106.XSHG</t>
  </si>
  <si>
    <t>600112.XSHG</t>
  </si>
  <si>
    <t>600113.XSHG</t>
  </si>
  <si>
    <t>600114.XSHG</t>
  </si>
  <si>
    <t>600115.XSHG</t>
  </si>
  <si>
    <t>600118.XSHG</t>
  </si>
  <si>
    <t>600119.XSHG</t>
  </si>
  <si>
    <t>600120.XSHG</t>
  </si>
  <si>
    <t>600125.XSHG</t>
  </si>
  <si>
    <t>600133.XSHG</t>
  </si>
  <si>
    <t>600145.XSHG</t>
  </si>
  <si>
    <t>600149.XSHG</t>
  </si>
  <si>
    <t>600150.XSHG</t>
  </si>
  <si>
    <t>600152.XSHG</t>
  </si>
  <si>
    <t>600153.XSHG</t>
  </si>
  <si>
    <t>600169.XSHG</t>
  </si>
  <si>
    <t>600170.XSHG</t>
  </si>
  <si>
    <t>600175.XSHG</t>
  </si>
  <si>
    <t>600179.XSHG</t>
  </si>
  <si>
    <t>600180.XSHG</t>
  </si>
  <si>
    <t>600184.XSHG</t>
  </si>
  <si>
    <t>600190.XSHG</t>
  </si>
  <si>
    <t>600192.XSHG</t>
  </si>
  <si>
    <t>600193.XSHG</t>
  </si>
  <si>
    <t>600200.XSHG</t>
  </si>
  <si>
    <t>600202.XSHG</t>
  </si>
  <si>
    <t>600209.XSHG</t>
  </si>
  <si>
    <t>600212.XSHG</t>
  </si>
  <si>
    <t>600217.XSHG</t>
  </si>
  <si>
    <t>600218.XSHG</t>
  </si>
  <si>
    <t>600221.XSHG</t>
  </si>
  <si>
    <t>600233.XSHG</t>
  </si>
  <si>
    <t>600243.XSHG</t>
  </si>
  <si>
    <t>600247.XSHG</t>
  </si>
  <si>
    <t>600248.XSHG</t>
  </si>
  <si>
    <t>600262.XSHG</t>
  </si>
  <si>
    <t>600268.XSHG</t>
  </si>
  <si>
    <t>600269.XSHG</t>
  </si>
  <si>
    <t>600279.XSHG</t>
  </si>
  <si>
    <t>600284.XSHG</t>
  </si>
  <si>
    <t>600290.XSHG</t>
  </si>
  <si>
    <t>600292.XSHG</t>
  </si>
  <si>
    <t>600295.XSHG</t>
  </si>
  <si>
    <t>600302.XSHG</t>
  </si>
  <si>
    <t>600312.XSHG</t>
  </si>
  <si>
    <t>600313.XSHG</t>
  </si>
  <si>
    <t>600316.XSHG</t>
  </si>
  <si>
    <t>600317.XSHG</t>
  </si>
  <si>
    <t>600320.XSHG</t>
  </si>
  <si>
    <t>600321.XSHG</t>
  </si>
  <si>
    <t>600323.XSHG</t>
  </si>
  <si>
    <t>600326.XSHG</t>
  </si>
  <si>
    <t>600343.XSHG</t>
  </si>
  <si>
    <t>600350.XSHG</t>
  </si>
  <si>
    <t>600368.XSHG</t>
  </si>
  <si>
    <t>600372.XSHG</t>
  </si>
  <si>
    <t>600375.XSHG</t>
  </si>
  <si>
    <t>600377.XSHG</t>
  </si>
  <si>
    <t>600379.XSHG</t>
  </si>
  <si>
    <t>600382.XSHG</t>
  </si>
  <si>
    <t>600388.XSHG</t>
  </si>
  <si>
    <t>600391.XSHG</t>
  </si>
  <si>
    <t>600405.XSHG</t>
  </si>
  <si>
    <t>600406.XSHG</t>
  </si>
  <si>
    <t>600416.XSHG</t>
  </si>
  <si>
    <t>600421.XSHG</t>
  </si>
  <si>
    <t>600428.XSHG</t>
  </si>
  <si>
    <t>600435.XSHG</t>
  </si>
  <si>
    <t>600444.XSHG</t>
  </si>
  <si>
    <t>600455.XSHG</t>
  </si>
  <si>
    <t>600462.XSHG</t>
  </si>
  <si>
    <t>600463.XSHG</t>
  </si>
  <si>
    <t>600468.XSHG</t>
  </si>
  <si>
    <t>600475.XSHG</t>
  </si>
  <si>
    <t>600477.XSHG</t>
  </si>
  <si>
    <t>600478.XSHG</t>
  </si>
  <si>
    <t>600481.XSHG</t>
  </si>
  <si>
    <t>600482.XSHG</t>
  </si>
  <si>
    <t>600491.XSHG</t>
  </si>
  <si>
    <t>600495.XSHG</t>
  </si>
  <si>
    <t>600496.XSHG</t>
  </si>
  <si>
    <t>600499.XSHG</t>
  </si>
  <si>
    <t>600501.XSHG</t>
  </si>
  <si>
    <t>600502.XSHG</t>
  </si>
  <si>
    <t>600512.XSHG</t>
  </si>
  <si>
    <t>600517.XSHG</t>
  </si>
  <si>
    <t>600520.XSHG</t>
  </si>
  <si>
    <t>600525.XSHG</t>
  </si>
  <si>
    <t>600526.XSHG</t>
  </si>
  <si>
    <t>600528.XSHG</t>
  </si>
  <si>
    <t>600545.XSHG</t>
  </si>
  <si>
    <t>600548.XSHG</t>
  </si>
  <si>
    <t>600550.XSHG</t>
  </si>
  <si>
    <t>600560.XSHG</t>
  </si>
  <si>
    <t>600561.XSHG</t>
  </si>
  <si>
    <t>600562.XSHG</t>
  </si>
  <si>
    <t>600575.XSHG</t>
  </si>
  <si>
    <t>600577.XSHG</t>
  </si>
  <si>
    <t>600579.XSHG</t>
  </si>
  <si>
    <t>600580.XSHG</t>
  </si>
  <si>
    <t>600582.XSHG</t>
  </si>
  <si>
    <t>600590.XSHG</t>
  </si>
  <si>
    <t>600592.XSHG</t>
  </si>
  <si>
    <t>600601.XSHG</t>
  </si>
  <si>
    <t>600605.XSHG</t>
  </si>
  <si>
    <t>600608.XSHG</t>
  </si>
  <si>
    <t>600610.XSHG</t>
  </si>
  <si>
    <t>600611.XSHG</t>
  </si>
  <si>
    <t>600619.XSHG</t>
  </si>
  <si>
    <t>600620.XSHG</t>
  </si>
  <si>
    <t>600629.XSHG</t>
  </si>
  <si>
    <t>600648.XSHG</t>
  </si>
  <si>
    <t>600650.XSHG</t>
  </si>
  <si>
    <t>600662.XSHG</t>
  </si>
  <si>
    <t>600666.XSHG</t>
  </si>
  <si>
    <t>600668.XSHG</t>
  </si>
  <si>
    <t>600677.XSHG</t>
  </si>
  <si>
    <t>600685.XSHG</t>
  </si>
  <si>
    <t>600696.XSHG</t>
  </si>
  <si>
    <t>600704.XSHG</t>
  </si>
  <si>
    <t>600710.XSHG</t>
  </si>
  <si>
    <t>600711.XSHG</t>
  </si>
  <si>
    <t>600717.XSHG</t>
  </si>
  <si>
    <t>600730.XSHG</t>
  </si>
  <si>
    <t>600753.XSHG</t>
  </si>
  <si>
    <t>600755.XSHG</t>
  </si>
  <si>
    <t>600760.XSHG</t>
  </si>
  <si>
    <t>600761.XSHG</t>
  </si>
  <si>
    <t>600764.XSHG</t>
  </si>
  <si>
    <t>600765.XSHG</t>
  </si>
  <si>
    <t>600769.XSHG</t>
  </si>
  <si>
    <t>600770.XSHG</t>
  </si>
  <si>
    <t>600783.XSHG</t>
  </si>
  <si>
    <t>600784.XSHG</t>
  </si>
  <si>
    <t>600787.XSHG</t>
  </si>
  <si>
    <t>600794.XSHG</t>
  </si>
  <si>
    <t>600798.XSHG</t>
  </si>
  <si>
    <t>600800.XSHG</t>
  </si>
  <si>
    <t>600805.XSHG</t>
  </si>
  <si>
    <t>600815.XSHG</t>
  </si>
  <si>
    <t>600820.XSHG</t>
  </si>
  <si>
    <t>600822.XSHG</t>
  </si>
  <si>
    <t>600826.XSHG</t>
  </si>
  <si>
    <t>600834.XSHG</t>
  </si>
  <si>
    <t>600835.XSHG</t>
  </si>
  <si>
    <t>600836.XSHG</t>
  </si>
  <si>
    <t>600841.XSHG</t>
  </si>
  <si>
    <t>600843.XSHG</t>
  </si>
  <si>
    <t>600846.XSHG</t>
  </si>
  <si>
    <t>600847.XSHG</t>
  </si>
  <si>
    <t>600853.XSHG</t>
  </si>
  <si>
    <t>600860.XSHG</t>
  </si>
  <si>
    <t>600862.XSHG</t>
  </si>
  <si>
    <t>600869.XSHG</t>
  </si>
  <si>
    <t>600870.XSHG</t>
  </si>
  <si>
    <t>600875.XSHG</t>
  </si>
  <si>
    <t>600879.XSHG</t>
  </si>
  <si>
    <t>600885.XSHG</t>
  </si>
  <si>
    <t>600893.XSHG</t>
  </si>
  <si>
    <t>600894.XSHG</t>
  </si>
  <si>
    <t>600897.XSHG</t>
  </si>
  <si>
    <t>600939.XSHG</t>
  </si>
  <si>
    <t>600967.XSHG</t>
  </si>
  <si>
    <t>600970.XSHG</t>
  </si>
  <si>
    <t>600973.XSHG</t>
  </si>
  <si>
    <t>600984.XSHG</t>
  </si>
  <si>
    <t>600990.XSHG</t>
  </si>
  <si>
    <t>601000.XSHG</t>
  </si>
  <si>
    <t>601002.XSHG</t>
  </si>
  <si>
    <t>601006.XSHG</t>
  </si>
  <si>
    <t>601008.XSHG</t>
  </si>
  <si>
    <t>601018.XSHG</t>
  </si>
  <si>
    <t>601021.XSHG</t>
  </si>
  <si>
    <t>601038.XSHG</t>
  </si>
  <si>
    <t>601068.XSHG</t>
  </si>
  <si>
    <t>601100.XSHG</t>
  </si>
  <si>
    <t>601106.XSHG</t>
  </si>
  <si>
    <t>601107.XSHG</t>
  </si>
  <si>
    <t>601111.XSHG</t>
  </si>
  <si>
    <t>601117.XSHG</t>
  </si>
  <si>
    <t>601126.XSHG</t>
  </si>
  <si>
    <t>601177.XSHG</t>
  </si>
  <si>
    <t>601179.XSHG</t>
  </si>
  <si>
    <t>601186.XSHG</t>
  </si>
  <si>
    <t>601188.XSHG</t>
  </si>
  <si>
    <t>601200.XSHG</t>
  </si>
  <si>
    <t>601218.XSHG</t>
  </si>
  <si>
    <t>601222.XSHG</t>
  </si>
  <si>
    <t>601226.XSHG</t>
  </si>
  <si>
    <t>601228.XSHG</t>
  </si>
  <si>
    <t>601311.XSHG</t>
  </si>
  <si>
    <t>601326.XSHG</t>
  </si>
  <si>
    <t>601330.XSHG</t>
  </si>
  <si>
    <t>601333.XSHG</t>
  </si>
  <si>
    <t>601369.XSHG</t>
  </si>
  <si>
    <t>601390.XSHG</t>
  </si>
  <si>
    <t>601515.XSHG</t>
  </si>
  <si>
    <t>601518.XSHG</t>
  </si>
  <si>
    <t>601558.XSHG</t>
  </si>
  <si>
    <t>601567.XSHG</t>
  </si>
  <si>
    <t>601606.XSHG</t>
  </si>
  <si>
    <t>601608.XSHG</t>
  </si>
  <si>
    <t>601611.XSHG</t>
  </si>
  <si>
    <t>601616.XSHG</t>
  </si>
  <si>
    <t>601618.XSHG</t>
  </si>
  <si>
    <t>601668.XSHG</t>
  </si>
  <si>
    <t>601669.XSHG</t>
  </si>
  <si>
    <t>601700.XSHG</t>
  </si>
  <si>
    <t>601717.XSHG</t>
  </si>
  <si>
    <t>601727.XSHG</t>
  </si>
  <si>
    <t>601766.XSHG</t>
  </si>
  <si>
    <t>601789.XSHG</t>
  </si>
  <si>
    <t>601800.XSHG</t>
  </si>
  <si>
    <t>601866.XSHG</t>
  </si>
  <si>
    <t>601872.XSHG</t>
  </si>
  <si>
    <t>601877.XSHG</t>
  </si>
  <si>
    <t>601880.XSHG</t>
  </si>
  <si>
    <t>601882.XSHG</t>
  </si>
  <si>
    <t>601886.XSHG</t>
  </si>
  <si>
    <t>601890.XSHG</t>
  </si>
  <si>
    <t>601919.XSHG</t>
  </si>
  <si>
    <t>601989.XSHG</t>
  </si>
  <si>
    <t>603007.XSHG</t>
  </si>
  <si>
    <t>603011.XSHG</t>
  </si>
  <si>
    <t>603012.XSHG</t>
  </si>
  <si>
    <t>603015.XSHG</t>
  </si>
  <si>
    <t>603016.XSHG</t>
  </si>
  <si>
    <t>603017.XSHG</t>
  </si>
  <si>
    <t>603018.XSHG</t>
  </si>
  <si>
    <t>603025.XSHG</t>
  </si>
  <si>
    <t>603029.XSHG</t>
  </si>
  <si>
    <t>603030.XSHG</t>
  </si>
  <si>
    <t>603032.XSHG</t>
  </si>
  <si>
    <t>603038.XSHG</t>
  </si>
  <si>
    <t>603050.XSHG</t>
  </si>
  <si>
    <t>603056.XSHG</t>
  </si>
  <si>
    <t>603058.XSHG</t>
  </si>
  <si>
    <t>603060.XSHG</t>
  </si>
  <si>
    <t>603063.XSHG</t>
  </si>
  <si>
    <t>603066.XSHG</t>
  </si>
  <si>
    <t>603069.XSHG</t>
  </si>
  <si>
    <t>603076.XSHG</t>
  </si>
  <si>
    <t>603081.XSHG</t>
  </si>
  <si>
    <t>603085.XSHG</t>
  </si>
  <si>
    <t>603088.XSHG</t>
  </si>
  <si>
    <t>603090.XSHG</t>
  </si>
  <si>
    <t>603098.XSHG</t>
  </si>
  <si>
    <t>603100.XSHG</t>
  </si>
  <si>
    <t>603111.XSHG</t>
  </si>
  <si>
    <t>603117.XSHG</t>
  </si>
  <si>
    <t>603126.XSHG</t>
  </si>
  <si>
    <t>603128.XSHG</t>
  </si>
  <si>
    <t>603131.XSHG</t>
  </si>
  <si>
    <t>603159.XSHG</t>
  </si>
  <si>
    <t>603167.XSHG</t>
  </si>
  <si>
    <t>603169.XSHG</t>
  </si>
  <si>
    <t>603177.XSHG</t>
  </si>
  <si>
    <t>603183.XSHG</t>
  </si>
  <si>
    <t>603200.XSHG</t>
  </si>
  <si>
    <t>603203.XSHG</t>
  </si>
  <si>
    <t>603218.XSHG</t>
  </si>
  <si>
    <t>603223.XSHG</t>
  </si>
  <si>
    <t>603269.XSHG</t>
  </si>
  <si>
    <t>603277.XSHG</t>
  </si>
  <si>
    <t>603283.XSHG</t>
  </si>
  <si>
    <t>603289.XSHG</t>
  </si>
  <si>
    <t>603297.XSHG</t>
  </si>
  <si>
    <t>603298.XSHG</t>
  </si>
  <si>
    <t>603300.XSHG</t>
  </si>
  <si>
    <t>603308.XSHG</t>
  </si>
  <si>
    <t>603315.XSHG</t>
  </si>
  <si>
    <t>603316.XSHG</t>
  </si>
  <si>
    <t>603318.XSHG</t>
  </si>
  <si>
    <t>603320.XSHG</t>
  </si>
  <si>
    <t>603321.XSHG</t>
  </si>
  <si>
    <t>603329.XSHG</t>
  </si>
  <si>
    <t>603331.XSHG</t>
  </si>
  <si>
    <t>603333.XSHG</t>
  </si>
  <si>
    <t>603337.XSHG</t>
  </si>
  <si>
    <t>603338.XSHG</t>
  </si>
  <si>
    <t>603339.XSHG</t>
  </si>
  <si>
    <t>603356.XSHG</t>
  </si>
  <si>
    <t>603357.XSHG</t>
  </si>
  <si>
    <t>603359.XSHG</t>
  </si>
  <si>
    <t>603385.XSHG</t>
  </si>
  <si>
    <t>603388.XSHG</t>
  </si>
  <si>
    <t>603396.XSHG</t>
  </si>
  <si>
    <t>603416.XSHG</t>
  </si>
  <si>
    <t>603429.XSHG</t>
  </si>
  <si>
    <t>603458.XSHG</t>
  </si>
  <si>
    <t>603466.XSHG</t>
  </si>
  <si>
    <t>603488.XSHG</t>
  </si>
  <si>
    <t>603500.XSHG</t>
  </si>
  <si>
    <t>603507.XSHG</t>
  </si>
  <si>
    <t>603535.XSHG</t>
  </si>
  <si>
    <t>603556.XSHG</t>
  </si>
  <si>
    <t>603568.XSHG</t>
  </si>
  <si>
    <t>603569.XSHG</t>
  </si>
  <si>
    <t>603577.XSHG</t>
  </si>
  <si>
    <t>603583.XSHG</t>
  </si>
  <si>
    <t>603588.XSHG</t>
  </si>
  <si>
    <t>603603.XSHG</t>
  </si>
  <si>
    <t>603606.XSHG</t>
  </si>
  <si>
    <t>603611.XSHG</t>
  </si>
  <si>
    <t>603617.XSHG</t>
  </si>
  <si>
    <t>603618.XSHG</t>
  </si>
  <si>
    <t>603628.XSHG</t>
  </si>
  <si>
    <t>603637.XSHG</t>
  </si>
  <si>
    <t>603638.XSHG</t>
  </si>
  <si>
    <t>603648.XSHG</t>
  </si>
  <si>
    <t>603656.XSHG</t>
  </si>
  <si>
    <t>603666.XSHG</t>
  </si>
  <si>
    <t>603667.XSHG</t>
  </si>
  <si>
    <t>603677.XSHG</t>
  </si>
  <si>
    <t>603679.XSHG</t>
  </si>
  <si>
    <t>603680.XSHG</t>
  </si>
  <si>
    <t>603686.XSHG</t>
  </si>
  <si>
    <t>603690.XSHG</t>
  </si>
  <si>
    <t>603698.XSHG</t>
  </si>
  <si>
    <t>603699.XSHG</t>
  </si>
  <si>
    <t>603703.XSHG</t>
  </si>
  <si>
    <t>603713.XSHG</t>
  </si>
  <si>
    <t>603717.XSHG</t>
  </si>
  <si>
    <t>603726.XSHG</t>
  </si>
  <si>
    <t>603728.XSHG</t>
  </si>
  <si>
    <t>603757.XSHG</t>
  </si>
  <si>
    <t>603776.XSHG</t>
  </si>
  <si>
    <t>603778.XSHG</t>
  </si>
  <si>
    <t>603789.XSHG</t>
  </si>
  <si>
    <t>603797.XSHG</t>
  </si>
  <si>
    <t>603813.XSHG</t>
  </si>
  <si>
    <t>603819.XSHG</t>
  </si>
  <si>
    <t>603828.XSHG</t>
  </si>
  <si>
    <t>603829.XSHG</t>
  </si>
  <si>
    <t>603843.XSHG</t>
  </si>
  <si>
    <t>603855.XSHG</t>
  </si>
  <si>
    <t>603856.XSHG</t>
  </si>
  <si>
    <t>603859.XSHG</t>
  </si>
  <si>
    <t>603860.XSHG</t>
  </si>
  <si>
    <t>603861.XSHG</t>
  </si>
  <si>
    <t>603871.XSHG</t>
  </si>
  <si>
    <t>603885.XSHG</t>
  </si>
  <si>
    <t>603887.XSHG</t>
  </si>
  <si>
    <t>603895.XSHG</t>
  </si>
  <si>
    <t>603897.XSHG</t>
  </si>
  <si>
    <t>603899.XSHG</t>
  </si>
  <si>
    <t>603901.XSHG</t>
  </si>
  <si>
    <t>603903.XSHG</t>
  </si>
  <si>
    <t>603909.XSHG</t>
  </si>
  <si>
    <t>603912.XSHG</t>
  </si>
  <si>
    <t>603917.XSHG</t>
  </si>
  <si>
    <t>603929.XSHG</t>
  </si>
  <si>
    <t>603933.XSHG</t>
  </si>
  <si>
    <t>603955.XSHG</t>
  </si>
  <si>
    <t>603959.XSHG</t>
  </si>
  <si>
    <t>603960.XSHG</t>
  </si>
  <si>
    <t>603966.XSHG</t>
  </si>
  <si>
    <t>603979.XSHG</t>
  </si>
  <si>
    <t>603985.XSHG</t>
  </si>
  <si>
    <t>603988.XSHG</t>
  </si>
  <si>
    <t>000016.XSHE</t>
  </si>
  <si>
    <t>HY004</t>
  </si>
  <si>
    <t>000017.XSHE</t>
  </si>
  <si>
    <t>000020.XSHE</t>
  </si>
  <si>
    <t>000025.XSHE</t>
  </si>
  <si>
    <t>000026.XSHE</t>
  </si>
  <si>
    <t>000030.XSHE</t>
  </si>
  <si>
    <t>000038.XSHE</t>
  </si>
  <si>
    <t>000062.XSHE</t>
  </si>
  <si>
    <t>000069.XSHE</t>
  </si>
  <si>
    <t>000100.XSHE</t>
  </si>
  <si>
    <t>000156.XSHE</t>
  </si>
  <si>
    <t>000158.XSHE</t>
  </si>
  <si>
    <t>000333.XSHE</t>
  </si>
  <si>
    <t>000417.XSHE</t>
  </si>
  <si>
    <t>000418.XSHE</t>
  </si>
  <si>
    <t>000419.XSHE</t>
  </si>
  <si>
    <t>000428.XSHE</t>
  </si>
  <si>
    <t>000430.XSHE</t>
  </si>
  <si>
    <t>000501.XSHE</t>
  </si>
  <si>
    <t>000516.XSHE</t>
  </si>
  <si>
    <t>000521.XSHE</t>
  </si>
  <si>
    <t>000524.XSHE</t>
  </si>
  <si>
    <t>000526.XSHE</t>
  </si>
  <si>
    <t>000533.XSHE</t>
  </si>
  <si>
    <t>000541.XSHE</t>
  </si>
  <si>
    <t>000550.XSHE</t>
  </si>
  <si>
    <t>000558.XSHE</t>
  </si>
  <si>
    <t>000559.XSHE</t>
  </si>
  <si>
    <t>000564.XSHE</t>
  </si>
  <si>
    <t>000572.XSHE</t>
  </si>
  <si>
    <t>000581.XSHE</t>
  </si>
  <si>
    <t>000587.XSHE</t>
  </si>
  <si>
    <t>000589.XSHE</t>
  </si>
  <si>
    <t>000599.XSHE</t>
  </si>
  <si>
    <t>000607.XSHE</t>
  </si>
  <si>
    <t>000610.XSHE</t>
  </si>
  <si>
    <t>000611.XSHE</t>
  </si>
  <si>
    <t>000613.XSHE</t>
  </si>
  <si>
    <t>000622.XSHE</t>
  </si>
  <si>
    <t>000625.XSHE</t>
  </si>
  <si>
    <t>000651.XSHE</t>
  </si>
  <si>
    <t>000663.XSHE</t>
  </si>
  <si>
    <t>000665.XSHE</t>
  </si>
  <si>
    <t>000673.XSHE</t>
  </si>
  <si>
    <t>000679.XSHE</t>
  </si>
  <si>
    <t>000681.XSHE</t>
  </si>
  <si>
    <t>000700.XSHE</t>
  </si>
  <si>
    <t>000715.XSHE</t>
  </si>
  <si>
    <t>000719.XSHE</t>
  </si>
  <si>
    <t>000721.XSHE</t>
  </si>
  <si>
    <t>000726.XSHE</t>
  </si>
  <si>
    <t>000753.XSHE</t>
  </si>
  <si>
    <t>000757.XSHE</t>
  </si>
  <si>
    <t>000760.XSHE</t>
  </si>
  <si>
    <t>000779.XSHE</t>
  </si>
  <si>
    <t>000785.XSHE</t>
  </si>
  <si>
    <t>000793.XSHE</t>
  </si>
  <si>
    <t>000796.XSHE</t>
  </si>
  <si>
    <t>000800.XSHE</t>
  </si>
  <si>
    <t>000801.XSHE</t>
  </si>
  <si>
    <t>000802.XSHE</t>
  </si>
  <si>
    <t>000810.XSHE</t>
  </si>
  <si>
    <t>000839.XSHE</t>
  </si>
  <si>
    <t>000850.XSHE</t>
  </si>
  <si>
    <t>000851.XSHE</t>
  </si>
  <si>
    <t>000868.XSHE</t>
  </si>
  <si>
    <t>000882.XSHE</t>
  </si>
  <si>
    <t>000887.XSHE</t>
  </si>
  <si>
    <t>000888.XSHE</t>
  </si>
  <si>
    <t>000892.XSHE</t>
  </si>
  <si>
    <t>000901.XSHE</t>
  </si>
  <si>
    <t>000909.XSHE</t>
  </si>
  <si>
    <t>000913.XSHE</t>
  </si>
  <si>
    <t>000917.XSHE</t>
  </si>
  <si>
    <t>000921.XSHE</t>
  </si>
  <si>
    <t>000927.XSHE</t>
  </si>
  <si>
    <t>000955.XSHE</t>
  </si>
  <si>
    <t>000957.XSHE</t>
  </si>
  <si>
    <t>000978.XSHE</t>
  </si>
  <si>
    <t>000980.XSHE</t>
  </si>
  <si>
    <t>000981.XSHE</t>
  </si>
  <si>
    <t>000982.XSHE</t>
  </si>
  <si>
    <t>000996.XSHE</t>
  </si>
  <si>
    <t>001696.XSHE</t>
  </si>
  <si>
    <t>002003.XSHE</t>
  </si>
  <si>
    <t>002015.XSHE</t>
  </si>
  <si>
    <t>002024.XSHE</t>
  </si>
  <si>
    <t>002027.XSHE</t>
  </si>
  <si>
    <t>002029.XSHE</t>
  </si>
  <si>
    <t>002032.XSHE</t>
  </si>
  <si>
    <t>002033.XSHE</t>
  </si>
  <si>
    <t>002035.XSHE</t>
  </si>
  <si>
    <t>002042.XSHE</t>
  </si>
  <si>
    <t>002045.XSHE</t>
  </si>
  <si>
    <t>002048.XSHE</t>
  </si>
  <si>
    <t>002052.XSHE</t>
  </si>
  <si>
    <t>002059.XSHE</t>
  </si>
  <si>
    <t>002071.XSHE</t>
  </si>
  <si>
    <t>002076.XSHE</t>
  </si>
  <si>
    <t>002083.XSHE</t>
  </si>
  <si>
    <t>002085.XSHE</t>
  </si>
  <si>
    <t>002087.XSHE</t>
  </si>
  <si>
    <t>002098.XSHE</t>
  </si>
  <si>
    <t>002101.XSHE</t>
  </si>
  <si>
    <t>002105.XSHE</t>
  </si>
  <si>
    <t>002115.XSHE</t>
  </si>
  <si>
    <t>002126.XSHE</t>
  </si>
  <si>
    <t>002127.XSHE</t>
  </si>
  <si>
    <t>002131.XSHE</t>
  </si>
  <si>
    <t>002137.XSHE</t>
  </si>
  <si>
    <t>002143.XSHE</t>
  </si>
  <si>
    <t>002144.XSHE</t>
  </si>
  <si>
    <t>002154.XSHE</t>
  </si>
  <si>
    <t>002159.XSHE</t>
  </si>
  <si>
    <t>002175.XSHE</t>
  </si>
  <si>
    <t>002181.XSHE</t>
  </si>
  <si>
    <t>002186.XSHE</t>
  </si>
  <si>
    <t>002187.XSHE</t>
  </si>
  <si>
    <t>002188.XSHE</t>
  </si>
  <si>
    <t>002193.XSHE</t>
  </si>
  <si>
    <t>002213.XSHE</t>
  </si>
  <si>
    <t>002238.XSHE</t>
  </si>
  <si>
    <t>002239.XSHE</t>
  </si>
  <si>
    <t>002242.XSHE</t>
  </si>
  <si>
    <t>002261.XSHE</t>
  </si>
  <si>
    <t>002265.XSHE</t>
  </si>
  <si>
    <t>002269.XSHE</t>
  </si>
  <si>
    <t>002277.XSHE</t>
  </si>
  <si>
    <t>002283.XSHE</t>
  </si>
  <si>
    <t>002284.XSHE</t>
  </si>
  <si>
    <t>002290.XSHE</t>
  </si>
  <si>
    <t>002291.XSHE</t>
  </si>
  <si>
    <t>002292.XSHE</t>
  </si>
  <si>
    <t>002293.XSHE</t>
  </si>
  <si>
    <t>002306.XSHE</t>
  </si>
  <si>
    <t>002327.XSHE</t>
  </si>
  <si>
    <t>002328.XSHE</t>
  </si>
  <si>
    <t>002343.XSHE</t>
  </si>
  <si>
    <t>002345.XSHE</t>
  </si>
  <si>
    <t>002348.XSHE</t>
  </si>
  <si>
    <t>002351.XSHE</t>
  </si>
  <si>
    <t>002355.XSHE</t>
  </si>
  <si>
    <t>002356.XSHE</t>
  </si>
  <si>
    <t>002363.XSHE</t>
  </si>
  <si>
    <t>002394.XSHE</t>
  </si>
  <si>
    <t>002397.XSHE</t>
  </si>
  <si>
    <t>002400.XSHE</t>
  </si>
  <si>
    <t>002403.XSHE</t>
  </si>
  <si>
    <t>002404.XSHE</t>
  </si>
  <si>
    <t>002406.XSHE</t>
  </si>
  <si>
    <t>002419.XSHE</t>
  </si>
  <si>
    <t>002420.XSHE</t>
  </si>
  <si>
    <t>002429.XSHE</t>
  </si>
  <si>
    <t>002434.XSHE</t>
  </si>
  <si>
    <t>002445.XSHE</t>
  </si>
  <si>
    <t>002447.XSHE</t>
  </si>
  <si>
    <t>002448.XSHE</t>
  </si>
  <si>
    <t>002454.XSHE</t>
  </si>
  <si>
    <t>002473.XSHE</t>
  </si>
  <si>
    <t>002485.XSHE</t>
  </si>
  <si>
    <t>002486.XSHE</t>
  </si>
  <si>
    <t>002488.XSHE</t>
  </si>
  <si>
    <t>002489.XSHE</t>
  </si>
  <si>
    <t>002494.XSHE</t>
  </si>
  <si>
    <t>002502.XSHE</t>
  </si>
  <si>
    <t>002503.XSHE</t>
  </si>
  <si>
    <t>002508.XSHE</t>
  </si>
  <si>
    <t>002510.XSHE</t>
  </si>
  <si>
    <t>002512.XSHE</t>
  </si>
  <si>
    <t>002516.XSHE</t>
  </si>
  <si>
    <t>002519.XSHE</t>
  </si>
  <si>
    <t>002536.XSHE</t>
  </si>
  <si>
    <t>002537.XSHE</t>
  </si>
  <si>
    <t>002543.XSHE</t>
  </si>
  <si>
    <t>002561.XSHE</t>
  </si>
  <si>
    <t>002563.XSHE</t>
  </si>
  <si>
    <t>002569.XSHE</t>
  </si>
  <si>
    <t>002571.XSHE</t>
  </si>
  <si>
    <t>002572.XSHE</t>
  </si>
  <si>
    <t>002574.XSHE</t>
  </si>
  <si>
    <t>002575.XSHE</t>
  </si>
  <si>
    <t>002590.XSHE</t>
  </si>
  <si>
    <t>002592.XSHE</t>
  </si>
  <si>
    <t>002594.XSHE</t>
  </si>
  <si>
    <t>002602.XSHE</t>
  </si>
  <si>
    <t>002605.XSHE</t>
  </si>
  <si>
    <t>002607.XSHE</t>
  </si>
  <si>
    <t>002612.XSHE</t>
  </si>
  <si>
    <t>002615.XSHE</t>
  </si>
  <si>
    <t>002616.XSHE</t>
  </si>
  <si>
    <t>002634.XSHE</t>
  </si>
  <si>
    <t>002640.XSHE</t>
  </si>
  <si>
    <t>002656.XSHE</t>
  </si>
  <si>
    <t>002659.XSHE</t>
  </si>
  <si>
    <t>002662.XSHE</t>
  </si>
  <si>
    <t>002664.XSHE</t>
  </si>
  <si>
    <t>002668.XSHE</t>
  </si>
  <si>
    <t>002674.XSHE</t>
  </si>
  <si>
    <t>002677.XSHE</t>
  </si>
  <si>
    <t>002678.XSHE</t>
  </si>
  <si>
    <t>002681.XSHE</t>
  </si>
  <si>
    <t>002687.XSHE</t>
  </si>
  <si>
    <t>002699.XSHE</t>
  </si>
  <si>
    <t>002703.XSHE</t>
  </si>
  <si>
    <t>002705.XSHE</t>
  </si>
  <si>
    <t>002707.XSHE</t>
  </si>
  <si>
    <t>002708.XSHE</t>
  </si>
  <si>
    <t>002712.XSHE</t>
  </si>
  <si>
    <t>002715.XSHE</t>
  </si>
  <si>
    <t>002721.XSHE</t>
  </si>
  <si>
    <t>002723.XSHE</t>
  </si>
  <si>
    <t>002725.XSHE</t>
  </si>
  <si>
    <t>002731.XSHE</t>
  </si>
  <si>
    <t>002739.XSHE</t>
  </si>
  <si>
    <t>002740.XSHE</t>
  </si>
  <si>
    <t>002759.XSHE</t>
  </si>
  <si>
    <t>002761.XSHE</t>
  </si>
  <si>
    <t>002762.XSHE</t>
  </si>
  <si>
    <t>002763.XSHE</t>
  </si>
  <si>
    <t>002765.XSHE</t>
  </si>
  <si>
    <t>002766.XSHE</t>
  </si>
  <si>
    <t>002776.XSHE</t>
  </si>
  <si>
    <t>002780.XSHE</t>
  </si>
  <si>
    <t>002832.XSHE</t>
  </si>
  <si>
    <t>002848.XSHE</t>
  </si>
  <si>
    <t>002853.XSHE</t>
  </si>
  <si>
    <t>002858.XSHE</t>
  </si>
  <si>
    <t>002862.XSHE</t>
  </si>
  <si>
    <t>002863.XSHE</t>
  </si>
  <si>
    <t>002865.XSHE</t>
  </si>
  <si>
    <t>002867.XSHE</t>
  </si>
  <si>
    <t>002870.XSHE</t>
  </si>
  <si>
    <t>002875.XSHE</t>
  </si>
  <si>
    <t>002878.XSHE</t>
  </si>
  <si>
    <t>002888.XSHE</t>
  </si>
  <si>
    <t>002899.XSHE</t>
  </si>
  <si>
    <t>002905.XSHE</t>
  </si>
  <si>
    <t>002906.XSHE</t>
  </si>
  <si>
    <t>002920.XSHE</t>
  </si>
  <si>
    <t>300005.XSHE</t>
  </si>
  <si>
    <t>300022.XSHE</t>
  </si>
  <si>
    <t>300027.XSHE</t>
  </si>
  <si>
    <t>300028.XSHE</t>
  </si>
  <si>
    <t>300043.XSHE</t>
  </si>
  <si>
    <t>300058.XSHE</t>
  </si>
  <si>
    <t>300063.XSHE</t>
  </si>
  <si>
    <t>300071.XSHE</t>
  </si>
  <si>
    <t>300089.XSHE</t>
  </si>
  <si>
    <t>300100.XSHE</t>
  </si>
  <si>
    <t>300133.XSHE</t>
  </si>
  <si>
    <t>300144.XSHE</t>
  </si>
  <si>
    <t>300148.XSHE</t>
  </si>
  <si>
    <t>300160.XSHE</t>
  </si>
  <si>
    <t>300176.XSHE</t>
  </si>
  <si>
    <t>300178.XSHE</t>
  </si>
  <si>
    <t>300217.XSHE</t>
  </si>
  <si>
    <t>300242.XSHE</t>
  </si>
  <si>
    <t>300247.XSHE</t>
  </si>
  <si>
    <t>300251.XSHE</t>
  </si>
  <si>
    <t>300258.XSHE</t>
  </si>
  <si>
    <t>300269.XSHE</t>
  </si>
  <si>
    <t>300280.XSHE</t>
  </si>
  <si>
    <t>300282.XSHE</t>
  </si>
  <si>
    <t>300291.XSHE</t>
  </si>
  <si>
    <t>300304.XSHE</t>
  </si>
  <si>
    <t>300329.XSHE</t>
  </si>
  <si>
    <t>300336.XSHE</t>
  </si>
  <si>
    <t>300338.XSHE</t>
  </si>
  <si>
    <t>300343.XSHE</t>
  </si>
  <si>
    <t>300359.XSHE</t>
  </si>
  <si>
    <t>300364.XSHE</t>
  </si>
  <si>
    <t>300375.XSHE</t>
  </si>
  <si>
    <t>300392.XSHE</t>
  </si>
  <si>
    <t>300413.XSHE</t>
  </si>
  <si>
    <t>300426.XSHE</t>
  </si>
  <si>
    <t>300432.XSHE</t>
  </si>
  <si>
    <t>300473.XSHE</t>
  </si>
  <si>
    <t>300483.XSHE</t>
  </si>
  <si>
    <t>300507.XSHE</t>
  </si>
  <si>
    <t>300526.XSHE</t>
  </si>
  <si>
    <t>300528.XSHE</t>
  </si>
  <si>
    <t>300547.XSHE</t>
  </si>
  <si>
    <t>300577.XSHE</t>
  </si>
  <si>
    <t>300580.XSHE</t>
  </si>
  <si>
    <t>300585.XSHE</t>
  </si>
  <si>
    <t>300591.XSHE</t>
  </si>
  <si>
    <t>300611.XSHE</t>
  </si>
  <si>
    <t>300612.XSHE</t>
  </si>
  <si>
    <t>300616.XSHE</t>
  </si>
  <si>
    <t>300622.XSHE</t>
  </si>
  <si>
    <t>300625.XSHE</t>
  </si>
  <si>
    <t>300640.XSHE</t>
  </si>
  <si>
    <t>300643.XSHE</t>
  </si>
  <si>
    <t>300650.XSHE</t>
  </si>
  <si>
    <t>300651.XSHE</t>
  </si>
  <si>
    <t>300652.XSHE</t>
  </si>
  <si>
    <t>300654.XSHE</t>
  </si>
  <si>
    <t>300658.XSHE</t>
  </si>
  <si>
    <t>300680.XSHE</t>
  </si>
  <si>
    <t>300695.XSHE</t>
  </si>
  <si>
    <t>300703.XSHE</t>
  </si>
  <si>
    <t>300707.XSHE</t>
  </si>
  <si>
    <t>300729.XSHE</t>
  </si>
  <si>
    <t>300733.XSHE</t>
  </si>
  <si>
    <t>300736.XSHE</t>
  </si>
  <si>
    <t>300742.XSHE</t>
  </si>
  <si>
    <t>300745.XSHE</t>
  </si>
  <si>
    <t>300749.XSHE</t>
  </si>
  <si>
    <t>600006.XSHG</t>
  </si>
  <si>
    <t>600037.XSHG</t>
  </si>
  <si>
    <t>600054.XSHG</t>
  </si>
  <si>
    <t>600060.XSHG</t>
  </si>
  <si>
    <t>600066.XSHG</t>
  </si>
  <si>
    <t>600070.XSHG</t>
  </si>
  <si>
    <t>600071.XSHG</t>
  </si>
  <si>
    <t>600081.XSHG</t>
  </si>
  <si>
    <t>600086.XSHG</t>
  </si>
  <si>
    <t>600088.XSHG</t>
  </si>
  <si>
    <t>600099.XSHG</t>
  </si>
  <si>
    <t>600104.XSHG</t>
  </si>
  <si>
    <t>600107.XSHG</t>
  </si>
  <si>
    <t>600122.XSHG</t>
  </si>
  <si>
    <t>600128.XSHG</t>
  </si>
  <si>
    <t>600136.XSHG</t>
  </si>
  <si>
    <t>600137.XSHG</t>
  </si>
  <si>
    <t>600138.XSHG</t>
  </si>
  <si>
    <t>600139.XSHG</t>
  </si>
  <si>
    <t>600146.XSHG</t>
  </si>
  <si>
    <t>600148.XSHG</t>
  </si>
  <si>
    <t>600156.XSHG</t>
  </si>
  <si>
    <t>600166.XSHG</t>
  </si>
  <si>
    <t>600178.XSHG</t>
  </si>
  <si>
    <t>600182.XSHG</t>
  </si>
  <si>
    <t>600213.XSHG</t>
  </si>
  <si>
    <t>600220.XSHG</t>
  </si>
  <si>
    <t>600229.XSHG</t>
  </si>
  <si>
    <t>600232.XSHG</t>
  </si>
  <si>
    <t>600241.XSHG</t>
  </si>
  <si>
    <t>600250.XSHG</t>
  </si>
  <si>
    <t>600258.XSHG</t>
  </si>
  <si>
    <t>600261.XSHG</t>
  </si>
  <si>
    <t>600278.XSHG</t>
  </si>
  <si>
    <t>600280.XSHG</t>
  </si>
  <si>
    <t>600287.XSHG</t>
  </si>
  <si>
    <t>600293.XSHG</t>
  </si>
  <si>
    <t>600297.XSHG</t>
  </si>
  <si>
    <t>600303.XSHG</t>
  </si>
  <si>
    <t>600306.XSHG</t>
  </si>
  <si>
    <t>600327.XSHG</t>
  </si>
  <si>
    <t>600335.XSHG</t>
  </si>
  <si>
    <t>600336.XSHG</t>
  </si>
  <si>
    <t>600337.XSHG</t>
  </si>
  <si>
    <t>600358.XSHG</t>
  </si>
  <si>
    <t>600370.XSHG</t>
  </si>
  <si>
    <t>600373.XSHG</t>
  </si>
  <si>
    <t>600385.XSHG</t>
  </si>
  <si>
    <t>600386.XSHG</t>
  </si>
  <si>
    <t>600398.XSHG</t>
  </si>
  <si>
    <t>600400.XSHG</t>
  </si>
  <si>
    <t>600418.XSHG</t>
  </si>
  <si>
    <t>600448.XSHG</t>
  </si>
  <si>
    <t>600469.XSHG</t>
  </si>
  <si>
    <t>600480.XSHG</t>
  </si>
  <si>
    <t>600493.XSHG</t>
  </si>
  <si>
    <t>600523.XSHG</t>
  </si>
  <si>
    <t>600551.XSHG</t>
  </si>
  <si>
    <t>600576.XSHG</t>
  </si>
  <si>
    <t>600593.XSHG</t>
  </si>
  <si>
    <t>600609.XSHG</t>
  </si>
  <si>
    <t>600612.XSHG</t>
  </si>
  <si>
    <t>600626.XSHG</t>
  </si>
  <si>
    <t>600628.XSHG</t>
  </si>
  <si>
    <t>600630.XSHG</t>
  </si>
  <si>
    <t>600633.XSHG</t>
  </si>
  <si>
    <t>600637.XSHG</t>
  </si>
  <si>
    <t>600651.XSHG</t>
  </si>
  <si>
    <t>600653.XSHG</t>
  </si>
  <si>
    <t>600655.XSHG</t>
  </si>
  <si>
    <t>600660.XSHG</t>
  </si>
  <si>
    <t>600661.XSHG</t>
  </si>
  <si>
    <t>600676.XSHG</t>
  </si>
  <si>
    <t>600679.XSHG</t>
  </si>
  <si>
    <t>600682.XSHG</t>
  </si>
  <si>
    <t>600686.XSHG</t>
  </si>
  <si>
    <t>600687.XSHG</t>
  </si>
  <si>
    <t>600689.XSHG</t>
  </si>
  <si>
    <t>600690.XSHG</t>
  </si>
  <si>
    <t>600693.XSHG</t>
  </si>
  <si>
    <t>600694.XSHG</t>
  </si>
  <si>
    <t>600697.XSHG</t>
  </si>
  <si>
    <t>600698.XSHG</t>
  </si>
  <si>
    <t>600699.XSHG</t>
  </si>
  <si>
    <t>600706.XSHG</t>
  </si>
  <si>
    <t>600712.XSHG</t>
  </si>
  <si>
    <t>600715.XSHG</t>
  </si>
  <si>
    <t>600723.XSHG</t>
  </si>
  <si>
    <t>600729.XSHG</t>
  </si>
  <si>
    <t>600733.XSHG</t>
  </si>
  <si>
    <t>600735.XSHG</t>
  </si>
  <si>
    <t>600738.XSHG</t>
  </si>
  <si>
    <t>600739.XSHG</t>
  </si>
  <si>
    <t>600741.XSHG</t>
  </si>
  <si>
    <t>600742.XSHG</t>
  </si>
  <si>
    <t>600749.XSHG</t>
  </si>
  <si>
    <t>600751.XSHG</t>
  </si>
  <si>
    <t>600754.XSHG</t>
  </si>
  <si>
    <t>600757.XSHG</t>
  </si>
  <si>
    <t>600774.XSHG</t>
  </si>
  <si>
    <t>600778.XSHG</t>
  </si>
  <si>
    <t>600785.XSHG</t>
  </si>
  <si>
    <t>600814.XSHG</t>
  </si>
  <si>
    <t>600818.XSHG</t>
  </si>
  <si>
    <t>600821.XSHG</t>
  </si>
  <si>
    <t>600824.XSHG</t>
  </si>
  <si>
    <t>600825.XSHG</t>
  </si>
  <si>
    <t>600828.XSHG</t>
  </si>
  <si>
    <t>600830.XSHG</t>
  </si>
  <si>
    <t>600831.XSHG</t>
  </si>
  <si>
    <t>600838.XSHG</t>
  </si>
  <si>
    <t>600839.XSHG</t>
  </si>
  <si>
    <t>600854.XSHG</t>
  </si>
  <si>
    <t>600857.XSHG</t>
  </si>
  <si>
    <t>600858.XSHG</t>
  </si>
  <si>
    <t>600859.XSHG</t>
  </si>
  <si>
    <t>600865.XSHG</t>
  </si>
  <si>
    <t>600877.XSHG</t>
  </si>
  <si>
    <t>600880.XSHG</t>
  </si>
  <si>
    <t>600891.XSHG</t>
  </si>
  <si>
    <t>600892.XSHG</t>
  </si>
  <si>
    <t>600933.XSHG</t>
  </si>
  <si>
    <t>600936.XSHG</t>
  </si>
  <si>
    <t>600959.XSHG</t>
  </si>
  <si>
    <t>600960.XSHG</t>
  </si>
  <si>
    <t>600977.XSHG</t>
  </si>
  <si>
    <t>600978.XSHG</t>
  </si>
  <si>
    <t>600981.XSHG</t>
  </si>
  <si>
    <t>600983.XSHG</t>
  </si>
  <si>
    <t>600987.XSHG</t>
  </si>
  <si>
    <t>600996.XSHG</t>
  </si>
  <si>
    <t>601007.XSHG</t>
  </si>
  <si>
    <t>601010.XSHG</t>
  </si>
  <si>
    <t>601019.XSHG</t>
  </si>
  <si>
    <t>601058.XSHG</t>
  </si>
  <si>
    <t>601086.XSHG</t>
  </si>
  <si>
    <t>601098.XSHG</t>
  </si>
  <si>
    <t>601127.XSHG</t>
  </si>
  <si>
    <t>601163.XSHG</t>
  </si>
  <si>
    <t>601238.XSHG</t>
  </si>
  <si>
    <t>601258.XSHG</t>
  </si>
  <si>
    <t>601339.XSHG</t>
  </si>
  <si>
    <t>601366.XSHG</t>
  </si>
  <si>
    <t>601500.XSHG</t>
  </si>
  <si>
    <t>601566.XSHG</t>
  </si>
  <si>
    <t>601595.XSHG</t>
  </si>
  <si>
    <t>601599.XSHG</t>
  </si>
  <si>
    <t>601633.XSHG</t>
  </si>
  <si>
    <t>601689.XSHG</t>
  </si>
  <si>
    <t>601718.XSHG</t>
  </si>
  <si>
    <t>601777.XSHG</t>
  </si>
  <si>
    <t>601799.XSHG</t>
  </si>
  <si>
    <t>601801.XSHG</t>
  </si>
  <si>
    <t>601811.XSHG</t>
  </si>
  <si>
    <t>601828.XSHG</t>
  </si>
  <si>
    <t>601858.XSHG</t>
  </si>
  <si>
    <t>601888.XSHG</t>
  </si>
  <si>
    <t>601900.XSHG</t>
  </si>
  <si>
    <t>601928.XSHG</t>
  </si>
  <si>
    <t>601929.XSHG</t>
  </si>
  <si>
    <t>601949.XSHG</t>
  </si>
  <si>
    <t>601965.XSHG</t>
  </si>
  <si>
    <t>601966.XSHG</t>
  </si>
  <si>
    <t>601999.XSHG</t>
  </si>
  <si>
    <t>603001.XSHG</t>
  </si>
  <si>
    <t>603006.XSHG</t>
  </si>
  <si>
    <t>603008.XSHG</t>
  </si>
  <si>
    <t>603009.XSHG</t>
  </si>
  <si>
    <t>603013.XSHG</t>
  </si>
  <si>
    <t>603023.XSHG</t>
  </si>
  <si>
    <t>603035.XSHG</t>
  </si>
  <si>
    <t>603037.XSHG</t>
  </si>
  <si>
    <t>603040.XSHG</t>
  </si>
  <si>
    <t>603089.XSHG</t>
  </si>
  <si>
    <t>603096.XSHG</t>
  </si>
  <si>
    <t>603099.XSHG</t>
  </si>
  <si>
    <t>603101.XSHG</t>
  </si>
  <si>
    <t>603103.XSHG</t>
  </si>
  <si>
    <t>603116.XSHG</t>
  </si>
  <si>
    <t>603123.XSHG</t>
  </si>
  <si>
    <t>603129.XSHG</t>
  </si>
  <si>
    <t>603136.XSHG</t>
  </si>
  <si>
    <t>603157.XSHG</t>
  </si>
  <si>
    <t>603158.XSHG</t>
  </si>
  <si>
    <t>603161.XSHG</t>
  </si>
  <si>
    <t>603166.XSHG</t>
  </si>
  <si>
    <t>603178.XSHG</t>
  </si>
  <si>
    <t>603179.XSHG</t>
  </si>
  <si>
    <t>603180.XSHG</t>
  </si>
  <si>
    <t>603196.XSHG</t>
  </si>
  <si>
    <t>603197.XSHG</t>
  </si>
  <si>
    <t>603199.XSHG</t>
  </si>
  <si>
    <t>603208.XSHG</t>
  </si>
  <si>
    <t>603214.XSHG</t>
  </si>
  <si>
    <t>603238.XSHG</t>
  </si>
  <si>
    <t>603239.XSHG</t>
  </si>
  <si>
    <t>603266.XSHG</t>
  </si>
  <si>
    <t>603268.XSHG</t>
  </si>
  <si>
    <t>603286.XSHG</t>
  </si>
  <si>
    <t>603303.XSHG</t>
  </si>
  <si>
    <t>603305.XSHG</t>
  </si>
  <si>
    <t>603306.XSHG</t>
  </si>
  <si>
    <t>603311.XSHG</t>
  </si>
  <si>
    <t>603313.XSHG</t>
  </si>
  <si>
    <t>603319.XSHG</t>
  </si>
  <si>
    <t>603326.XSHG</t>
  </si>
  <si>
    <t>603335.XSHG</t>
  </si>
  <si>
    <t>603348.XSHG</t>
  </si>
  <si>
    <t>603355.XSHG</t>
  </si>
  <si>
    <t>603358.XSHG</t>
  </si>
  <si>
    <t>603365.XSHG</t>
  </si>
  <si>
    <t>603366.XSHG</t>
  </si>
  <si>
    <t>603377.XSHG</t>
  </si>
  <si>
    <t>603389.XSHG</t>
  </si>
  <si>
    <t>603398.XSHG</t>
  </si>
  <si>
    <t>603399.XSHG</t>
  </si>
  <si>
    <t>603477.XSHG</t>
  </si>
  <si>
    <t>603486.XSHG</t>
  </si>
  <si>
    <t>603515.XSHG</t>
  </si>
  <si>
    <t>603518.XSHG</t>
  </si>
  <si>
    <t>603519.XSHG</t>
  </si>
  <si>
    <t>603533.XSHG</t>
  </si>
  <si>
    <t>603555.XSHG</t>
  </si>
  <si>
    <t>603557.XSHG</t>
  </si>
  <si>
    <t>603558.XSHG</t>
  </si>
  <si>
    <t>603578.XSHG</t>
  </si>
  <si>
    <t>603586.XSHG</t>
  </si>
  <si>
    <t>603587.XSHG</t>
  </si>
  <si>
    <t>603596.XSHG</t>
  </si>
  <si>
    <t>603598.XSHG</t>
  </si>
  <si>
    <t>603600.XSHG</t>
  </si>
  <si>
    <t>603608.XSHG</t>
  </si>
  <si>
    <t>603615.XSHG</t>
  </si>
  <si>
    <t>603655.XSHG</t>
  </si>
  <si>
    <t>603657.XSHG</t>
  </si>
  <si>
    <t>603661.XSHG</t>
  </si>
  <si>
    <t>603665.XSHG</t>
  </si>
  <si>
    <t>603685.XSHG</t>
  </si>
  <si>
    <t>603701.XSHG</t>
  </si>
  <si>
    <t>603709.XSHG</t>
  </si>
  <si>
    <t>603721.XSHG</t>
  </si>
  <si>
    <t>603729.XSHG</t>
  </si>
  <si>
    <t>603730.XSHG</t>
  </si>
  <si>
    <t>603758.XSHG</t>
  </si>
  <si>
    <t>603766.XSHG</t>
  </si>
  <si>
    <t>603767.XSHG</t>
  </si>
  <si>
    <t>603768.XSHG</t>
  </si>
  <si>
    <t>603787.XSHG</t>
  </si>
  <si>
    <t>603788.XSHG</t>
  </si>
  <si>
    <t>603801.XSHG</t>
  </si>
  <si>
    <t>603808.XSHG</t>
  </si>
  <si>
    <t>603809.XSHG</t>
  </si>
  <si>
    <t>603816.XSHG</t>
  </si>
  <si>
    <t>603818.XSHG</t>
  </si>
  <si>
    <t>603825.XSHG</t>
  </si>
  <si>
    <t>603833.XSHG</t>
  </si>
  <si>
    <t>603838.XSHG</t>
  </si>
  <si>
    <t>603839.XSHG</t>
  </si>
  <si>
    <t>603848.XSHG</t>
  </si>
  <si>
    <t>603868.XSHG</t>
  </si>
  <si>
    <t>603877.XSHG</t>
  </si>
  <si>
    <t>603889.XSHG</t>
  </si>
  <si>
    <t>603898.XSHG</t>
  </si>
  <si>
    <t>603900.XSHG</t>
  </si>
  <si>
    <t>603908.XSHG</t>
  </si>
  <si>
    <t>603922.XSHG</t>
  </si>
  <si>
    <t>603926.XSHG</t>
  </si>
  <si>
    <t>603958.XSHG</t>
  </si>
  <si>
    <t>603996.XSHG</t>
  </si>
  <si>
    <t>603997.XSHG</t>
  </si>
  <si>
    <t>603999.XSHG</t>
  </si>
  <si>
    <t>000019.XSHE</t>
  </si>
  <si>
    <t>HY005</t>
  </si>
  <si>
    <t>000048.XSHE</t>
  </si>
  <si>
    <t>000061.XSHE</t>
  </si>
  <si>
    <t>000078.XSHE</t>
  </si>
  <si>
    <t>000411.XSHE</t>
  </si>
  <si>
    <t>000505.XSHE</t>
  </si>
  <si>
    <t>000523.XSHE</t>
  </si>
  <si>
    <t>000568.XSHE</t>
  </si>
  <si>
    <t>000596.XSHE</t>
  </si>
  <si>
    <t>000639.XSHE</t>
  </si>
  <si>
    <t>000702.XSHE</t>
  </si>
  <si>
    <t>000705.XSHE</t>
  </si>
  <si>
    <t>000713.XSHE</t>
  </si>
  <si>
    <t>000716.XSHE</t>
  </si>
  <si>
    <t>000729.XSHE</t>
  </si>
  <si>
    <t>000735.XSHE</t>
  </si>
  <si>
    <t>000737.XSHE</t>
  </si>
  <si>
    <t>000752.XSHE</t>
  </si>
  <si>
    <t>000759.XSHE</t>
  </si>
  <si>
    <t>000798.XSHE</t>
  </si>
  <si>
    <t>000799.XSHE</t>
  </si>
  <si>
    <t>000848.XSHE</t>
  </si>
  <si>
    <t>000858.XSHE</t>
  </si>
  <si>
    <t>000860.XSHE</t>
  </si>
  <si>
    <t>000869.XSHE</t>
  </si>
  <si>
    <t>000876.XSHE</t>
  </si>
  <si>
    <t>000893.XSHE</t>
  </si>
  <si>
    <t>000895.XSHE</t>
  </si>
  <si>
    <t>000911.XSHE</t>
  </si>
  <si>
    <t>000929.XSHE</t>
  </si>
  <si>
    <t>000950.XSHE</t>
  </si>
  <si>
    <t>000963.XSHE</t>
  </si>
  <si>
    <t>000972.XSHE</t>
  </si>
  <si>
    <t>000995.XSHE</t>
  </si>
  <si>
    <t>000998.XSHE</t>
  </si>
  <si>
    <t>002041.XSHE</t>
  </si>
  <si>
    <t>002069.XSHE</t>
  </si>
  <si>
    <t>002086.XSHE</t>
  </si>
  <si>
    <t>002094.XSHE</t>
  </si>
  <si>
    <t>002100.XSHE</t>
  </si>
  <si>
    <t>002124.XSHE</t>
  </si>
  <si>
    <t>002157.XSHE</t>
  </si>
  <si>
    <t>002216.XSHE</t>
  </si>
  <si>
    <t>002220.XSHE</t>
  </si>
  <si>
    <t>002234.XSHE</t>
  </si>
  <si>
    <t>002251.XSHE</t>
  </si>
  <si>
    <t>002264.XSHE</t>
  </si>
  <si>
    <t>002286.XSHE</t>
  </si>
  <si>
    <t>002299.XSHE</t>
  </si>
  <si>
    <t>002304.XSHE</t>
  </si>
  <si>
    <t>002311.XSHE</t>
  </si>
  <si>
    <t>002321.XSHE</t>
  </si>
  <si>
    <t>002329.XSHE</t>
  </si>
  <si>
    <t>002330.XSHE</t>
  </si>
  <si>
    <t>002336.XSHE</t>
  </si>
  <si>
    <t>002385.XSHE</t>
  </si>
  <si>
    <t>002458.XSHE</t>
  </si>
  <si>
    <t>002461.XSHE</t>
  </si>
  <si>
    <t>002462.XSHE</t>
  </si>
  <si>
    <t>002477.XSHE</t>
  </si>
  <si>
    <t>002481.XSHE</t>
  </si>
  <si>
    <t>002495.XSHE</t>
  </si>
  <si>
    <t>002505.XSHE</t>
  </si>
  <si>
    <t>002507.XSHE</t>
  </si>
  <si>
    <t>002511.XSHE</t>
  </si>
  <si>
    <t>002515.XSHE</t>
  </si>
  <si>
    <t>002548.XSHE</t>
  </si>
  <si>
    <t>002557.XSHE</t>
  </si>
  <si>
    <t>002567.XSHE</t>
  </si>
  <si>
    <t>002568.XSHE</t>
  </si>
  <si>
    <t>002570.XSHE</t>
  </si>
  <si>
    <t>002582.XSHE</t>
  </si>
  <si>
    <t>002589.XSHE</t>
  </si>
  <si>
    <t>002604.XSHE</t>
  </si>
  <si>
    <t>002646.XSHE</t>
  </si>
  <si>
    <t>002650.XSHE</t>
  </si>
  <si>
    <t>002661.XSHE</t>
  </si>
  <si>
    <t>002695.XSHE</t>
  </si>
  <si>
    <t>002696.XSHE</t>
  </si>
  <si>
    <t>002697.XSHE</t>
  </si>
  <si>
    <t>002702.XSHE</t>
  </si>
  <si>
    <t>002714.XSHE</t>
  </si>
  <si>
    <t>002719.XSHE</t>
  </si>
  <si>
    <t>002726.XSHE</t>
  </si>
  <si>
    <t>002727.XSHE</t>
  </si>
  <si>
    <t>002732.XSHE</t>
  </si>
  <si>
    <t>002746.XSHE</t>
  </si>
  <si>
    <t>002758.XSHE</t>
  </si>
  <si>
    <t>002770.XSHE</t>
  </si>
  <si>
    <t>002772.XSHE</t>
  </si>
  <si>
    <t>002788.XSHE</t>
  </si>
  <si>
    <t>002820.XSHE</t>
  </si>
  <si>
    <t>002840.XSHE</t>
  </si>
  <si>
    <t>002847.XSHE</t>
  </si>
  <si>
    <t>002852.XSHE</t>
  </si>
  <si>
    <t>002872.XSHE</t>
  </si>
  <si>
    <t>002891.XSHE</t>
  </si>
  <si>
    <t>002910.XSHE</t>
  </si>
  <si>
    <t>002919.XSHE</t>
  </si>
  <si>
    <t>300087.XSHE</t>
  </si>
  <si>
    <t>300094.XSHE</t>
  </si>
  <si>
    <t>300106.XSHE</t>
  </si>
  <si>
    <t>300138.XSHE</t>
  </si>
  <si>
    <t>300146.XSHE</t>
  </si>
  <si>
    <t>300175.XSHE</t>
  </si>
  <si>
    <t>300189.XSHE</t>
  </si>
  <si>
    <t>300268.XSHE</t>
  </si>
  <si>
    <t>300313.XSHE</t>
  </si>
  <si>
    <t>300498.XSHE</t>
  </si>
  <si>
    <t>300511.XSHE</t>
  </si>
  <si>
    <t>300673.XSHE</t>
  </si>
  <si>
    <t>300740.XSHE</t>
  </si>
  <si>
    <t>300741.XSHE</t>
  </si>
  <si>
    <t>600056.XSHG</t>
  </si>
  <si>
    <t>600059.XSHG</t>
  </si>
  <si>
    <t>600073.XSHG</t>
  </si>
  <si>
    <t>600084.XSHG</t>
  </si>
  <si>
    <t>600097.XSHG</t>
  </si>
  <si>
    <t>600108.XSHG</t>
  </si>
  <si>
    <t>600127.XSHG</t>
  </si>
  <si>
    <t>600132.XSHG</t>
  </si>
  <si>
    <t>600186.XSHG</t>
  </si>
  <si>
    <t>600189.XSHG</t>
  </si>
  <si>
    <t>600191.XSHG</t>
  </si>
  <si>
    <t>600197.XSHG</t>
  </si>
  <si>
    <t>600199.XSHG</t>
  </si>
  <si>
    <t>600211.XSHG</t>
  </si>
  <si>
    <t>600238.XSHG</t>
  </si>
  <si>
    <t>600249.XSHG</t>
  </si>
  <si>
    <t>600251.XSHG</t>
  </si>
  <si>
    <t>600257.XSHG</t>
  </si>
  <si>
    <t>600272.XSHG</t>
  </si>
  <si>
    <t>600275.XSHG</t>
  </si>
  <si>
    <t>600298.XSHG</t>
  </si>
  <si>
    <t>600300.XSHG</t>
  </si>
  <si>
    <t>600305.XSHG</t>
  </si>
  <si>
    <t>600315.XSHG</t>
  </si>
  <si>
    <t>600354.XSHG</t>
  </si>
  <si>
    <t>600359.XSHG</t>
  </si>
  <si>
    <t>600361.XSHG</t>
  </si>
  <si>
    <t>600365.XSHG</t>
  </si>
  <si>
    <t>600371.XSHG</t>
  </si>
  <si>
    <t>600381.XSHG</t>
  </si>
  <si>
    <t>600419.XSHG</t>
  </si>
  <si>
    <t>600429.XSHG</t>
  </si>
  <si>
    <t>600438.XSHG</t>
  </si>
  <si>
    <t>600439.XSHG</t>
  </si>
  <si>
    <t>600467.XSHG</t>
  </si>
  <si>
    <t>600506.XSHG</t>
  </si>
  <si>
    <t>600511.XSHG</t>
  </si>
  <si>
    <t>600519.XSHG</t>
  </si>
  <si>
    <t>600530.XSHG</t>
  </si>
  <si>
    <t>600540.XSHG</t>
  </si>
  <si>
    <t>600543.XSHG</t>
  </si>
  <si>
    <t>600559.XSHG</t>
  </si>
  <si>
    <t>600573.XSHG</t>
  </si>
  <si>
    <t>600597.XSHG</t>
  </si>
  <si>
    <t>600598.XSHG</t>
  </si>
  <si>
    <t>600600.XSHG</t>
  </si>
  <si>
    <t>600616.XSHG</t>
  </si>
  <si>
    <t>600647.XSHG</t>
  </si>
  <si>
    <t>600702.XSHG</t>
  </si>
  <si>
    <t>600713.XSHG</t>
  </si>
  <si>
    <t>600737.XSHG</t>
  </si>
  <si>
    <t>600779.XSHG</t>
  </si>
  <si>
    <t>600809.XSHG</t>
  </si>
  <si>
    <t>600811.XSHG</t>
  </si>
  <si>
    <t>600827.XSHG</t>
  </si>
  <si>
    <t>600829.XSHG</t>
  </si>
  <si>
    <t>600833.XSHG</t>
  </si>
  <si>
    <t>600861.XSHG</t>
  </si>
  <si>
    <t>600866.XSHG</t>
  </si>
  <si>
    <t>600872.XSHG</t>
  </si>
  <si>
    <t>600873.XSHG</t>
  </si>
  <si>
    <t>600882.XSHG</t>
  </si>
  <si>
    <t>600887.XSHG</t>
  </si>
  <si>
    <t>600929.XSHG</t>
  </si>
  <si>
    <t>600962.XSHG</t>
  </si>
  <si>
    <t>600965.XSHG</t>
  </si>
  <si>
    <t>600975.XSHG</t>
  </si>
  <si>
    <t>600998.XSHG</t>
  </si>
  <si>
    <t>601116.XSHG</t>
  </si>
  <si>
    <t>601118.XSHG</t>
  </si>
  <si>
    <t>601579.XSHG</t>
  </si>
  <si>
    <t>601607.XSHG</t>
  </si>
  <si>
    <t>601933.XSHG</t>
  </si>
  <si>
    <t>601952.XSHG</t>
  </si>
  <si>
    <t>603020.XSHG</t>
  </si>
  <si>
    <t>603027.XSHG</t>
  </si>
  <si>
    <t>603031.XSHG</t>
  </si>
  <si>
    <t>603043.XSHG</t>
  </si>
  <si>
    <t>603059.XSHG</t>
  </si>
  <si>
    <t>603156.XSHG</t>
  </si>
  <si>
    <t>603198.XSHG</t>
  </si>
  <si>
    <t>603233.XSHG</t>
  </si>
  <si>
    <t>603288.XSHG</t>
  </si>
  <si>
    <t>603336.XSHG</t>
  </si>
  <si>
    <t>603345.XSHG</t>
  </si>
  <si>
    <t>603363.XSHG</t>
  </si>
  <si>
    <t>603368.XSHG</t>
  </si>
  <si>
    <t>603369.XSHG</t>
  </si>
  <si>
    <t>603517.XSHG</t>
  </si>
  <si>
    <t>603536.XSHG</t>
  </si>
  <si>
    <t>603589.XSHG</t>
  </si>
  <si>
    <t>603605.XSHG</t>
  </si>
  <si>
    <t>603609.XSHG</t>
  </si>
  <si>
    <t>603630.XSHG</t>
  </si>
  <si>
    <t>603668.XSHG</t>
  </si>
  <si>
    <t>603696.XSHG</t>
  </si>
  <si>
    <t>603708.XSHG</t>
  </si>
  <si>
    <t>603711.XSHG</t>
  </si>
  <si>
    <t>603777.XSHG</t>
  </si>
  <si>
    <t>603779.XSHG</t>
  </si>
  <si>
    <t>603866.XSHG</t>
  </si>
  <si>
    <t>603883.XSHG</t>
  </si>
  <si>
    <t>603886.XSHG</t>
  </si>
  <si>
    <t>603919.XSHG</t>
  </si>
  <si>
    <t>603939.XSHG</t>
  </si>
  <si>
    <t>000004.XSHE</t>
  </si>
  <si>
    <t>HY006</t>
  </si>
  <si>
    <t>000028.XSHE</t>
  </si>
  <si>
    <t>000150.XSHE</t>
  </si>
  <si>
    <t>000153.XSHE</t>
  </si>
  <si>
    <t>000403.XSHE</t>
  </si>
  <si>
    <t>000423.XSHE</t>
  </si>
  <si>
    <t>000504.XSHE</t>
  </si>
  <si>
    <t>000513.XSHE</t>
  </si>
  <si>
    <t>000518.XSHE</t>
  </si>
  <si>
    <t>000538.XSHE</t>
  </si>
  <si>
    <t>000566.XSHE</t>
  </si>
  <si>
    <t>000590.XSHE</t>
  </si>
  <si>
    <t>000597.XSHE</t>
  </si>
  <si>
    <t>000623.XSHE</t>
  </si>
  <si>
    <t>000650.XSHE</t>
  </si>
  <si>
    <t>000661.XSHE</t>
  </si>
  <si>
    <t>000710.XSHE</t>
  </si>
  <si>
    <t>000739.XSHE</t>
  </si>
  <si>
    <t>000756.XSHE</t>
  </si>
  <si>
    <t>000766.XSHE</t>
  </si>
  <si>
    <t>000788.XSHE</t>
  </si>
  <si>
    <t>000790.XSHE</t>
  </si>
  <si>
    <t>000813.XSHE</t>
  </si>
  <si>
    <t>000908.XSHE</t>
  </si>
  <si>
    <t>000915.XSHE</t>
  </si>
  <si>
    <t>000919.XSHE</t>
  </si>
  <si>
    <t>000931.XSHE</t>
  </si>
  <si>
    <t>000952.XSHE</t>
  </si>
  <si>
    <t>000989.XSHE</t>
  </si>
  <si>
    <t>000999.XSHE</t>
  </si>
  <si>
    <t>002001.XSHE</t>
  </si>
  <si>
    <t>002007.XSHE</t>
  </si>
  <si>
    <t>002019.XSHE</t>
  </si>
  <si>
    <t>002020.XSHE</t>
  </si>
  <si>
    <t>002022.XSHE</t>
  </si>
  <si>
    <t>002030.XSHE</t>
  </si>
  <si>
    <t>002038.XSHE</t>
  </si>
  <si>
    <t>002044.XSHE</t>
  </si>
  <si>
    <t>002099.XSHE</t>
  </si>
  <si>
    <t>002102.XSHE</t>
  </si>
  <si>
    <t>002107.XSHE</t>
  </si>
  <si>
    <t>002118.XSHE</t>
  </si>
  <si>
    <t>002166.XSHE</t>
  </si>
  <si>
    <t>002172.XSHE</t>
  </si>
  <si>
    <t>002173.XSHE</t>
  </si>
  <si>
    <t>002198.XSHE</t>
  </si>
  <si>
    <t>002219.XSHE</t>
  </si>
  <si>
    <t>002223.XSHE</t>
  </si>
  <si>
    <t>002252.XSHE</t>
  </si>
  <si>
    <t>002262.XSHE</t>
  </si>
  <si>
    <t>002275.XSHE</t>
  </si>
  <si>
    <t>002287.XSHE</t>
  </si>
  <si>
    <t>002294.XSHE</t>
  </si>
  <si>
    <t>002317.XSHE</t>
  </si>
  <si>
    <t>002332.XSHE</t>
  </si>
  <si>
    <t>002349.XSHE</t>
  </si>
  <si>
    <t>002365.XSHE</t>
  </si>
  <si>
    <t>002370.XSHE</t>
  </si>
  <si>
    <t>002382.XSHE</t>
  </si>
  <si>
    <t>002390.XSHE</t>
  </si>
  <si>
    <t>002393.XSHE</t>
  </si>
  <si>
    <t>002399.XSHE</t>
  </si>
  <si>
    <t>002411.XSHE</t>
  </si>
  <si>
    <t>002412.XSHE</t>
  </si>
  <si>
    <t>002422.XSHE</t>
  </si>
  <si>
    <t>002424.XSHE</t>
  </si>
  <si>
    <t>002432.XSHE</t>
  </si>
  <si>
    <t>002433.XSHE</t>
  </si>
  <si>
    <t>002435.XSHE</t>
  </si>
  <si>
    <t>002437.XSHE</t>
  </si>
  <si>
    <t>002550.XSHE</t>
  </si>
  <si>
    <t>002551.XSHE</t>
  </si>
  <si>
    <t>002566.XSHE</t>
  </si>
  <si>
    <t>002581.XSHE</t>
  </si>
  <si>
    <t>002603.XSHE</t>
  </si>
  <si>
    <t>002614.XSHE</t>
  </si>
  <si>
    <t>002626.XSHE</t>
  </si>
  <si>
    <t>002644.XSHE</t>
  </si>
  <si>
    <t>002653.XSHE</t>
  </si>
  <si>
    <t>002675.XSHE</t>
  </si>
  <si>
    <t>002680.XSHE</t>
  </si>
  <si>
    <t>002688.XSHE</t>
  </si>
  <si>
    <t>002693.XSHE</t>
  </si>
  <si>
    <t>002728.XSHE</t>
  </si>
  <si>
    <t>002737.XSHE</t>
  </si>
  <si>
    <t>002750.XSHE</t>
  </si>
  <si>
    <t>002773.XSHE</t>
  </si>
  <si>
    <t>002817.XSHE</t>
  </si>
  <si>
    <t>002821.XSHE</t>
  </si>
  <si>
    <t>002826.XSHE</t>
  </si>
  <si>
    <t>002864.XSHE</t>
  </si>
  <si>
    <t>002868.XSHE</t>
  </si>
  <si>
    <t>002873.XSHE</t>
  </si>
  <si>
    <t>002880.XSHE</t>
  </si>
  <si>
    <t>002898.XSHE</t>
  </si>
  <si>
    <t>002900.XSHE</t>
  </si>
  <si>
    <t>002901.XSHE</t>
  </si>
  <si>
    <t>002907.XSHE</t>
  </si>
  <si>
    <t>002923.XSHE</t>
  </si>
  <si>
    <t>002932.XSHE</t>
  </si>
  <si>
    <t>300003.XSHE</t>
  </si>
  <si>
    <t>300006.XSHE</t>
  </si>
  <si>
    <t>300009.XSHE</t>
  </si>
  <si>
    <t>300015.XSHE</t>
  </si>
  <si>
    <t>300016.XSHE</t>
  </si>
  <si>
    <t>300026.XSHE</t>
  </si>
  <si>
    <t>300030.XSHE</t>
  </si>
  <si>
    <t>300039.XSHE</t>
  </si>
  <si>
    <t>300049.XSHE</t>
  </si>
  <si>
    <t>300061.XSHE</t>
  </si>
  <si>
    <t>300086.XSHE</t>
  </si>
  <si>
    <t>300108.XSHE</t>
  </si>
  <si>
    <t>300110.XSHE</t>
  </si>
  <si>
    <t>300119.XSHE</t>
  </si>
  <si>
    <t>300122.XSHE</t>
  </si>
  <si>
    <t>300142.XSHE</t>
  </si>
  <si>
    <t>300143.XSHE</t>
  </si>
  <si>
    <t>300147.XSHE</t>
  </si>
  <si>
    <t>300149.XSHE</t>
  </si>
  <si>
    <t>300158.XSHE</t>
  </si>
  <si>
    <t>300181.XSHE</t>
  </si>
  <si>
    <t>300194.XSHE</t>
  </si>
  <si>
    <t>300199.XSHE</t>
  </si>
  <si>
    <t>300204.XSHE</t>
  </si>
  <si>
    <t>300206.XSHE</t>
  </si>
  <si>
    <t>300233.XSHE</t>
  </si>
  <si>
    <t>300238.XSHE</t>
  </si>
  <si>
    <t>300239.XSHE</t>
  </si>
  <si>
    <t>300244.XSHE</t>
  </si>
  <si>
    <t>300246.XSHE</t>
  </si>
  <si>
    <t>300254.XSHE</t>
  </si>
  <si>
    <t>300255.XSHE</t>
  </si>
  <si>
    <t>300267.XSHE</t>
  </si>
  <si>
    <t>300273.XSHE</t>
  </si>
  <si>
    <t>300289.XSHE</t>
  </si>
  <si>
    <t>300294.XSHE</t>
  </si>
  <si>
    <t>300298.XSHE</t>
  </si>
  <si>
    <t>300314.XSHE</t>
  </si>
  <si>
    <t>300318.XSHE</t>
  </si>
  <si>
    <t>300326.XSHE</t>
  </si>
  <si>
    <t>300347.XSHE</t>
  </si>
  <si>
    <t>300357.XSHE</t>
  </si>
  <si>
    <t>300363.XSHE</t>
  </si>
  <si>
    <t>300381.XSHE</t>
  </si>
  <si>
    <t>300396.XSHE</t>
  </si>
  <si>
    <t>300401.XSHE</t>
  </si>
  <si>
    <t>300404.XSHE</t>
  </si>
  <si>
    <t>300406.XSHE</t>
  </si>
  <si>
    <t>300436.XSHE</t>
  </si>
  <si>
    <t>300439.XSHE</t>
  </si>
  <si>
    <t>300452.XSHE</t>
  </si>
  <si>
    <t>300453.XSHE</t>
  </si>
  <si>
    <t>300463.XSHE</t>
  </si>
  <si>
    <t>300482.XSHE</t>
  </si>
  <si>
    <t>300485.XSHE</t>
  </si>
  <si>
    <t>300497.XSHE</t>
  </si>
  <si>
    <t>300519.XSHE</t>
  </si>
  <si>
    <t>300529.XSHE</t>
  </si>
  <si>
    <t>300534.XSHE</t>
  </si>
  <si>
    <t>300558.XSHE</t>
  </si>
  <si>
    <t>300562.XSHE</t>
  </si>
  <si>
    <t>300573.XSHE</t>
  </si>
  <si>
    <t>300583.XSHE</t>
  </si>
  <si>
    <t>300584.XSHE</t>
  </si>
  <si>
    <t>300595.XSHE</t>
  </si>
  <si>
    <t>300601.XSHE</t>
  </si>
  <si>
    <t>300630.XSHE</t>
  </si>
  <si>
    <t>300633.XSHE</t>
  </si>
  <si>
    <t>300636.XSHE</t>
  </si>
  <si>
    <t>300639.XSHE</t>
  </si>
  <si>
    <t>300642.XSHE</t>
  </si>
  <si>
    <t>300653.XSHE</t>
  </si>
  <si>
    <t>300676.XSHE</t>
  </si>
  <si>
    <t>300677.XSHE</t>
  </si>
  <si>
    <t>300683.XSHE</t>
  </si>
  <si>
    <t>300685.XSHE</t>
  </si>
  <si>
    <t>300702.XSHE</t>
  </si>
  <si>
    <t>300705.XSHE</t>
  </si>
  <si>
    <t>300723.XSHE</t>
  </si>
  <si>
    <t>300725.XSHE</t>
  </si>
  <si>
    <t>600055.XSHG</t>
  </si>
  <si>
    <t>600062.XSHG</t>
  </si>
  <si>
    <t>600079.XSHG</t>
  </si>
  <si>
    <t>600080.XSHG</t>
  </si>
  <si>
    <t>600085.XSHG</t>
  </si>
  <si>
    <t>600090.XSHG</t>
  </si>
  <si>
    <t>600129.XSHG</t>
  </si>
  <si>
    <t>600161.XSHG</t>
  </si>
  <si>
    <t>600195.XSHG</t>
  </si>
  <si>
    <t>600196.XSHG</t>
  </si>
  <si>
    <t>600201.XSHG</t>
  </si>
  <si>
    <t>600216.XSHG</t>
  </si>
  <si>
    <t>600222.XSHG</t>
  </si>
  <si>
    <t>600227.XSHG</t>
  </si>
  <si>
    <t>600252.XSHG</t>
  </si>
  <si>
    <t>600267.XSHG</t>
  </si>
  <si>
    <t>600276.XSHG</t>
  </si>
  <si>
    <t>600285.XSHG</t>
  </si>
  <si>
    <t>600299.XSHG</t>
  </si>
  <si>
    <t>600329.XSHG</t>
  </si>
  <si>
    <t>600332.XSHG</t>
  </si>
  <si>
    <t>600351.XSHG</t>
  </si>
  <si>
    <t>600380.XSHG</t>
  </si>
  <si>
    <t>600420.XSHG</t>
  </si>
  <si>
    <t>600422.XSHG</t>
  </si>
  <si>
    <t>600436.XSHG</t>
  </si>
  <si>
    <t>600479.XSHG</t>
  </si>
  <si>
    <t>600488.XSHG</t>
  </si>
  <si>
    <t>600513.XSHG</t>
  </si>
  <si>
    <t>600518.XSHG</t>
  </si>
  <si>
    <t>600521.XSHG</t>
  </si>
  <si>
    <t>600535.XSHG</t>
  </si>
  <si>
    <t>600538.XSHG</t>
  </si>
  <si>
    <t>600557.XSHG</t>
  </si>
  <si>
    <t>600566.XSHG</t>
  </si>
  <si>
    <t>600568.XSHG</t>
  </si>
  <si>
    <t>600572.XSHG</t>
  </si>
  <si>
    <t>600587.XSHG</t>
  </si>
  <si>
    <t>600594.XSHG</t>
  </si>
  <si>
    <t>600613.XSHG</t>
  </si>
  <si>
    <t>600624.XSHG</t>
  </si>
  <si>
    <t>600645.XSHG</t>
  </si>
  <si>
    <t>600664.XSHG</t>
  </si>
  <si>
    <t>600671.XSHG</t>
  </si>
  <si>
    <t>600721.XSHG</t>
  </si>
  <si>
    <t>600750.XSHG</t>
  </si>
  <si>
    <t>600763.XSHG</t>
  </si>
  <si>
    <t>600771.XSHG</t>
  </si>
  <si>
    <t>600781.XSHG</t>
  </si>
  <si>
    <t>600789.XSHG</t>
  </si>
  <si>
    <t>600812.XSHG</t>
  </si>
  <si>
    <t>600851.XSHG</t>
  </si>
  <si>
    <t>600867.XSHG</t>
  </si>
  <si>
    <t>600896.XSHG</t>
  </si>
  <si>
    <t>600976.XSHG</t>
  </si>
  <si>
    <t>600993.XSHG</t>
  </si>
  <si>
    <t>603079.XSHG</t>
  </si>
  <si>
    <t>603108.XSHG</t>
  </si>
  <si>
    <t>603127.XSHG</t>
  </si>
  <si>
    <t>603139.XSHG</t>
  </si>
  <si>
    <t>603168.XSHG</t>
  </si>
  <si>
    <t>603222.XSHG</t>
  </si>
  <si>
    <t>603229.XSHG</t>
  </si>
  <si>
    <t>603259.XSHG</t>
  </si>
  <si>
    <t>603301.XSHG</t>
  </si>
  <si>
    <t>603309.XSHG</t>
  </si>
  <si>
    <t>603367.XSHG</t>
  </si>
  <si>
    <t>603387.XSHG</t>
  </si>
  <si>
    <t>603456.XSHG</t>
  </si>
  <si>
    <t>603520.XSHG</t>
  </si>
  <si>
    <t>603538.XSHG</t>
  </si>
  <si>
    <t>603566.XSHG</t>
  </si>
  <si>
    <t>603567.XSHG</t>
  </si>
  <si>
    <t>603579.XSHG</t>
  </si>
  <si>
    <t>603590.XSHG</t>
  </si>
  <si>
    <t>603658.XSHG</t>
  </si>
  <si>
    <t>603669.XSHG</t>
  </si>
  <si>
    <t>603676.XSHG</t>
  </si>
  <si>
    <t>603707.XSHG</t>
  </si>
  <si>
    <t>603716.XSHG</t>
  </si>
  <si>
    <t>603718.XSHG</t>
  </si>
  <si>
    <t>603811.XSHG</t>
  </si>
  <si>
    <t>603858.XSHG</t>
  </si>
  <si>
    <t>603880.XSHG</t>
  </si>
  <si>
    <t>603882.XSHG</t>
  </si>
  <si>
    <t>603896.XSHG</t>
  </si>
  <si>
    <t>603963.XSHG</t>
  </si>
  <si>
    <t>603987.XSHG</t>
  </si>
  <si>
    <t>603998.XSHG</t>
  </si>
  <si>
    <t>000001.XSHE</t>
  </si>
  <si>
    <t>HY007</t>
  </si>
  <si>
    <t>000166.XSHE</t>
  </si>
  <si>
    <t>000415.XSHE</t>
  </si>
  <si>
    <t>000416.XSHE</t>
  </si>
  <si>
    <t>000563.XSHE</t>
  </si>
  <si>
    <t>000567.XSHE</t>
  </si>
  <si>
    <t>000617.XSHE</t>
  </si>
  <si>
    <t>000627.XSHE</t>
  </si>
  <si>
    <t>000686.XSHE</t>
  </si>
  <si>
    <t>000712.XSHE</t>
  </si>
  <si>
    <t>000728.XSHE</t>
  </si>
  <si>
    <t>000750.XSHE</t>
  </si>
  <si>
    <t>000776.XSHE</t>
  </si>
  <si>
    <t>000783.XSHE</t>
  </si>
  <si>
    <t>000987.XSHE</t>
  </si>
  <si>
    <t>002142.XSHE</t>
  </si>
  <si>
    <t>002417.XSHE</t>
  </si>
  <si>
    <t>002500.XSHE</t>
  </si>
  <si>
    <t>002608.XSHE</t>
  </si>
  <si>
    <t>002670.XSHE</t>
  </si>
  <si>
    <t>002673.XSHE</t>
  </si>
  <si>
    <t>002736.XSHE</t>
  </si>
  <si>
    <t>002797.XSHE</t>
  </si>
  <si>
    <t>002807.XSHE</t>
  </si>
  <si>
    <t>002839.XSHE</t>
  </si>
  <si>
    <t>002926.XSHE</t>
  </si>
  <si>
    <t>002936.XSHE</t>
  </si>
  <si>
    <t>300059.XSHE</t>
  </si>
  <si>
    <t>300309.XSHE</t>
  </si>
  <si>
    <t>600000.XSHG</t>
  </si>
  <si>
    <t>600015.XSHG</t>
  </si>
  <si>
    <t>600016.XSHG</t>
  </si>
  <si>
    <t>600030.XSHG</t>
  </si>
  <si>
    <t>600036.XSHG</t>
  </si>
  <si>
    <t>600053.XSHG</t>
  </si>
  <si>
    <t>600061.XSHG</t>
  </si>
  <si>
    <t>600109.XSHG</t>
  </si>
  <si>
    <t>600155.XSHG</t>
  </si>
  <si>
    <t>600291.XSHG</t>
  </si>
  <si>
    <t>600318.XSHG</t>
  </si>
  <si>
    <t>600369.XSHG</t>
  </si>
  <si>
    <t>600390.XSHG</t>
  </si>
  <si>
    <t>600599.XSHG</t>
  </si>
  <si>
    <t>600621.XSHG</t>
  </si>
  <si>
    <t>600643.XSHG</t>
  </si>
  <si>
    <t>600695.XSHG</t>
  </si>
  <si>
    <t>600705.XSHG</t>
  </si>
  <si>
    <t>600816.XSHG</t>
  </si>
  <si>
    <t>600837.XSHG</t>
  </si>
  <si>
    <t>600864.XSHG</t>
  </si>
  <si>
    <t>600901.XSHG</t>
  </si>
  <si>
    <t>600908.XSHG</t>
  </si>
  <si>
    <t>600909.XSHG</t>
  </si>
  <si>
    <t>600919.XSHG</t>
  </si>
  <si>
    <t>600926.XSHG</t>
  </si>
  <si>
    <t>600958.XSHG</t>
  </si>
  <si>
    <t>600999.XSHG</t>
  </si>
  <si>
    <t>601009.XSHG</t>
  </si>
  <si>
    <t>601066.XSHG</t>
  </si>
  <si>
    <t>601099.XSHG</t>
  </si>
  <si>
    <t>601108.XSHG</t>
  </si>
  <si>
    <t>601128.XSHG</t>
  </si>
  <si>
    <t>601166.XSHG</t>
  </si>
  <si>
    <t>601169.XSHG</t>
  </si>
  <si>
    <t>601198.XSHG</t>
  </si>
  <si>
    <t>601211.XSHG</t>
  </si>
  <si>
    <t>601229.XSHG</t>
  </si>
  <si>
    <t>601288.XSHG</t>
  </si>
  <si>
    <t>601318.XSHG</t>
  </si>
  <si>
    <t>601328.XSHG</t>
  </si>
  <si>
    <t>601336.XSHG</t>
  </si>
  <si>
    <t>601375.XSHG</t>
  </si>
  <si>
    <t>601377.XSHG</t>
  </si>
  <si>
    <t>601398.XSHG</t>
  </si>
  <si>
    <t>601555.XSHG</t>
  </si>
  <si>
    <t>601577.XSHG</t>
  </si>
  <si>
    <t>601601.XSHG</t>
  </si>
  <si>
    <t>601628.XSHG</t>
  </si>
  <si>
    <t>601688.XSHG</t>
  </si>
  <si>
    <t>601788.XSHG</t>
  </si>
  <si>
    <t>601818.XSHG</t>
  </si>
  <si>
    <t>601838.XSHG</t>
  </si>
  <si>
    <t>601878.XSHG</t>
  </si>
  <si>
    <t>601881.XSHG</t>
  </si>
  <si>
    <t>601901.XSHG</t>
  </si>
  <si>
    <t>601939.XSHG</t>
  </si>
  <si>
    <t>601988.XSHG</t>
  </si>
  <si>
    <t>601990.XSHG</t>
  </si>
  <si>
    <t>601997.XSHG</t>
  </si>
  <si>
    <t>601998.XSHG</t>
  </si>
  <si>
    <t>603323.XSHG</t>
  </si>
  <si>
    <t>000021.XSHE</t>
  </si>
  <si>
    <t>HY008</t>
  </si>
  <si>
    <t>000032.XSHE</t>
  </si>
  <si>
    <t>000034.XSHE</t>
  </si>
  <si>
    <t>000045.XSHE</t>
  </si>
  <si>
    <t>000050.XSHE</t>
  </si>
  <si>
    <t>000063.XSHE</t>
  </si>
  <si>
    <t>000066.XSHE</t>
  </si>
  <si>
    <t>000070.XSHE</t>
  </si>
  <si>
    <t>000413.XSHE</t>
  </si>
  <si>
    <t>000503.XSHE</t>
  </si>
  <si>
    <t>000532.XSHE</t>
  </si>
  <si>
    <t>000536.XSHE</t>
  </si>
  <si>
    <t>000555.XSHE</t>
  </si>
  <si>
    <t>000561.XSHE</t>
  </si>
  <si>
    <t>000586.XSHE</t>
  </si>
  <si>
    <t>000606.XSHE</t>
  </si>
  <si>
    <t>000636.XSHE</t>
  </si>
  <si>
    <t>000662.XSHE</t>
  </si>
  <si>
    <t>000670.XSHE</t>
  </si>
  <si>
    <t>000676.XSHE</t>
  </si>
  <si>
    <t>000725.XSHE</t>
  </si>
  <si>
    <t>000727.XSHE</t>
  </si>
  <si>
    <t>000733.XSHE</t>
  </si>
  <si>
    <t>000823.XSHE</t>
  </si>
  <si>
    <t>000829.XSHE</t>
  </si>
  <si>
    <t>000835.XSHE</t>
  </si>
  <si>
    <t>000836.XSHE</t>
  </si>
  <si>
    <t>000889.XSHE</t>
  </si>
  <si>
    <t>000938.XSHE</t>
  </si>
  <si>
    <t>000948.XSHE</t>
  </si>
  <si>
    <t>000971.XSHE</t>
  </si>
  <si>
    <t>000977.XSHE</t>
  </si>
  <si>
    <t>000988.XSHE</t>
  </si>
  <si>
    <t>000997.XSHE</t>
  </si>
  <si>
    <t>002005.XSHE</t>
  </si>
  <si>
    <t>002008.XSHE</t>
  </si>
  <si>
    <t>002017.XSHE</t>
  </si>
  <si>
    <t>002025.XSHE</t>
  </si>
  <si>
    <t>002036.XSHE</t>
  </si>
  <si>
    <t>002049.XSHE</t>
  </si>
  <si>
    <t>002055.XSHE</t>
  </si>
  <si>
    <t>002063.XSHE</t>
  </si>
  <si>
    <t>002065.XSHE</t>
  </si>
  <si>
    <t>002072.XSHE</t>
  </si>
  <si>
    <t>002079.XSHE</t>
  </si>
  <si>
    <t>002089.XSHE</t>
  </si>
  <si>
    <t>002093.XSHE</t>
  </si>
  <si>
    <t>002095.XSHE</t>
  </si>
  <si>
    <t>002103.XSHE</t>
  </si>
  <si>
    <t>002104.XSHE</t>
  </si>
  <si>
    <t>002106.XSHE</t>
  </si>
  <si>
    <t>002113.XSHE</t>
  </si>
  <si>
    <t>002119.XSHE</t>
  </si>
  <si>
    <t>002123.XSHE</t>
  </si>
  <si>
    <t>002129.XSHE</t>
  </si>
  <si>
    <t>002134.XSHE</t>
  </si>
  <si>
    <t>002138.XSHE</t>
  </si>
  <si>
    <t>002139.XSHE</t>
  </si>
  <si>
    <t>002148.XSHE</t>
  </si>
  <si>
    <t>002152.XSHE</t>
  </si>
  <si>
    <t>002153.XSHE</t>
  </si>
  <si>
    <t>002156.XSHE</t>
  </si>
  <si>
    <t>002161.XSHE</t>
  </si>
  <si>
    <t>002174.XSHE</t>
  </si>
  <si>
    <t>002177.XSHE</t>
  </si>
  <si>
    <t>002178.XSHE</t>
  </si>
  <si>
    <t>002179.XSHE</t>
  </si>
  <si>
    <t>002180.XSHE</t>
  </si>
  <si>
    <t>002185.XSHE</t>
  </si>
  <si>
    <t>002189.XSHE</t>
  </si>
  <si>
    <t>002194.XSHE</t>
  </si>
  <si>
    <t>002195.XSHE</t>
  </si>
  <si>
    <t>002197.XSHE</t>
  </si>
  <si>
    <t>002199.XSHE</t>
  </si>
  <si>
    <t>002214.XSHE</t>
  </si>
  <si>
    <t>002217.XSHE</t>
  </si>
  <si>
    <t>002218.XSHE</t>
  </si>
  <si>
    <t>002222.XSHE</t>
  </si>
  <si>
    <t>002230.XSHE</t>
  </si>
  <si>
    <t>002231.XSHE</t>
  </si>
  <si>
    <t>002232.XSHE</t>
  </si>
  <si>
    <t>002235.XSHE</t>
  </si>
  <si>
    <t>002236.XSHE</t>
  </si>
  <si>
    <t>002241.XSHE</t>
  </si>
  <si>
    <t>002247.XSHE</t>
  </si>
  <si>
    <t>002253.XSHE</t>
  </si>
  <si>
    <t>002268.XSHE</t>
  </si>
  <si>
    <t>002273.XSHE</t>
  </si>
  <si>
    <t>002279.XSHE</t>
  </si>
  <si>
    <t>002280.XSHE</t>
  </si>
  <si>
    <t>002281.XSHE</t>
  </si>
  <si>
    <t>002288.XSHE</t>
  </si>
  <si>
    <t>002289.XSHE</t>
  </si>
  <si>
    <t>002296.XSHE</t>
  </si>
  <si>
    <t>002298.XSHE</t>
  </si>
  <si>
    <t>002308.XSHE</t>
  </si>
  <si>
    <t>002312.XSHE</t>
  </si>
  <si>
    <t>002313.XSHE</t>
  </si>
  <si>
    <t>002315.XSHE</t>
  </si>
  <si>
    <t>002316.XSHE</t>
  </si>
  <si>
    <t>002331.XSHE</t>
  </si>
  <si>
    <t>002354.XSHE</t>
  </si>
  <si>
    <t>002362.XSHE</t>
  </si>
  <si>
    <t>002368.XSHE</t>
  </si>
  <si>
    <t>002369.XSHE</t>
  </si>
  <si>
    <t>002371.XSHE</t>
  </si>
  <si>
    <t>002373.XSHE</t>
  </si>
  <si>
    <t>002376.XSHE</t>
  </si>
  <si>
    <t>002384.XSHE</t>
  </si>
  <si>
    <t>002387.XSHE</t>
  </si>
  <si>
    <t>002388.XSHE</t>
  </si>
  <si>
    <t>002396.XSHE</t>
  </si>
  <si>
    <t>002401.XSHE</t>
  </si>
  <si>
    <t>002402.XSHE</t>
  </si>
  <si>
    <t>002405.XSHE</t>
  </si>
  <si>
    <t>002410.XSHE</t>
  </si>
  <si>
    <t>002414.XSHE</t>
  </si>
  <si>
    <t>002415.XSHE</t>
  </si>
  <si>
    <t>002416.XSHE</t>
  </si>
  <si>
    <t>002421.XSHE</t>
  </si>
  <si>
    <t>002425.XSHE</t>
  </si>
  <si>
    <t>002426.XSHE</t>
  </si>
  <si>
    <t>002436.XSHE</t>
  </si>
  <si>
    <t>002439.XSHE</t>
  </si>
  <si>
    <t>002446.XSHE</t>
  </si>
  <si>
    <t>002449.XSHE</t>
  </si>
  <si>
    <t>002453.XSHE</t>
  </si>
  <si>
    <t>002456.XSHE</t>
  </si>
  <si>
    <t>002463.XSHE</t>
  </si>
  <si>
    <t>002464.XSHE</t>
  </si>
  <si>
    <t>002465.XSHE</t>
  </si>
  <si>
    <t>002474.XSHE</t>
  </si>
  <si>
    <t>002475.XSHE</t>
  </si>
  <si>
    <t>002484.XSHE</t>
  </si>
  <si>
    <t>002491.XSHE</t>
  </si>
  <si>
    <t>002506.XSHE</t>
  </si>
  <si>
    <t>002517.XSHE</t>
  </si>
  <si>
    <t>002528.XSHE</t>
  </si>
  <si>
    <t>002530.XSHE</t>
  </si>
  <si>
    <t>002544.XSHE</t>
  </si>
  <si>
    <t>002555.XSHE</t>
  </si>
  <si>
    <t>002558.XSHE</t>
  </si>
  <si>
    <t>002577.XSHE</t>
  </si>
  <si>
    <t>002579.XSHE</t>
  </si>
  <si>
    <t>002583.XSHE</t>
  </si>
  <si>
    <t>002587.XSHE</t>
  </si>
  <si>
    <t>002600.XSHE</t>
  </si>
  <si>
    <t>002609.XSHE</t>
  </si>
  <si>
    <t>002610.XSHE</t>
  </si>
  <si>
    <t>002618.XSHE</t>
  </si>
  <si>
    <t>002619.XSHE</t>
  </si>
  <si>
    <t>002623.XSHE</t>
  </si>
  <si>
    <t>002624.XSHE</t>
  </si>
  <si>
    <t>002635.XSHE</t>
  </si>
  <si>
    <t>002636.XSHE</t>
  </si>
  <si>
    <t>002642.XSHE</t>
  </si>
  <si>
    <t>002647.XSHE</t>
  </si>
  <si>
    <t>002649.XSHE</t>
  </si>
  <si>
    <t>002654.XSHE</t>
  </si>
  <si>
    <t>002655.XSHE</t>
  </si>
  <si>
    <t>002657.XSHE</t>
  </si>
  <si>
    <t>002658.XSHE</t>
  </si>
  <si>
    <t>002745.XSHE</t>
  </si>
  <si>
    <t>002771.XSHE</t>
  </si>
  <si>
    <t>002777.XSHE</t>
  </si>
  <si>
    <t>002782.XSHE</t>
  </si>
  <si>
    <t>002792.XSHE</t>
  </si>
  <si>
    <t>002808.XSHE</t>
  </si>
  <si>
    <t>002813.XSHE</t>
  </si>
  <si>
    <t>002815.XSHE</t>
  </si>
  <si>
    <t>002819.XSHE</t>
  </si>
  <si>
    <t>002835.XSHE</t>
  </si>
  <si>
    <t>002841.XSHE</t>
  </si>
  <si>
    <t>002845.XSHE</t>
  </si>
  <si>
    <t>002855.XSHE</t>
  </si>
  <si>
    <t>002859.XSHE</t>
  </si>
  <si>
    <t>002861.XSHE</t>
  </si>
  <si>
    <t>002866.XSHE</t>
  </si>
  <si>
    <t>002869.XSHE</t>
  </si>
  <si>
    <t>002876.XSHE</t>
  </si>
  <si>
    <t>002881.XSHE</t>
  </si>
  <si>
    <t>002885.XSHE</t>
  </si>
  <si>
    <t>002897.XSHE</t>
  </si>
  <si>
    <t>002902.XSHE</t>
  </si>
  <si>
    <t>002908.XSHE</t>
  </si>
  <si>
    <t>002912.XSHE</t>
  </si>
  <si>
    <t>002913.XSHE</t>
  </si>
  <si>
    <t>002916.XSHE</t>
  </si>
  <si>
    <t>002925.XSHE</t>
  </si>
  <si>
    <t>002929.XSHE</t>
  </si>
  <si>
    <t>002937.XSHE</t>
  </si>
  <si>
    <t>002938.XSHE</t>
  </si>
  <si>
    <t>300002.XSHE</t>
  </si>
  <si>
    <t>300007.XSHE</t>
  </si>
  <si>
    <t>300010.XSHE</t>
  </si>
  <si>
    <t>300017.XSHE</t>
  </si>
  <si>
    <t>300020.XSHE</t>
  </si>
  <si>
    <t>300025.XSHE</t>
  </si>
  <si>
    <t>300029.XSHE</t>
  </si>
  <si>
    <t>300031.XSHE</t>
  </si>
  <si>
    <t>300032.XSHE</t>
  </si>
  <si>
    <t>300033.XSHE</t>
  </si>
  <si>
    <t>300036.XSHE</t>
  </si>
  <si>
    <t>300038.XSHE</t>
  </si>
  <si>
    <t>300042.XSHE</t>
  </si>
  <si>
    <t>300044.XSHE</t>
  </si>
  <si>
    <t>300045.XSHE</t>
  </si>
  <si>
    <t>300046.XSHE</t>
  </si>
  <si>
    <t>300047.XSHE</t>
  </si>
  <si>
    <t>300050.XSHE</t>
  </si>
  <si>
    <t>300051.XSHE</t>
  </si>
  <si>
    <t>300052.XSHE</t>
  </si>
  <si>
    <t>300053.XSHE</t>
  </si>
  <si>
    <t>300065.XSHE</t>
  </si>
  <si>
    <t>300074.XSHE</t>
  </si>
  <si>
    <t>300075.XSHE</t>
  </si>
  <si>
    <t>300076.XSHE</t>
  </si>
  <si>
    <t>300077.XSHE</t>
  </si>
  <si>
    <t>300078.XSHE</t>
  </si>
  <si>
    <t>300079.XSHE</t>
  </si>
  <si>
    <t>300080.XSHE</t>
  </si>
  <si>
    <t>300081.XSHE</t>
  </si>
  <si>
    <t>300083.XSHE</t>
  </si>
  <si>
    <t>300085.XSHE</t>
  </si>
  <si>
    <t>300088.XSHE</t>
  </si>
  <si>
    <t>300096.XSHE</t>
  </si>
  <si>
    <t>300098.XSHE</t>
  </si>
  <si>
    <t>300099.XSHE</t>
  </si>
  <si>
    <t>300102.XSHE</t>
  </si>
  <si>
    <t>300104.XSHE</t>
  </si>
  <si>
    <t>300111.XSHE</t>
  </si>
  <si>
    <t>300113.XSHE</t>
  </si>
  <si>
    <t>300114.XSHE</t>
  </si>
  <si>
    <t>300115.XSHE</t>
  </si>
  <si>
    <t>300118.XSHE</t>
  </si>
  <si>
    <t>300120.XSHE</t>
  </si>
  <si>
    <t>300128.XSHE</t>
  </si>
  <si>
    <t>300130.XSHE</t>
  </si>
  <si>
    <t>300131.XSHE</t>
  </si>
  <si>
    <t>300134.XSHE</t>
  </si>
  <si>
    <t>300136.XSHE</t>
  </si>
  <si>
    <t>300137.XSHE</t>
  </si>
  <si>
    <t>300139.XSHE</t>
  </si>
  <si>
    <t>300150.XSHE</t>
  </si>
  <si>
    <t>300155.XSHE</t>
  </si>
  <si>
    <t>300162.XSHE</t>
  </si>
  <si>
    <t>300165.XSHE</t>
  </si>
  <si>
    <t>300166.XSHE</t>
  </si>
  <si>
    <t>300167.XSHE</t>
  </si>
  <si>
    <t>300168.XSHE</t>
  </si>
  <si>
    <t>300170.XSHE</t>
  </si>
  <si>
    <t>300182.XSHE</t>
  </si>
  <si>
    <t>300183.XSHE</t>
  </si>
  <si>
    <t>300184.XSHE</t>
  </si>
  <si>
    <t>300188.XSHE</t>
  </si>
  <si>
    <t>300202.XSHE</t>
  </si>
  <si>
    <t>300203.XSHE</t>
  </si>
  <si>
    <t>300205.XSHE</t>
  </si>
  <si>
    <t>300209.XSHE</t>
  </si>
  <si>
    <t>300211.XSHE</t>
  </si>
  <si>
    <t>300212.XSHE</t>
  </si>
  <si>
    <t>300213.XSHE</t>
  </si>
  <si>
    <t>300219.XSHE</t>
  </si>
  <si>
    <t>300220.XSHE</t>
  </si>
  <si>
    <t>300223.XSHE</t>
  </si>
  <si>
    <t>300226.XSHE</t>
  </si>
  <si>
    <t>300227.XSHE</t>
  </si>
  <si>
    <t>300229.XSHE</t>
  </si>
  <si>
    <t>300231.XSHE</t>
  </si>
  <si>
    <t>300232.XSHE</t>
  </si>
  <si>
    <t>300235.XSHE</t>
  </si>
  <si>
    <t>300241.XSHE</t>
  </si>
  <si>
    <t>300245.XSHE</t>
  </si>
  <si>
    <t>300248.XSHE</t>
  </si>
  <si>
    <t>300250.XSHE</t>
  </si>
  <si>
    <t>300252.XSHE</t>
  </si>
  <si>
    <t>300253.XSHE</t>
  </si>
  <si>
    <t>300256.XSHE</t>
  </si>
  <si>
    <t>300264.XSHE</t>
  </si>
  <si>
    <t>300270.XSHE</t>
  </si>
  <si>
    <t>300271.XSHE</t>
  </si>
  <si>
    <t>300275.XSHE</t>
  </si>
  <si>
    <t>300277.XSHE</t>
  </si>
  <si>
    <t>300279.XSHE</t>
  </si>
  <si>
    <t>300287.XSHE</t>
  </si>
  <si>
    <t>300288.XSHE</t>
  </si>
  <si>
    <t>300290.XSHE</t>
  </si>
  <si>
    <t>300292.XSHE</t>
  </si>
  <si>
    <t>300295.XSHE</t>
  </si>
  <si>
    <t>300296.XSHE</t>
  </si>
  <si>
    <t>300297.XSHE</t>
  </si>
  <si>
    <t>300299.XSHE</t>
  </si>
  <si>
    <t>300300.XSHE</t>
  </si>
  <si>
    <t>300301.XSHE</t>
  </si>
  <si>
    <t>300302.XSHE</t>
  </si>
  <si>
    <t>300303.XSHE</t>
  </si>
  <si>
    <t>300310.XSHE</t>
  </si>
  <si>
    <t>300311.XSHE</t>
  </si>
  <si>
    <t>300312.XSHE</t>
  </si>
  <si>
    <t>300315.XSHE</t>
  </si>
  <si>
    <t>300316.XSHE</t>
  </si>
  <si>
    <t>300319.XSHE</t>
  </si>
  <si>
    <t>300322.XSHE</t>
  </si>
  <si>
    <t>300323.XSHE</t>
  </si>
  <si>
    <t>300324.XSHE</t>
  </si>
  <si>
    <t>300327.XSHE</t>
  </si>
  <si>
    <t>300330.XSHE</t>
  </si>
  <si>
    <t>300331.XSHE</t>
  </si>
  <si>
    <t>300333.XSHE</t>
  </si>
  <si>
    <t>300339.XSHE</t>
  </si>
  <si>
    <t>300346.XSHE</t>
  </si>
  <si>
    <t>300348.XSHE</t>
  </si>
  <si>
    <t>300351.XSHE</t>
  </si>
  <si>
    <t>300352.XSHE</t>
  </si>
  <si>
    <t>300353.XSHE</t>
  </si>
  <si>
    <t>300354.XSHE</t>
  </si>
  <si>
    <t>300365.XSHE</t>
  </si>
  <si>
    <t>300366.XSHE</t>
  </si>
  <si>
    <t>300367.XSHE</t>
  </si>
  <si>
    <t>300368.XSHE</t>
  </si>
  <si>
    <t>300369.XSHE</t>
  </si>
  <si>
    <t>300373.XSHE</t>
  </si>
  <si>
    <t>300377.XSHE</t>
  </si>
  <si>
    <t>300378.XSHE</t>
  </si>
  <si>
    <t>300379.XSHE</t>
  </si>
  <si>
    <t>300380.XSHE</t>
  </si>
  <si>
    <t>300383.XSHE</t>
  </si>
  <si>
    <t>300386.XSHE</t>
  </si>
  <si>
    <t>300389.XSHE</t>
  </si>
  <si>
    <t>300390.XSHE</t>
  </si>
  <si>
    <t>300393.XSHE</t>
  </si>
  <si>
    <t>300394.XSHE</t>
  </si>
  <si>
    <t>300399.XSHE</t>
  </si>
  <si>
    <t>300408.XSHE</t>
  </si>
  <si>
    <t>300410.XSHE</t>
  </si>
  <si>
    <t>300417.XSHE</t>
  </si>
  <si>
    <t>300418.XSHE</t>
  </si>
  <si>
    <t>300419.XSHE</t>
  </si>
  <si>
    <t>300431.XSHE</t>
  </si>
  <si>
    <t>300433.XSHE</t>
  </si>
  <si>
    <t>300440.XSHE</t>
  </si>
  <si>
    <t>300448.XSHE</t>
  </si>
  <si>
    <t>300449.XSHE</t>
  </si>
  <si>
    <t>300451.XSHE</t>
  </si>
  <si>
    <t>300454.XSHE</t>
  </si>
  <si>
    <t>300455.XSHE</t>
  </si>
  <si>
    <t>300456.XSHE</t>
  </si>
  <si>
    <t>300458.XSHE</t>
  </si>
  <si>
    <t>300459.XSHE</t>
  </si>
  <si>
    <t>300460.XSHE</t>
  </si>
  <si>
    <t>300462.XSHE</t>
  </si>
  <si>
    <t>300465.XSHE</t>
  </si>
  <si>
    <t>300467.XSHE</t>
  </si>
  <si>
    <t>300468.XSHE</t>
  </si>
  <si>
    <t>300469.XSHE</t>
  </si>
  <si>
    <t>300476.XSHE</t>
  </si>
  <si>
    <t>300479.XSHE</t>
  </si>
  <si>
    <t>300493.XSHE</t>
  </si>
  <si>
    <t>300494.XSHE</t>
  </si>
  <si>
    <t>300496.XSHE</t>
  </si>
  <si>
    <t>300502.XSHE</t>
  </si>
  <si>
    <t>300504.XSHE</t>
  </si>
  <si>
    <t>300513.XSHE</t>
  </si>
  <si>
    <t>300514.XSHE</t>
  </si>
  <si>
    <t>300516.XSHE</t>
  </si>
  <si>
    <t>300518.XSHE</t>
  </si>
  <si>
    <t>300520.XSHE</t>
  </si>
  <si>
    <t>300523.XSHE</t>
  </si>
  <si>
    <t>300525.XSHE</t>
  </si>
  <si>
    <t>300531.XSHE</t>
  </si>
  <si>
    <t>300533.XSHE</t>
  </si>
  <si>
    <t>300541.XSHE</t>
  </si>
  <si>
    <t>300542.XSHE</t>
  </si>
  <si>
    <t>300543.XSHE</t>
  </si>
  <si>
    <t>300546.XSHE</t>
  </si>
  <si>
    <t>300548.XSHE</t>
  </si>
  <si>
    <t>300550.XSHE</t>
  </si>
  <si>
    <t>300551.XSHE</t>
  </si>
  <si>
    <t>300552.XSHE</t>
  </si>
  <si>
    <t>300553.XSHE</t>
  </si>
  <si>
    <t>300555.XSHE</t>
  </si>
  <si>
    <t>300556.XSHE</t>
  </si>
  <si>
    <t>300557.XSHE</t>
  </si>
  <si>
    <t>300559.XSHE</t>
  </si>
  <si>
    <t>300560.XSHE</t>
  </si>
  <si>
    <t>300561.XSHE</t>
  </si>
  <si>
    <t>300563.XSHE</t>
  </si>
  <si>
    <t>300565.XSHE</t>
  </si>
  <si>
    <t>300566.XSHE</t>
  </si>
  <si>
    <t>300567.XSHE</t>
  </si>
  <si>
    <t>300570.XSHE</t>
  </si>
  <si>
    <t>300571.XSHE</t>
  </si>
  <si>
    <t>300572.XSHE</t>
  </si>
  <si>
    <t>300579.XSHE</t>
  </si>
  <si>
    <t>300588.XSHE</t>
  </si>
  <si>
    <t>300590.XSHE</t>
  </si>
  <si>
    <t>300597.XSHE</t>
  </si>
  <si>
    <t>300598.XSHE</t>
  </si>
  <si>
    <t>300602.XSHE</t>
  </si>
  <si>
    <t>300603.XSHE</t>
  </si>
  <si>
    <t>300605.XSHE</t>
  </si>
  <si>
    <t>300608.XSHE</t>
  </si>
  <si>
    <t>300609.XSHE</t>
  </si>
  <si>
    <t>300613.XSHE</t>
  </si>
  <si>
    <t>300615.XSHE</t>
  </si>
  <si>
    <t>300620.XSHE</t>
  </si>
  <si>
    <t>300623.XSHE</t>
  </si>
  <si>
    <t>300624.XSHE</t>
  </si>
  <si>
    <t>300628.XSHE</t>
  </si>
  <si>
    <t>300632.XSHE</t>
  </si>
  <si>
    <t>300634.XSHE</t>
  </si>
  <si>
    <t>300638.XSHE</t>
  </si>
  <si>
    <t>300645.XSHE</t>
  </si>
  <si>
    <t>300647.XSHE</t>
  </si>
  <si>
    <t>300656.XSHE</t>
  </si>
  <si>
    <t>300657.XSHE</t>
  </si>
  <si>
    <t>300659.XSHE</t>
  </si>
  <si>
    <t>300661.XSHE</t>
  </si>
  <si>
    <t>300663.XSHE</t>
  </si>
  <si>
    <t>300666.XSHE</t>
  </si>
  <si>
    <t>300667.XSHE</t>
  </si>
  <si>
    <t>300671.XSHE</t>
  </si>
  <si>
    <t>300672.XSHE</t>
  </si>
  <si>
    <t>300678.XSHE</t>
  </si>
  <si>
    <t>300679.XSHE</t>
  </si>
  <si>
    <t>300682.XSHE</t>
  </si>
  <si>
    <t>300686.XSHE</t>
  </si>
  <si>
    <t>300687.XSHE</t>
  </si>
  <si>
    <t>300689.XSHE</t>
  </si>
  <si>
    <t>300691.XSHE</t>
  </si>
  <si>
    <t>300698.XSHE</t>
  </si>
  <si>
    <t>300701.XSHE</t>
  </si>
  <si>
    <t>300706.XSHE</t>
  </si>
  <si>
    <t>300708.XSHE</t>
  </si>
  <si>
    <t>300709.XSHE</t>
  </si>
  <si>
    <t>300710.XSHE</t>
  </si>
  <si>
    <t>300711.XSHE</t>
  </si>
  <si>
    <t>300724.XSHE</t>
  </si>
  <si>
    <t>300726.XSHE</t>
  </si>
  <si>
    <t>300730.XSHE</t>
  </si>
  <si>
    <t>300735.XSHE</t>
  </si>
  <si>
    <t>300738.XSHE</t>
  </si>
  <si>
    <t>300739.XSHE</t>
  </si>
  <si>
    <t>300743.XSHE</t>
  </si>
  <si>
    <t>300747.XSHE</t>
  </si>
  <si>
    <t>600074.XSHG</t>
  </si>
  <si>
    <t>600100.XSHG</t>
  </si>
  <si>
    <t>600105.XSHG</t>
  </si>
  <si>
    <t>600130.XSHG</t>
  </si>
  <si>
    <t>600151.XSHG</t>
  </si>
  <si>
    <t>600171.XSHG</t>
  </si>
  <si>
    <t>600183.XSHG</t>
  </si>
  <si>
    <t>600198.XSHG</t>
  </si>
  <si>
    <t>600203.XSHG</t>
  </si>
  <si>
    <t>600237.XSHG</t>
  </si>
  <si>
    <t>600242.XSHG</t>
  </si>
  <si>
    <t>600260.XSHG</t>
  </si>
  <si>
    <t>600271.XSHG</t>
  </si>
  <si>
    <t>600288.XSHG</t>
  </si>
  <si>
    <t>600289.XSHG</t>
  </si>
  <si>
    <t>600345.XSHG</t>
  </si>
  <si>
    <t>600353.XSHG</t>
  </si>
  <si>
    <t>600355.XSHG</t>
  </si>
  <si>
    <t>600360.XSHG</t>
  </si>
  <si>
    <t>600363.XSHG</t>
  </si>
  <si>
    <t>600401.XSHG</t>
  </si>
  <si>
    <t>600410.XSHG</t>
  </si>
  <si>
    <t>600446.XSHG</t>
  </si>
  <si>
    <t>600460.XSHG</t>
  </si>
  <si>
    <t>600476.XSHG</t>
  </si>
  <si>
    <t>600485.XSHG</t>
  </si>
  <si>
    <t>600487.XSHG</t>
  </si>
  <si>
    <t>600498.XSHG</t>
  </si>
  <si>
    <t>600522.XSHG</t>
  </si>
  <si>
    <t>600536.XSHG</t>
  </si>
  <si>
    <t>600537.XSHG</t>
  </si>
  <si>
    <t>600552.XSHG</t>
  </si>
  <si>
    <t>600556.XSHG</t>
  </si>
  <si>
    <t>600563.XSHG</t>
  </si>
  <si>
    <t>600570.XSHG</t>
  </si>
  <si>
    <t>600571.XSHG</t>
  </si>
  <si>
    <t>600584.XSHG</t>
  </si>
  <si>
    <t>600588.XSHG</t>
  </si>
  <si>
    <t>600602.XSHG</t>
  </si>
  <si>
    <t>600634.XSHG</t>
  </si>
  <si>
    <t>600640.XSHG</t>
  </si>
  <si>
    <t>600652.XSHG</t>
  </si>
  <si>
    <t>600654.XSHG</t>
  </si>
  <si>
    <t>600667.XSHG</t>
  </si>
  <si>
    <t>600680.XSHG</t>
  </si>
  <si>
    <t>600701.XSHG</t>
  </si>
  <si>
    <t>600703.XSHG</t>
  </si>
  <si>
    <t>600707.XSHG</t>
  </si>
  <si>
    <t>600718.XSHG</t>
  </si>
  <si>
    <t>600728.XSHG</t>
  </si>
  <si>
    <t>600734.XSHG</t>
  </si>
  <si>
    <t>600745.XSHG</t>
  </si>
  <si>
    <t>600756.XSHG</t>
  </si>
  <si>
    <t>600767.XSHG</t>
  </si>
  <si>
    <t>600775.XSHG</t>
  </si>
  <si>
    <t>600776.XSHG</t>
  </si>
  <si>
    <t>600797.XSHG</t>
  </si>
  <si>
    <t>600845.XSHG</t>
  </si>
  <si>
    <t>600850.XSHG</t>
  </si>
  <si>
    <t>600855.XSHG</t>
  </si>
  <si>
    <t>600876.XSHG</t>
  </si>
  <si>
    <t>600898.XSHG</t>
  </si>
  <si>
    <t>600986.XSHG</t>
  </si>
  <si>
    <t>601012.XSHG</t>
  </si>
  <si>
    <t>601138.XSHG</t>
  </si>
  <si>
    <t>601231.XSHG</t>
  </si>
  <si>
    <t>601360.XSHG</t>
  </si>
  <si>
    <t>601519.XSHG</t>
  </si>
  <si>
    <t>601869.XSHG</t>
  </si>
  <si>
    <t>601908.XSHG</t>
  </si>
  <si>
    <t>603000.XSHG</t>
  </si>
  <si>
    <t>603005.XSHG</t>
  </si>
  <si>
    <t>603019.XSHG</t>
  </si>
  <si>
    <t>603039.XSHG</t>
  </si>
  <si>
    <t>603042.XSHG</t>
  </si>
  <si>
    <t>603083.XSHG</t>
  </si>
  <si>
    <t>603105.XSHG</t>
  </si>
  <si>
    <t>603106.XSHG</t>
  </si>
  <si>
    <t>603118.XSHG</t>
  </si>
  <si>
    <t>603133.XSHG</t>
  </si>
  <si>
    <t>603138.XSHG</t>
  </si>
  <si>
    <t>603160.XSHG</t>
  </si>
  <si>
    <t>603186.XSHG</t>
  </si>
  <si>
    <t>603189.XSHG</t>
  </si>
  <si>
    <t>603228.XSHG</t>
  </si>
  <si>
    <t>603232.XSHG</t>
  </si>
  <si>
    <t>603258.XSHG</t>
  </si>
  <si>
    <t>603322.XSHG</t>
  </si>
  <si>
    <t>603328.XSHG</t>
  </si>
  <si>
    <t>603380.XSHG</t>
  </si>
  <si>
    <t>603383.XSHG</t>
  </si>
  <si>
    <t>603386.XSHG</t>
  </si>
  <si>
    <t>603421.XSHG</t>
  </si>
  <si>
    <t>603444.XSHG</t>
  </si>
  <si>
    <t>603496.XSHG</t>
  </si>
  <si>
    <t>603501.XSHG</t>
  </si>
  <si>
    <t>603508.XSHG</t>
  </si>
  <si>
    <t>603516.XSHG</t>
  </si>
  <si>
    <t>603528.XSHG</t>
  </si>
  <si>
    <t>603559.XSHG</t>
  </si>
  <si>
    <t>603595.XSHG</t>
  </si>
  <si>
    <t>603602.XSHG</t>
  </si>
  <si>
    <t>603626.XSHG</t>
  </si>
  <si>
    <t>603633.XSHG</t>
  </si>
  <si>
    <t>603636.XSHG</t>
  </si>
  <si>
    <t>603660.XSHG</t>
  </si>
  <si>
    <t>603678.XSHG</t>
  </si>
  <si>
    <t>603712.XSHG</t>
  </si>
  <si>
    <t>603738.XSHG</t>
  </si>
  <si>
    <t>603773.XSHG</t>
  </si>
  <si>
    <t>603803.XSHG</t>
  </si>
  <si>
    <t>603806.XSHG</t>
  </si>
  <si>
    <t>603869.XSHG</t>
  </si>
  <si>
    <t>603881.XSHG</t>
  </si>
  <si>
    <t>603888.XSHG</t>
  </si>
  <si>
    <t>603890.XSHG</t>
  </si>
  <si>
    <t>603918.XSHG</t>
  </si>
  <si>
    <t>603920.XSHG</t>
  </si>
  <si>
    <t>603936.XSHG</t>
  </si>
  <si>
    <t>603986.XSHG</t>
  </si>
  <si>
    <t>603989.XSHG</t>
  </si>
  <si>
    <t>603990.XSHG</t>
  </si>
  <si>
    <t>HY009</t>
  </si>
  <si>
    <t>002467.XSHE</t>
  </si>
  <si>
    <t>300578.XSHE</t>
  </si>
  <si>
    <t>600050.XSHG</t>
  </si>
  <si>
    <t>600804.XSHG</t>
  </si>
  <si>
    <t>000027.XSHE</t>
  </si>
  <si>
    <t>HY010</t>
  </si>
  <si>
    <t>000037.XSHE</t>
  </si>
  <si>
    <t>000040.XSHE</t>
  </si>
  <si>
    <t>000407.XSHE</t>
  </si>
  <si>
    <t>000421.XSHE</t>
  </si>
  <si>
    <t>000531.XSHE</t>
  </si>
  <si>
    <t>000539.XSHE</t>
  </si>
  <si>
    <t>000543.XSHE</t>
  </si>
  <si>
    <t>000544.XSHE</t>
  </si>
  <si>
    <t>000591.XSHE</t>
  </si>
  <si>
    <t>000593.XSHE</t>
  </si>
  <si>
    <t>000598.XSHE</t>
  </si>
  <si>
    <t>000600.XSHE</t>
  </si>
  <si>
    <t>000601.XSHE</t>
  </si>
  <si>
    <t>000605.XSHE</t>
  </si>
  <si>
    <t>000669.XSHE</t>
  </si>
  <si>
    <t>000685.XSHE</t>
  </si>
  <si>
    <t>000690.XSHE</t>
  </si>
  <si>
    <t>000692.XSHE</t>
  </si>
  <si>
    <t>000695.XSHE</t>
  </si>
  <si>
    <t>000720.XSHE</t>
  </si>
  <si>
    <t>000722.XSHE</t>
  </si>
  <si>
    <t>000767.XSHE</t>
  </si>
  <si>
    <t>000791.XSHE</t>
  </si>
  <si>
    <t>000862.XSHE</t>
  </si>
  <si>
    <t>000875.XSHE</t>
  </si>
  <si>
    <t>000883.XSHE</t>
  </si>
  <si>
    <t>000899.XSHE</t>
  </si>
  <si>
    <t>000939.XSHE</t>
  </si>
  <si>
    <t>000958.XSHE</t>
  </si>
  <si>
    <t>000966.XSHE</t>
  </si>
  <si>
    <t>000993.XSHE</t>
  </si>
  <si>
    <t>001896.XSHE</t>
  </si>
  <si>
    <t>002039.XSHE</t>
  </si>
  <si>
    <t>002259.XSHE</t>
  </si>
  <si>
    <t>002479.XSHE</t>
  </si>
  <si>
    <t>002499.XSHE</t>
  </si>
  <si>
    <t>002524.XSHE</t>
  </si>
  <si>
    <t>002700.XSHE</t>
  </si>
  <si>
    <t>002893.XSHE</t>
  </si>
  <si>
    <t>002911.XSHE</t>
  </si>
  <si>
    <t>300332.XSHE</t>
  </si>
  <si>
    <t>600008.XSHG</t>
  </si>
  <si>
    <t>600011.XSHG</t>
  </si>
  <si>
    <t>600021.XSHG</t>
  </si>
  <si>
    <t>600023.XSHG</t>
  </si>
  <si>
    <t>600025.XSHG</t>
  </si>
  <si>
    <t>600027.XSHG</t>
  </si>
  <si>
    <t>600098.XSHG</t>
  </si>
  <si>
    <t>600101.XSHG</t>
  </si>
  <si>
    <t>600116.XSHG</t>
  </si>
  <si>
    <t>600131.XSHG</t>
  </si>
  <si>
    <t>600163.XSHG</t>
  </si>
  <si>
    <t>600167.XSHG</t>
  </si>
  <si>
    <t>600168.XSHG</t>
  </si>
  <si>
    <t>600187.XSHG</t>
  </si>
  <si>
    <t>600236.XSHG</t>
  </si>
  <si>
    <t>600283.XSHG</t>
  </si>
  <si>
    <t>600310.XSHG</t>
  </si>
  <si>
    <t>600333.XSHG</t>
  </si>
  <si>
    <t>600396.XSHG</t>
  </si>
  <si>
    <t>600452.XSHG</t>
  </si>
  <si>
    <t>600461.XSHG</t>
  </si>
  <si>
    <t>600483.XSHG</t>
  </si>
  <si>
    <t>600505.XSHG</t>
  </si>
  <si>
    <t>600509.XSHG</t>
  </si>
  <si>
    <t>600578.XSHG</t>
  </si>
  <si>
    <t>600617.XSHG</t>
  </si>
  <si>
    <t>600635.XSHG</t>
  </si>
  <si>
    <t>600642.XSHG</t>
  </si>
  <si>
    <t>600644.XSHG</t>
  </si>
  <si>
    <t>600674.XSHG</t>
  </si>
  <si>
    <t>600681.XSHG</t>
  </si>
  <si>
    <t>600719.XSHG</t>
  </si>
  <si>
    <t>600726.XSHG</t>
  </si>
  <si>
    <t>600744.XSHG</t>
  </si>
  <si>
    <t>600758.XSHG</t>
  </si>
  <si>
    <t>600780.XSHG</t>
  </si>
  <si>
    <t>600795.XSHG</t>
  </si>
  <si>
    <t>600863.XSHG</t>
  </si>
  <si>
    <t>600868.XSHG</t>
  </si>
  <si>
    <t>600874.XSHG</t>
  </si>
  <si>
    <t>600886.XSHG</t>
  </si>
  <si>
    <t>600900.XSHG</t>
  </si>
  <si>
    <t>600903.XSHG</t>
  </si>
  <si>
    <t>600917.XSHG</t>
  </si>
  <si>
    <t>600969.XSHG</t>
  </si>
  <si>
    <t>600979.XSHG</t>
  </si>
  <si>
    <t>600982.XSHG</t>
  </si>
  <si>
    <t>600995.XSHG</t>
  </si>
  <si>
    <t>601016.XSHG</t>
  </si>
  <si>
    <t>601139.XSHG</t>
  </si>
  <si>
    <t>601158.XSHG</t>
  </si>
  <si>
    <t>601199.XSHG</t>
  </si>
  <si>
    <t>601368.XSHG</t>
  </si>
  <si>
    <t>601619.XSHG</t>
  </si>
  <si>
    <t>601985.XSHG</t>
  </si>
  <si>
    <t>601991.XSHG</t>
  </si>
  <si>
    <t>603080.XSHG</t>
  </si>
  <si>
    <t>603393.XSHG</t>
  </si>
  <si>
    <t>603693.XSHG</t>
  </si>
  <si>
    <t>603706.XSHG</t>
  </si>
  <si>
    <t>603817.XSHG</t>
  </si>
  <si>
    <t>000002.XSHE</t>
  </si>
  <si>
    <t>HY011</t>
  </si>
  <si>
    <t>000006.XSHE</t>
  </si>
  <si>
    <t>000007.XSHE</t>
  </si>
  <si>
    <t>000011.XSHE</t>
  </si>
  <si>
    <t>000014.XSHE</t>
  </si>
  <si>
    <t>000029.XSHE</t>
  </si>
  <si>
    <t>000031.XSHE</t>
  </si>
  <si>
    <t>000036.XSHE</t>
  </si>
  <si>
    <t>000042.XSHE</t>
  </si>
  <si>
    <t>000043.XSHE</t>
  </si>
  <si>
    <t>000046.XSHE</t>
  </si>
  <si>
    <t>000056.XSHE</t>
  </si>
  <si>
    <t>000058.XSHE</t>
  </si>
  <si>
    <t>000402.XSHE</t>
  </si>
  <si>
    <t>000502.XSHE</t>
  </si>
  <si>
    <t>000506.XSHE</t>
  </si>
  <si>
    <t>000514.XSHE</t>
  </si>
  <si>
    <t>000517.XSHE</t>
  </si>
  <si>
    <t>000534.XSHE</t>
  </si>
  <si>
    <t>000537.XSHE</t>
  </si>
  <si>
    <t>000540.XSHE</t>
  </si>
  <si>
    <t>000560.XSHE</t>
  </si>
  <si>
    <t>000573.XSHE</t>
  </si>
  <si>
    <t>000608.XSHE</t>
  </si>
  <si>
    <t>000609.XSHE</t>
  </si>
  <si>
    <t>000615.XSHE</t>
  </si>
  <si>
    <t>000616.XSHE</t>
  </si>
  <si>
    <t>000620.XSHE</t>
  </si>
  <si>
    <t>000631.XSHE</t>
  </si>
  <si>
    <t>000656.XSHE</t>
  </si>
  <si>
    <t>000667.XSHE</t>
  </si>
  <si>
    <t>000668.XSHE</t>
  </si>
  <si>
    <t>000671.XSHE</t>
  </si>
  <si>
    <t>000691.XSHE</t>
  </si>
  <si>
    <t>000718.XSHE</t>
  </si>
  <si>
    <t>000732.XSHE</t>
  </si>
  <si>
    <t>000736.XSHE</t>
  </si>
  <si>
    <t>000797.XSHE</t>
  </si>
  <si>
    <t>000809.XSHE</t>
  </si>
  <si>
    <t>000838.XSHE</t>
  </si>
  <si>
    <t>000863.XSHE</t>
  </si>
  <si>
    <t>000897.XSHE</t>
  </si>
  <si>
    <t>000918.XSHE</t>
  </si>
  <si>
    <t>000926.XSHE</t>
  </si>
  <si>
    <t>000961.XSHE</t>
  </si>
  <si>
    <t>000965.XSHE</t>
  </si>
  <si>
    <t>001979.XSHE</t>
  </si>
  <si>
    <t>002016.XSHE</t>
  </si>
  <si>
    <t>002077.XSHE</t>
  </si>
  <si>
    <t>002133.XSHE</t>
  </si>
  <si>
    <t>002146.XSHE</t>
  </si>
  <si>
    <t>002147.XSHE</t>
  </si>
  <si>
    <t>002208.XSHE</t>
  </si>
  <si>
    <t>002244.XSHE</t>
  </si>
  <si>
    <t>002285.XSHE</t>
  </si>
  <si>
    <t>002305.XSHE</t>
  </si>
  <si>
    <t>002314.XSHE</t>
  </si>
  <si>
    <t>002344.XSHE</t>
  </si>
  <si>
    <t>002377.XSHE</t>
  </si>
  <si>
    <t>002818.XSHE</t>
  </si>
  <si>
    <t>600007.XSHG</t>
  </si>
  <si>
    <t>600048.XSHG</t>
  </si>
  <si>
    <t>600052.XSHG</t>
  </si>
  <si>
    <t>600064.XSHG</t>
  </si>
  <si>
    <t>600067.XSHG</t>
  </si>
  <si>
    <t>600077.XSHG</t>
  </si>
  <si>
    <t>600082.XSHG</t>
  </si>
  <si>
    <t>600094.XSHG</t>
  </si>
  <si>
    <t>600095.XSHG</t>
  </si>
  <si>
    <t>600158.XSHG</t>
  </si>
  <si>
    <t>600159.XSHG</t>
  </si>
  <si>
    <t>600162.XSHG</t>
  </si>
  <si>
    <t>600173.XSHG</t>
  </si>
  <si>
    <t>600177.XSHG</t>
  </si>
  <si>
    <t>600185.XSHG</t>
  </si>
  <si>
    <t>600208.XSHG</t>
  </si>
  <si>
    <t>600215.XSHG</t>
  </si>
  <si>
    <t>600223.XSHG</t>
  </si>
  <si>
    <t>600225.XSHG</t>
  </si>
  <si>
    <t>600234.XSHG</t>
  </si>
  <si>
    <t>600239.XSHG</t>
  </si>
  <si>
    <t>600240.XSHG</t>
  </si>
  <si>
    <t>600246.XSHG</t>
  </si>
  <si>
    <t>600266.XSHG</t>
  </si>
  <si>
    <t>600322.XSHG</t>
  </si>
  <si>
    <t>600325.XSHG</t>
  </si>
  <si>
    <t>600340.XSHG</t>
  </si>
  <si>
    <t>600376.XSHG</t>
  </si>
  <si>
    <t>600383.XSHG</t>
  </si>
  <si>
    <t>600393.XSHG</t>
  </si>
  <si>
    <t>600415.XSHG</t>
  </si>
  <si>
    <t>600466.XSHG</t>
  </si>
  <si>
    <t>600503.XSHG</t>
  </si>
  <si>
    <t>600510.XSHG</t>
  </si>
  <si>
    <t>600515.XSHG</t>
  </si>
  <si>
    <t>600533.XSHG</t>
  </si>
  <si>
    <t>600555.XSHG</t>
  </si>
  <si>
    <t>600565.XSHG</t>
  </si>
  <si>
    <t>600603.XSHG</t>
  </si>
  <si>
    <t>600604.XSHG</t>
  </si>
  <si>
    <t>600606.XSHG</t>
  </si>
  <si>
    <t>600622.XSHG</t>
  </si>
  <si>
    <t>600638.XSHG</t>
  </si>
  <si>
    <t>600639.XSHG</t>
  </si>
  <si>
    <t>600641.XSHG</t>
  </si>
  <si>
    <t>600649.XSHG</t>
  </si>
  <si>
    <t>600657.XSHG</t>
  </si>
  <si>
    <t>600658.XSHG</t>
  </si>
  <si>
    <t>600663.XSHG</t>
  </si>
  <si>
    <t>600665.XSHG</t>
  </si>
  <si>
    <t>600675.XSHG</t>
  </si>
  <si>
    <t>600683.XSHG</t>
  </si>
  <si>
    <t>600684.XSHG</t>
  </si>
  <si>
    <t>600692.XSHG</t>
  </si>
  <si>
    <t>600708.XSHG</t>
  </si>
  <si>
    <t>600716.XSHG</t>
  </si>
  <si>
    <t>600724.XSHG</t>
  </si>
  <si>
    <t>600732.XSHG</t>
  </si>
  <si>
    <t>600736.XSHG</t>
  </si>
  <si>
    <t>600743.XSHG</t>
  </si>
  <si>
    <t>600747.XSHG</t>
  </si>
  <si>
    <t>600748.XSHG</t>
  </si>
  <si>
    <t>600773.XSHG</t>
  </si>
  <si>
    <t>600790.XSHG</t>
  </si>
  <si>
    <t>600791.XSHG</t>
  </si>
  <si>
    <t>600807.XSHG</t>
  </si>
  <si>
    <t>600817.XSHG</t>
  </si>
  <si>
    <t>600823.XSHG</t>
  </si>
  <si>
    <t>600848.XSHG</t>
  </si>
  <si>
    <t>600890.XSHG</t>
  </si>
  <si>
    <t>600895.XSHG</t>
  </si>
  <si>
    <t>601155.XSHG</t>
  </si>
  <si>
    <t>601588.XSHG</t>
  </si>
  <si>
    <t>603506.XSHG</t>
  </si>
  <si>
    <t>HY_CODE</t>
  </si>
  <si>
    <t>HY_NAME</t>
  </si>
  <si>
    <t>材料</t>
  </si>
  <si>
    <t>必选消费</t>
  </si>
  <si>
    <t>金融</t>
  </si>
  <si>
    <t>电信服务</t>
  </si>
  <si>
    <t>地产</t>
  </si>
  <si>
    <t>创业板</t>
    <phoneticPr fontId="3" type="noConversion"/>
  </si>
  <si>
    <t>399006</t>
    <phoneticPr fontId="3" type="noConversion"/>
  </si>
  <si>
    <t>创业板指</t>
    <phoneticPr fontId="3" type="noConversion"/>
  </si>
  <si>
    <t>HY007</t>
    <phoneticPr fontId="3" type="noConversion"/>
  </si>
  <si>
    <t>金融</t>
    <phoneticPr fontId="3" type="noConversion"/>
  </si>
  <si>
    <t>房地产</t>
  </si>
  <si>
    <t>可选消费</t>
    <phoneticPr fontId="3" type="noConversion"/>
  </si>
  <si>
    <t>必选消费</t>
    <phoneticPr fontId="3" type="noConversion"/>
  </si>
  <si>
    <t>医药卫生</t>
    <phoneticPr fontId="3" type="noConversion"/>
  </si>
  <si>
    <t>全市场占比</t>
    <phoneticPr fontId="3" type="noConversion"/>
  </si>
  <si>
    <t>行业名称</t>
    <phoneticPr fontId="3" type="noConversion"/>
  </si>
  <si>
    <t>行业代码</t>
    <phoneticPr fontId="3" type="noConversion"/>
  </si>
  <si>
    <t>name</t>
  </si>
  <si>
    <t>华锦股份</t>
  </si>
  <si>
    <t>广聚能源</t>
  </si>
  <si>
    <t>国际实业</t>
  </si>
  <si>
    <t>靖远煤电</t>
  </si>
  <si>
    <t>泰山石油</t>
  </si>
  <si>
    <t>美锦能源</t>
  </si>
  <si>
    <t>平庄能源</t>
  </si>
  <si>
    <t>石化机械</t>
  </si>
  <si>
    <t>冀中能源</t>
  </si>
  <si>
    <t>蓝焰控股</t>
  </si>
  <si>
    <t>西山煤电</t>
  </si>
  <si>
    <t>*ST华信</t>
  </si>
  <si>
    <t>露天煤业</t>
  </si>
  <si>
    <t>ST准油</t>
  </si>
  <si>
    <t>东华能源</t>
  </si>
  <si>
    <t>陕天然气</t>
  </si>
  <si>
    <t>神开股份</t>
  </si>
  <si>
    <t>杰瑞股份</t>
  </si>
  <si>
    <t>山东墨龙</t>
  </si>
  <si>
    <t>惠博普</t>
  </si>
  <si>
    <t>仁智股份</t>
  </si>
  <si>
    <t>高科石化</t>
  </si>
  <si>
    <t>贝肯能源</t>
  </si>
  <si>
    <t>海默科技</t>
  </si>
  <si>
    <t>恒泰艾普</t>
  </si>
  <si>
    <t>通源石油</t>
  </si>
  <si>
    <t>潜能恒信</t>
  </si>
  <si>
    <t>中国石化</t>
  </si>
  <si>
    <t>郑州煤电</t>
  </si>
  <si>
    <t>兰花科创</t>
  </si>
  <si>
    <t>永泰能源</t>
  </si>
  <si>
    <t>兖州煤业</t>
  </si>
  <si>
    <t>广汇能源</t>
  </si>
  <si>
    <t>中油工程</t>
  </si>
  <si>
    <t>阳泉煤业</t>
  </si>
  <si>
    <t>海越能源</t>
  </si>
  <si>
    <t>盘江股份</t>
  </si>
  <si>
    <t>*ST安煤</t>
  </si>
  <si>
    <t>大有能源</t>
  </si>
  <si>
    <t>*ST安泰</t>
  </si>
  <si>
    <t>上海能源</t>
  </si>
  <si>
    <t>山煤国际</t>
  </si>
  <si>
    <t>海油工程</t>
  </si>
  <si>
    <t>上海石化</t>
  </si>
  <si>
    <t>山西焦化</t>
  </si>
  <si>
    <t>洲际油气</t>
  </si>
  <si>
    <t>新潮能源</t>
  </si>
  <si>
    <t>云煤能源</t>
  </si>
  <si>
    <t>中天能源</t>
  </si>
  <si>
    <t>*ST油服</t>
  </si>
  <si>
    <t>恒源煤电</t>
  </si>
  <si>
    <t>开滦股份</t>
  </si>
  <si>
    <t>大同煤业</t>
  </si>
  <si>
    <t>宝泰隆</t>
  </si>
  <si>
    <t>陕西黑猫</t>
  </si>
  <si>
    <t>中国神华</t>
  </si>
  <si>
    <t>昊华能源</t>
  </si>
  <si>
    <t>陕西煤业</t>
  </si>
  <si>
    <t>平煤股份</t>
  </si>
  <si>
    <t>潞安环能</t>
  </si>
  <si>
    <t>*ST蓝科</t>
  </si>
  <si>
    <t>中海油服</t>
  </si>
  <si>
    <t>中国石油</t>
  </si>
  <si>
    <t>中煤能源</t>
  </si>
  <si>
    <t>新集能源</t>
  </si>
  <si>
    <t>龙宇燃油</t>
  </si>
  <si>
    <t>如通股份</t>
  </si>
  <si>
    <t>金能科技</t>
  </si>
  <si>
    <t>中曼石油</t>
  </si>
  <si>
    <t>皖天然气</t>
  </si>
  <si>
    <t>博迈科</t>
  </si>
  <si>
    <t>康普顿</t>
  </si>
  <si>
    <t>道森股份</t>
  </si>
  <si>
    <t>龙蟠科技</t>
  </si>
  <si>
    <t>南玻A</t>
  </si>
  <si>
    <t>深天地A</t>
  </si>
  <si>
    <t>中金岭南</t>
  </si>
  <si>
    <t>东方盛虹</t>
  </si>
  <si>
    <t>冀东水泥</t>
  </si>
  <si>
    <t>藏格控股</t>
  </si>
  <si>
    <t>吉林化纤</t>
  </si>
  <si>
    <t>*ST宜化</t>
  </si>
  <si>
    <t>兴业矿业</t>
  </si>
  <si>
    <t>晨鸣纸业</t>
  </si>
  <si>
    <t>金路集团</t>
  </si>
  <si>
    <t>红太阳</t>
  </si>
  <si>
    <t>金浦钛业</t>
  </si>
  <si>
    <t>金圆股份</t>
  </si>
  <si>
    <t>渝三峡A</t>
  </si>
  <si>
    <t>广东甘化</t>
  </si>
  <si>
    <t>平潭发展</t>
  </si>
  <si>
    <t>盛达矿业</t>
  </si>
  <si>
    <t>焦作万方</t>
  </si>
  <si>
    <t>攀钢钒钛</t>
  </si>
  <si>
    <t>铜陵有色</t>
  </si>
  <si>
    <t>合金投资</t>
  </si>
  <si>
    <t>英力特</t>
  </si>
  <si>
    <t>茂化实华</t>
  </si>
  <si>
    <t>*ST金岭</t>
  </si>
  <si>
    <t>中钨高新</t>
  </si>
  <si>
    <t>珠海中富</t>
  </si>
  <si>
    <t>上峰水泥</t>
  </si>
  <si>
    <t>恒天海龙</t>
  </si>
  <si>
    <t>远兴能源</t>
  </si>
  <si>
    <t>国城矿业</t>
  </si>
  <si>
    <t>*ST华泽</t>
  </si>
  <si>
    <t>沈阳化工</t>
  </si>
  <si>
    <t>恒逸石化</t>
  </si>
  <si>
    <t>*ST双环</t>
  </si>
  <si>
    <t>大冶特钢</t>
  </si>
  <si>
    <t>河钢股份</t>
  </si>
  <si>
    <t>韶钢松山</t>
  </si>
  <si>
    <t>四川美丰</t>
  </si>
  <si>
    <t>锌业股份</t>
  </si>
  <si>
    <t>中色股份</t>
  </si>
  <si>
    <t>本钢板材</t>
  </si>
  <si>
    <t>西藏矿业</t>
  </si>
  <si>
    <t>新兴铸管</t>
  </si>
  <si>
    <t>美达股份</t>
  </si>
  <si>
    <t>北新建材</t>
  </si>
  <si>
    <t>万年青</t>
  </si>
  <si>
    <t>盐湖股份</t>
  </si>
  <si>
    <t>英洛华</t>
  </si>
  <si>
    <t>云铝股份</t>
  </si>
  <si>
    <t>美利云</t>
  </si>
  <si>
    <t>航锦科技</t>
  </si>
  <si>
    <t>岳阳兴长</t>
  </si>
  <si>
    <t>山东海化</t>
  </si>
  <si>
    <t>太钢不锈</t>
  </si>
  <si>
    <t>鲁西化工</t>
  </si>
  <si>
    <t>五矿稀土</t>
  </si>
  <si>
    <t>国风塑业</t>
  </si>
  <si>
    <t>天山股份</t>
  </si>
  <si>
    <t>云南铜业</t>
  </si>
  <si>
    <t>法尔胜</t>
  </si>
  <si>
    <t>鞍钢股份</t>
  </si>
  <si>
    <t>新洋丰</t>
  </si>
  <si>
    <t>大亚圣象</t>
  </si>
  <si>
    <t>*ST天化</t>
  </si>
  <si>
    <t>南方汇通</t>
  </si>
  <si>
    <t>河北宣工</t>
  </si>
  <si>
    <t>中粮生化</t>
  </si>
  <si>
    <t>华菱钢铁</t>
  </si>
  <si>
    <t>神火股份</t>
  </si>
  <si>
    <t>四川双马</t>
  </si>
  <si>
    <t>华西股份</t>
  </si>
  <si>
    <t>新乡化纤</t>
  </si>
  <si>
    <t>ST河化</t>
  </si>
  <si>
    <t>首钢股份</t>
  </si>
  <si>
    <t>锡业股份</t>
  </si>
  <si>
    <t>东方钽业</t>
  </si>
  <si>
    <t>安泰科技</t>
  </si>
  <si>
    <t>中科三环</t>
  </si>
  <si>
    <t>佛塑科技</t>
  </si>
  <si>
    <t>银泰资源</t>
  </si>
  <si>
    <t>大庆华科</t>
  </si>
  <si>
    <t>诚志股份</t>
  </si>
  <si>
    <t>鸿达兴业</t>
  </si>
  <si>
    <t>华邦健康</t>
  </si>
  <si>
    <t>凯恩股份</t>
  </si>
  <si>
    <t>永新股份</t>
  </si>
  <si>
    <t>久联发展</t>
  </si>
  <si>
    <t>兔宝宝</t>
  </si>
  <si>
    <t>云南能投</t>
  </si>
  <si>
    <t>德美化工</t>
  </si>
  <si>
    <t>横店东磁</t>
  </si>
  <si>
    <t>中钢天源</t>
  </si>
  <si>
    <t>华峰氨纶</t>
  </si>
  <si>
    <t>瑞泰科技</t>
  </si>
  <si>
    <t>景兴纸业</t>
  </si>
  <si>
    <t>黑猫股份</t>
  </si>
  <si>
    <t>*ST众和</t>
  </si>
  <si>
    <t>沙钢股份</t>
  </si>
  <si>
    <t>太阳纸业</t>
  </si>
  <si>
    <t>中材科技</t>
  </si>
  <si>
    <t>万邦德</t>
  </si>
  <si>
    <t>鲁阳节能</t>
  </si>
  <si>
    <t>中泰化学</t>
  </si>
  <si>
    <t>南岭民爆</t>
  </si>
  <si>
    <t>沧州明珠</t>
  </si>
  <si>
    <t>兴化股份</t>
  </si>
  <si>
    <t>三钢闽光</t>
  </si>
  <si>
    <t>罗平锌电</t>
  </si>
  <si>
    <t>湘潭电化</t>
  </si>
  <si>
    <t>恒星科技</t>
  </si>
  <si>
    <t>安纳达</t>
  </si>
  <si>
    <t>中核钛白</t>
  </si>
  <si>
    <t>西部材料</t>
  </si>
  <si>
    <t>湖南黄金</t>
  </si>
  <si>
    <t>常铝股份</t>
  </si>
  <si>
    <t>悦心健康</t>
  </si>
  <si>
    <t>红宝丽</t>
  </si>
  <si>
    <t>东方锆业</t>
  </si>
  <si>
    <t>芭田股份</t>
  </si>
  <si>
    <t>楚江新材</t>
  </si>
  <si>
    <t>云海金属</t>
  </si>
  <si>
    <t>融捷股份</t>
  </si>
  <si>
    <t>九鼎新材</t>
  </si>
  <si>
    <t>海亮股份</t>
  </si>
  <si>
    <t>国统股份</t>
  </si>
  <si>
    <t>海利得</t>
  </si>
  <si>
    <t>宏达新材</t>
  </si>
  <si>
    <t>诺普信</t>
  </si>
  <si>
    <t>三力士</t>
  </si>
  <si>
    <t>濮耐股份</t>
  </si>
  <si>
    <t>江南化工</t>
  </si>
  <si>
    <t>合兴包装</t>
  </si>
  <si>
    <t>塔牌集团</t>
  </si>
  <si>
    <t>恒邦股份</t>
  </si>
  <si>
    <t>威华股份</t>
  </si>
  <si>
    <t>通产丽星</t>
  </si>
  <si>
    <t>北化股份</t>
  </si>
  <si>
    <t>联化科技</t>
  </si>
  <si>
    <t>泰和新材</t>
  </si>
  <si>
    <t>兆新股份</t>
  </si>
  <si>
    <t>利尔化学</t>
  </si>
  <si>
    <t>*ST东南</t>
  </si>
  <si>
    <t>东方雨虹</t>
  </si>
  <si>
    <t>华昌化工</t>
  </si>
  <si>
    <t>精艺股份</t>
  </si>
  <si>
    <t>西部建设</t>
  </si>
  <si>
    <t>美盈森</t>
  </si>
  <si>
    <t>久立特材</t>
  </si>
  <si>
    <t>乐通股份</t>
  </si>
  <si>
    <t>普利特</t>
  </si>
  <si>
    <t>永太科技</t>
  </si>
  <si>
    <t>格林美</t>
  </si>
  <si>
    <t>新纶科技</t>
  </si>
  <si>
    <t>同德化工</t>
  </si>
  <si>
    <t>神剑股份</t>
  </si>
  <si>
    <t>章源钨业</t>
  </si>
  <si>
    <t>宏创控股</t>
  </si>
  <si>
    <t>双箭股份</t>
  </si>
  <si>
    <t>天原集团</t>
  </si>
  <si>
    <t>长青股份</t>
  </si>
  <si>
    <t>北京利尔</t>
  </si>
  <si>
    <t>双象股份</t>
  </si>
  <si>
    <t>建研集团</t>
  </si>
  <si>
    <t>多氟多</t>
  </si>
  <si>
    <t>齐翔腾达</t>
  </si>
  <si>
    <t>雅克科技</t>
  </si>
  <si>
    <t>*ST尤夫</t>
  </si>
  <si>
    <t>云南锗业</t>
  </si>
  <si>
    <t>闰土股份</t>
  </si>
  <si>
    <t>龙星化工</t>
  </si>
  <si>
    <t>金洲管道</t>
  </si>
  <si>
    <t>百川股份</t>
  </si>
  <si>
    <t>青龙管业</t>
  </si>
  <si>
    <t>赣锋锂业</t>
  </si>
  <si>
    <t>天齐锂业</t>
  </si>
  <si>
    <t>金正大</t>
  </si>
  <si>
    <t>宝莫股份</t>
  </si>
  <si>
    <t>常宝股份</t>
  </si>
  <si>
    <t>荣盛石化</t>
  </si>
  <si>
    <t>ST辉丰</t>
  </si>
  <si>
    <t>雅化集团</t>
  </si>
  <si>
    <t>利源精制</t>
  </si>
  <si>
    <t>蓝丰生化</t>
  </si>
  <si>
    <t>齐峰新材</t>
  </si>
  <si>
    <t>浙江众成</t>
  </si>
  <si>
    <t>海源复材</t>
  </si>
  <si>
    <t>司尔特</t>
  </si>
  <si>
    <t>云图控股</t>
  </si>
  <si>
    <t>亚太科技</t>
  </si>
  <si>
    <t>凯美特气</t>
  </si>
  <si>
    <t>辉隆股份</t>
  </si>
  <si>
    <t>兄弟科技</t>
  </si>
  <si>
    <t>顺灏股份</t>
  </si>
  <si>
    <t>闽发铝业</t>
  </si>
  <si>
    <t>西陇科学</t>
  </si>
  <si>
    <t>双星新材</t>
  </si>
  <si>
    <t>史丹利</t>
  </si>
  <si>
    <t>恒大高新</t>
  </si>
  <si>
    <t>日上集团</t>
  </si>
  <si>
    <t>海南瑞泽</t>
  </si>
  <si>
    <t>金禾实业</t>
  </si>
  <si>
    <t>龙蟒佰利</t>
  </si>
  <si>
    <t>德尔未来</t>
  </si>
  <si>
    <t>道明光学</t>
  </si>
  <si>
    <t>赞宇科技</t>
  </si>
  <si>
    <t>万润股份</t>
  </si>
  <si>
    <t>卫星石化</t>
  </si>
  <si>
    <t>德联集团</t>
  </si>
  <si>
    <t>康达新材</t>
  </si>
  <si>
    <t>龙泉股份</t>
  </si>
  <si>
    <t>顺威股份</t>
  </si>
  <si>
    <t>福建金森</t>
  </si>
  <si>
    <t>宏大爆破</t>
  </si>
  <si>
    <t>奥瑞金</t>
  </si>
  <si>
    <t>天赐材料</t>
  </si>
  <si>
    <t>金贵银业</t>
  </si>
  <si>
    <t>利民股份</t>
  </si>
  <si>
    <t>王子新材</t>
  </si>
  <si>
    <t>光华科技</t>
  </si>
  <si>
    <t>三圣股份</t>
  </si>
  <si>
    <t>世龙实业</t>
  </si>
  <si>
    <t>国光股份</t>
  </si>
  <si>
    <t>昇兴股份</t>
  </si>
  <si>
    <t>永东股份</t>
  </si>
  <si>
    <t>永兴特钢</t>
  </si>
  <si>
    <t>国恩股份</t>
  </si>
  <si>
    <t>凯龙股份</t>
  </si>
  <si>
    <t>万里石</t>
  </si>
  <si>
    <t>华源控股</t>
  </si>
  <si>
    <t>环球印务</t>
  </si>
  <si>
    <t>洪汇新材</t>
  </si>
  <si>
    <t>吉宏股份</t>
  </si>
  <si>
    <t>丰元股份</t>
  </si>
  <si>
    <t>华锋股份</t>
  </si>
  <si>
    <t>红墙股份</t>
  </si>
  <si>
    <t>山东赫达</t>
  </si>
  <si>
    <t>和胜股份</t>
  </si>
  <si>
    <t>纳尔股份</t>
  </si>
  <si>
    <t>高争民爆</t>
  </si>
  <si>
    <t>裕同科技</t>
  </si>
  <si>
    <t>道恩股份</t>
  </si>
  <si>
    <t>翔鹭钨业</t>
  </si>
  <si>
    <t>英联股份</t>
  </si>
  <si>
    <t>沃特股份</t>
  </si>
  <si>
    <t>川恒股份</t>
  </si>
  <si>
    <t>集泰股份</t>
  </si>
  <si>
    <t>中欣氟材</t>
  </si>
  <si>
    <t>金奥博</t>
  </si>
  <si>
    <t>蒙娜丽莎</t>
  </si>
  <si>
    <t>硅宝科技</t>
  </si>
  <si>
    <t>钢研高纳</t>
  </si>
  <si>
    <t>新宙邦</t>
  </si>
  <si>
    <t>回天新材</t>
  </si>
  <si>
    <t>鼎龙股份</t>
  </si>
  <si>
    <t>万顺股份</t>
  </si>
  <si>
    <t>豫金刚石</t>
  </si>
  <si>
    <t>安诺其</t>
  </si>
  <si>
    <t>当升科技</t>
  </si>
  <si>
    <t>奥克股份</t>
  </si>
  <si>
    <t>金刚玻璃</t>
  </si>
  <si>
    <t>建新股份</t>
  </si>
  <si>
    <t>新开源</t>
  </si>
  <si>
    <t>阳谷华泰</t>
  </si>
  <si>
    <t>银河磁体</t>
  </si>
  <si>
    <t>青松股份</t>
  </si>
  <si>
    <t>宝利国际</t>
  </si>
  <si>
    <t>先锋新材</t>
  </si>
  <si>
    <t>天晟新材</t>
  </si>
  <si>
    <t>元力股份</t>
  </si>
  <si>
    <t>四方达</t>
  </si>
  <si>
    <t>华峰超纤</t>
  </si>
  <si>
    <t>科斯伍德</t>
  </si>
  <si>
    <t>长海股份</t>
  </si>
  <si>
    <t>纳川股份</t>
  </si>
  <si>
    <t>高盟新材</t>
  </si>
  <si>
    <t>日科化学</t>
  </si>
  <si>
    <t>安利股份</t>
  </si>
  <si>
    <t>银禧科技</t>
  </si>
  <si>
    <t>正海磁材</t>
  </si>
  <si>
    <t>金力泰</t>
  </si>
  <si>
    <t>上海新阳</t>
  </si>
  <si>
    <t>瑞丰高材</t>
  </si>
  <si>
    <t>雅本化学</t>
  </si>
  <si>
    <t>国瓷材料</t>
  </si>
  <si>
    <t>裕兴股份</t>
  </si>
  <si>
    <t>海达股份</t>
  </si>
  <si>
    <t>同大股份</t>
  </si>
  <si>
    <t>德威新材</t>
  </si>
  <si>
    <t>宜安科技</t>
  </si>
  <si>
    <t>银邦股份</t>
  </si>
  <si>
    <t>科恒股份</t>
  </si>
  <si>
    <t>富邦股份</t>
  </si>
  <si>
    <t>菲利华</t>
  </si>
  <si>
    <t>飞凯材料</t>
  </si>
  <si>
    <t>科隆股份</t>
  </si>
  <si>
    <t>道氏技术</t>
  </si>
  <si>
    <t>四通新材</t>
  </si>
  <si>
    <t>强力新材</t>
  </si>
  <si>
    <t>清水源</t>
  </si>
  <si>
    <t>乐凯新材</t>
  </si>
  <si>
    <t>杭州高新</t>
  </si>
  <si>
    <t>濮阳惠成</t>
  </si>
  <si>
    <t>蓝晓科技</t>
  </si>
  <si>
    <t>中飞股份</t>
  </si>
  <si>
    <t>海顺新材</t>
  </si>
  <si>
    <t>川金诺</t>
  </si>
  <si>
    <t>世名科技</t>
  </si>
  <si>
    <t>达志科技</t>
  </si>
  <si>
    <t>达威股份</t>
  </si>
  <si>
    <t>广信材料</t>
  </si>
  <si>
    <t>横河模具</t>
  </si>
  <si>
    <t>三超新材</t>
  </si>
  <si>
    <t>星源材质</t>
  </si>
  <si>
    <t>中旗股份</t>
  </si>
  <si>
    <t>容大感光</t>
  </si>
  <si>
    <t>美联新材</t>
  </si>
  <si>
    <t>天铁股份</t>
  </si>
  <si>
    <t>利安隆</t>
  </si>
  <si>
    <t>晨化股份</t>
  </si>
  <si>
    <t>寒锐钴业</t>
  </si>
  <si>
    <t>扬帆新材</t>
  </si>
  <si>
    <t>正丹股份</t>
  </si>
  <si>
    <t>南京聚隆</t>
  </si>
  <si>
    <t>晶瑞股份</t>
  </si>
  <si>
    <t>飞鹿股份</t>
  </si>
  <si>
    <t>中石科技</t>
  </si>
  <si>
    <t>电工合金</t>
  </si>
  <si>
    <t>光威复材</t>
  </si>
  <si>
    <t>岱勒新材</t>
  </si>
  <si>
    <t>凯伦股份</t>
  </si>
  <si>
    <t>国立科技</t>
  </si>
  <si>
    <t>华信新材</t>
  </si>
  <si>
    <t>怡达股份</t>
  </si>
  <si>
    <t>润禾材料</t>
  </si>
  <si>
    <t>科创新源</t>
  </si>
  <si>
    <t>科顺股份</t>
  </si>
  <si>
    <t>金力永磁</t>
  </si>
  <si>
    <t>包钢股份</t>
  </si>
  <si>
    <t>宝钢股份</t>
  </si>
  <si>
    <t>山东钢铁</t>
  </si>
  <si>
    <t>皖维高新</t>
  </si>
  <si>
    <t>银鸽投资</t>
  </si>
  <si>
    <t>新疆天业</t>
  </si>
  <si>
    <t>康欣新材</t>
  </si>
  <si>
    <t>澄星股份</t>
  </si>
  <si>
    <t>ST明科</t>
  </si>
  <si>
    <t>云天化</t>
  </si>
  <si>
    <t>青山纸业</t>
  </si>
  <si>
    <t>诺德股份</t>
  </si>
  <si>
    <t>北方稀土</t>
  </si>
  <si>
    <t>西宁特钢</t>
  </si>
  <si>
    <t>杭钢股份</t>
  </si>
  <si>
    <t>乐凯胶片</t>
  </si>
  <si>
    <t>兴发集团</t>
  </si>
  <si>
    <t>金发科技</t>
  </si>
  <si>
    <t>巨化股份</t>
  </si>
  <si>
    <t>新日恒力</t>
  </si>
  <si>
    <t>黄河旋风</t>
  </si>
  <si>
    <t>中国巨石</t>
  </si>
  <si>
    <t>有研新材</t>
  </si>
  <si>
    <t>安彩高科</t>
  </si>
  <si>
    <t>紫江企业</t>
  </si>
  <si>
    <t>南山铝业</t>
  </si>
  <si>
    <t>瀚叶股份</t>
  </si>
  <si>
    <t>ST昌九</t>
  </si>
  <si>
    <t>沧州大化</t>
  </si>
  <si>
    <t>凌钢股份</t>
  </si>
  <si>
    <t>民丰特纸</t>
  </si>
  <si>
    <t>梦舟股份</t>
  </si>
  <si>
    <t>广晟有色</t>
  </si>
  <si>
    <t>ST景谷</t>
  </si>
  <si>
    <t>嘉化能源</t>
  </si>
  <si>
    <t>亿利洁能</t>
  </si>
  <si>
    <t>太化股份</t>
  </si>
  <si>
    <t>南钢股份</t>
  </si>
  <si>
    <t>ST南化</t>
  </si>
  <si>
    <t>酒钢宏兴</t>
  </si>
  <si>
    <t>华泰股份</t>
  </si>
  <si>
    <t>万华化学</t>
  </si>
  <si>
    <t>荣华实业</t>
  </si>
  <si>
    <t>亚星化学</t>
  </si>
  <si>
    <t>兰太实业</t>
  </si>
  <si>
    <t>天通股份</t>
  </si>
  <si>
    <t>宏达股份</t>
  </si>
  <si>
    <t>西藏珠峰</t>
  </si>
  <si>
    <t>恒力股份</t>
  </si>
  <si>
    <t>浙江龙盛</t>
  </si>
  <si>
    <t>恒丰纸业</t>
  </si>
  <si>
    <t>江西铜业</t>
  </si>
  <si>
    <t>宁波韵升</t>
  </si>
  <si>
    <t>红星发展</t>
  </si>
  <si>
    <t>天科股份</t>
  </si>
  <si>
    <t>江山股份</t>
  </si>
  <si>
    <t>盛和资源</t>
  </si>
  <si>
    <t>*ST抚钢</t>
  </si>
  <si>
    <t>三友化工</t>
  </si>
  <si>
    <t>*ST柳化</t>
  </si>
  <si>
    <t>青松建化</t>
  </si>
  <si>
    <t>华鲁恒升</t>
  </si>
  <si>
    <t>冠豪高新</t>
  </si>
  <si>
    <t>宁夏建材</t>
  </si>
  <si>
    <t>宝钛股份</t>
  </si>
  <si>
    <t>时代新材</t>
  </si>
  <si>
    <t>贵研铂业</t>
  </si>
  <si>
    <t>六国化工</t>
  </si>
  <si>
    <t>扬农化工</t>
  </si>
  <si>
    <t>中金黄金</t>
  </si>
  <si>
    <t>鹏欣资源</t>
  </si>
  <si>
    <t>驰宏锌锗</t>
  </si>
  <si>
    <t>中化国际</t>
  </si>
  <si>
    <t>方大特钢</t>
  </si>
  <si>
    <t>方大炭素</t>
  </si>
  <si>
    <t>江南高纤</t>
  </si>
  <si>
    <t>山东药玻</t>
  </si>
  <si>
    <t>豫光金铅</t>
  </si>
  <si>
    <t>宏达矿业</t>
  </si>
  <si>
    <t>*ST狮头</t>
  </si>
  <si>
    <t>山东黄金</t>
  </si>
  <si>
    <t>厦门钨业</t>
  </si>
  <si>
    <t>大西洋</t>
  </si>
  <si>
    <t>山鹰纸业</t>
  </si>
  <si>
    <t>安阳钢铁</t>
  </si>
  <si>
    <t>八一钢铁</t>
  </si>
  <si>
    <t>海螺水泥</t>
  </si>
  <si>
    <t>金晶科技</t>
  </si>
  <si>
    <t>广东榕泰</t>
  </si>
  <si>
    <t>中孚实业</t>
  </si>
  <si>
    <t>新安股份</t>
  </si>
  <si>
    <t>鹏起科技</t>
  </si>
  <si>
    <t>丰华股份</t>
  </si>
  <si>
    <t>氯碱化工</t>
  </si>
  <si>
    <t>华谊集团</t>
  </si>
  <si>
    <t>三爱富</t>
  </si>
  <si>
    <t>东阳光科</t>
  </si>
  <si>
    <t>四川金顶</t>
  </si>
  <si>
    <t>阳煤化工</t>
  </si>
  <si>
    <t>金瑞矿业</t>
  </si>
  <si>
    <t>祁连山</t>
  </si>
  <si>
    <t>金牛化工</t>
  </si>
  <si>
    <t>ST云维</t>
  </si>
  <si>
    <t>鲁北化工</t>
  </si>
  <si>
    <t>湖南海利</t>
  </si>
  <si>
    <t>江苏索普</t>
  </si>
  <si>
    <t>园城黄金</t>
  </si>
  <si>
    <t>宁波富邦</t>
  </si>
  <si>
    <t>新钢股份</t>
  </si>
  <si>
    <t>宜宾纸业</t>
  </si>
  <si>
    <t>钱江生化</t>
  </si>
  <si>
    <t>华新水泥</t>
  </si>
  <si>
    <t>福建水泥</t>
  </si>
  <si>
    <t>新奥股份</t>
  </si>
  <si>
    <t>马钢股份</t>
  </si>
  <si>
    <t>神马股份</t>
  </si>
  <si>
    <t>耀皮玻璃</t>
  </si>
  <si>
    <t>丹化科技</t>
  </si>
  <si>
    <t>亚泰集团</t>
  </si>
  <si>
    <t>博闻科技</t>
  </si>
  <si>
    <t>杉杉股份</t>
  </si>
  <si>
    <t>新疆众和</t>
  </si>
  <si>
    <t>南京化纤</t>
  </si>
  <si>
    <t>株冶集团</t>
  </si>
  <si>
    <t>岳阳林纸</t>
  </si>
  <si>
    <t>博汇纸业</t>
  </si>
  <si>
    <t>北矿科技</t>
  </si>
  <si>
    <t>赤峰黄金</t>
  </si>
  <si>
    <t>贵绳股份</t>
  </si>
  <si>
    <t>柳钢股份</t>
  </si>
  <si>
    <t>重庆钢铁</t>
  </si>
  <si>
    <t>华钰矿业</t>
  </si>
  <si>
    <t>玉龙股份</t>
  </si>
  <si>
    <t>西部黄金</t>
  </si>
  <si>
    <t>华鼎股份</t>
  </si>
  <si>
    <t>博威合金</t>
  </si>
  <si>
    <t>西部矿业</t>
  </si>
  <si>
    <t>东材科技</t>
  </si>
  <si>
    <t>白银有色</t>
  </si>
  <si>
    <t>君正集团</t>
  </si>
  <si>
    <t>桐昆股份</t>
  </si>
  <si>
    <t>怡球资源</t>
  </si>
  <si>
    <t>中国铝业</t>
  </si>
  <si>
    <t>旗滨集团</t>
  </si>
  <si>
    <t>明泰铝业</t>
  </si>
  <si>
    <t>滨化股份</t>
  </si>
  <si>
    <t>紫金矿业</t>
  </si>
  <si>
    <t>金钼股份</t>
  </si>
  <si>
    <t>宝钢包装</t>
  </si>
  <si>
    <t>海南矿业</t>
  </si>
  <si>
    <t>金隅集团</t>
  </si>
  <si>
    <t>丰林集团</t>
  </si>
  <si>
    <t>宏昌电子</t>
  </si>
  <si>
    <t>万盛股份</t>
  </si>
  <si>
    <t>山东华鹏</t>
  </si>
  <si>
    <t>新通联</t>
  </si>
  <si>
    <t>石大胜华</t>
  </si>
  <si>
    <t>赛福天</t>
  </si>
  <si>
    <t>三维股份</t>
  </si>
  <si>
    <t>美思德</t>
  </si>
  <si>
    <t>福达合金</t>
  </si>
  <si>
    <t>台华新材</t>
  </si>
  <si>
    <t>振华股份</t>
  </si>
  <si>
    <t>和邦生物</t>
  </si>
  <si>
    <t>江化微</t>
  </si>
  <si>
    <t>先达股份</t>
  </si>
  <si>
    <t>东方材料</t>
  </si>
  <si>
    <t>荣晟环保</t>
  </si>
  <si>
    <t>皇马科技</t>
  </si>
  <si>
    <t>汇得科技</t>
  </si>
  <si>
    <t>新凤鸣</t>
  </si>
  <si>
    <t>菲林格尔</t>
  </si>
  <si>
    <t>雪峰科技</t>
  </si>
  <si>
    <t>合盛硅业</t>
  </si>
  <si>
    <t>大业股份</t>
  </si>
  <si>
    <t>井神股份</t>
  </si>
  <si>
    <t>上海天洋</t>
  </si>
  <si>
    <t>百傲化学</t>
  </si>
  <si>
    <t>亚士创能</t>
  </si>
  <si>
    <t>翔港科技</t>
  </si>
  <si>
    <t>金石资源</t>
  </si>
  <si>
    <t>众源新材</t>
  </si>
  <si>
    <t>艾艾精工</t>
  </si>
  <si>
    <t>苏利股份</t>
  </si>
  <si>
    <t>广信股份</t>
  </si>
  <si>
    <t>再升科技</t>
  </si>
  <si>
    <t>京华激光</t>
  </si>
  <si>
    <t>索通发展</t>
  </si>
  <si>
    <t>韩建河山</t>
  </si>
  <si>
    <t>海利尔</t>
  </si>
  <si>
    <t>彤程新材</t>
  </si>
  <si>
    <t>璞泰来</t>
  </si>
  <si>
    <t>三祥新材</t>
  </si>
  <si>
    <t>晶华新材</t>
  </si>
  <si>
    <t>石英股份</t>
  </si>
  <si>
    <t>阿科力</t>
  </si>
  <si>
    <t>天安新材</t>
  </si>
  <si>
    <t>仙鹤股份</t>
  </si>
  <si>
    <t>三棵树</t>
  </si>
  <si>
    <t>雅运股份</t>
  </si>
  <si>
    <t>华友钴业</t>
  </si>
  <si>
    <t>丰山集团</t>
  </si>
  <si>
    <t>嘉澳环保</t>
  </si>
  <si>
    <t>百合花</t>
  </si>
  <si>
    <t>坤彩科技</t>
  </si>
  <si>
    <t>鼎胜新材</t>
  </si>
  <si>
    <t>武进不锈</t>
  </si>
  <si>
    <t>永悦科技</t>
  </si>
  <si>
    <t>苏博特</t>
  </si>
  <si>
    <t>兴业股份</t>
  </si>
  <si>
    <t>丽岛新材</t>
  </si>
  <si>
    <t>三孚股份</t>
  </si>
  <si>
    <t>醋化股份</t>
  </si>
  <si>
    <t>银龙股份</t>
  </si>
  <si>
    <t>中农立华</t>
  </si>
  <si>
    <t>正川股份</t>
  </si>
  <si>
    <t>国泰集团</t>
  </si>
  <si>
    <t>深圳新星</t>
  </si>
  <si>
    <t>吉华集团</t>
  </si>
  <si>
    <t>至正股份</t>
  </si>
  <si>
    <t>洛阳钼业</t>
  </si>
  <si>
    <t>世纪星源</t>
  </si>
  <si>
    <t>神州高铁</t>
  </si>
  <si>
    <t>中国宝安</t>
  </si>
  <si>
    <t>美丽生态</t>
  </si>
  <si>
    <t>神州长城</t>
  </si>
  <si>
    <t>中国天楹</t>
  </si>
  <si>
    <t>中集集团</t>
  </si>
  <si>
    <t>德赛电池</t>
  </si>
  <si>
    <t>方大集团</t>
  </si>
  <si>
    <t>北方国际</t>
  </si>
  <si>
    <t>华控赛格</t>
  </si>
  <si>
    <t>盐田港</t>
  </si>
  <si>
    <t>深圳机场</t>
  </si>
  <si>
    <t>天健集团</t>
  </si>
  <si>
    <t>中信海直</t>
  </si>
  <si>
    <t>中成股份</t>
  </si>
  <si>
    <t>中联重科</t>
  </si>
  <si>
    <t>潍柴动力</t>
  </si>
  <si>
    <t>许继电气</t>
  </si>
  <si>
    <t>长虹华意</t>
  </si>
  <si>
    <t>*ST地矿</t>
  </si>
  <si>
    <t>沈阳机床</t>
  </si>
  <si>
    <t>徐工机械</t>
  </si>
  <si>
    <t>粤高速A</t>
  </si>
  <si>
    <t>山东路桥</t>
  </si>
  <si>
    <t>珠海港</t>
  </si>
  <si>
    <t>华塑控股</t>
  </si>
  <si>
    <t>中兵红箭</t>
  </si>
  <si>
    <t>长航凤凰</t>
  </si>
  <si>
    <t>柳工</t>
  </si>
  <si>
    <t>广弘控股</t>
  </si>
  <si>
    <t>大冷股份</t>
  </si>
  <si>
    <t>航天发展</t>
  </si>
  <si>
    <t>湖南投资</t>
  </si>
  <si>
    <t>创元科技</t>
  </si>
  <si>
    <t>西部创业</t>
  </si>
  <si>
    <t>苏常柴A</t>
  </si>
  <si>
    <t>新大洲A</t>
  </si>
  <si>
    <t>北部湾港</t>
  </si>
  <si>
    <t>哈工智能</t>
  </si>
  <si>
    <t>*ST东电</t>
  </si>
  <si>
    <t>宝塔实业</t>
  </si>
  <si>
    <t>海螺型材</t>
  </si>
  <si>
    <t>远大控股</t>
  </si>
  <si>
    <t>高新发展</t>
  </si>
  <si>
    <t>三木集团</t>
  </si>
  <si>
    <t>万方发展</t>
  </si>
  <si>
    <t>泰达股份</t>
  </si>
  <si>
    <t>经纬纺机</t>
  </si>
  <si>
    <t>襄阳轴承</t>
  </si>
  <si>
    <t>山推股份</t>
  </si>
  <si>
    <t>东方电子</t>
  </si>
  <si>
    <t>华讯方舟</t>
  </si>
  <si>
    <t>厦门信达</t>
  </si>
  <si>
    <t>京蓝科技</t>
  </si>
  <si>
    <t>航发控制</t>
  </si>
  <si>
    <t>中航飞机</t>
  </si>
  <si>
    <t>中核科技</t>
  </si>
  <si>
    <t>银河生物</t>
  </si>
  <si>
    <t>冰轮环境</t>
  </si>
  <si>
    <t>陕西金叶</t>
  </si>
  <si>
    <t>*ST慧业</t>
  </si>
  <si>
    <t>神雾节能</t>
  </si>
  <si>
    <t>京山轻机</t>
  </si>
  <si>
    <t>启迪桑德</t>
  </si>
  <si>
    <t>东莞控股</t>
  </si>
  <si>
    <t>粤桂股份</t>
  </si>
  <si>
    <t>秦川机床</t>
  </si>
  <si>
    <t>冀东装备</t>
  </si>
  <si>
    <t>海印股份</t>
  </si>
  <si>
    <t>潍柴重机</t>
  </si>
  <si>
    <t>中广核技</t>
  </si>
  <si>
    <t>城发环境</t>
  </si>
  <si>
    <t>海南高速</t>
  </si>
  <si>
    <t>现代投资</t>
  </si>
  <si>
    <t>云内动力</t>
  </si>
  <si>
    <t>厦门港务</t>
  </si>
  <si>
    <t>浙商中拓</t>
  </si>
  <si>
    <t>众合科技</t>
  </si>
  <si>
    <t>中钢国际</t>
  </si>
  <si>
    <t>中国重汽</t>
  </si>
  <si>
    <t>盈峰环境</t>
  </si>
  <si>
    <t>华铁股份</t>
  </si>
  <si>
    <t>招商公路</t>
  </si>
  <si>
    <t>精功科技</t>
  </si>
  <si>
    <t>天奇股份</t>
  </si>
  <si>
    <t>传化智联</t>
  </si>
  <si>
    <t>盾安环境</t>
  </si>
  <si>
    <t>中航机电</t>
  </si>
  <si>
    <t>中捷资源</t>
  </si>
  <si>
    <t>海特高新</t>
  </si>
  <si>
    <t>山东威达</t>
  </si>
  <si>
    <t>思源电气</t>
  </si>
  <si>
    <t>巨轮智能</t>
  </si>
  <si>
    <t>旺能环境</t>
  </si>
  <si>
    <t>南京港</t>
  </si>
  <si>
    <t>轴研科技</t>
  </si>
  <si>
    <t>宝鹰股份</t>
  </si>
  <si>
    <t>三花智控</t>
  </si>
  <si>
    <t>中工国际</t>
  </si>
  <si>
    <t>威尔泰</t>
  </si>
  <si>
    <t>粤水电</t>
  </si>
  <si>
    <t>浙江交科</t>
  </si>
  <si>
    <t>宏润建设</t>
  </si>
  <si>
    <t>软控股份</t>
  </si>
  <si>
    <t>国轩高科</t>
  </si>
  <si>
    <t>金螳螂</t>
  </si>
  <si>
    <t>海鸥住工</t>
  </si>
  <si>
    <t>金智科技</t>
  </si>
  <si>
    <t>江苏国泰</t>
  </si>
  <si>
    <t>山河智能</t>
  </si>
  <si>
    <t>威海广泰</t>
  </si>
  <si>
    <t>三变科技</t>
  </si>
  <si>
    <t>中国海诚</t>
  </si>
  <si>
    <t>东港股份</t>
  </si>
  <si>
    <t>韵达股份</t>
  </si>
  <si>
    <t>科陆电子</t>
  </si>
  <si>
    <t>*ST天马</t>
  </si>
  <si>
    <t>沃尔核材</t>
  </si>
  <si>
    <t>东南网架</t>
  </si>
  <si>
    <t>东华科技</t>
  </si>
  <si>
    <t>贤丰控股</t>
  </si>
  <si>
    <t>通润装备</t>
  </si>
  <si>
    <t>北斗星通</t>
  </si>
  <si>
    <t>汉钟精机</t>
  </si>
  <si>
    <t>中航三鑫</t>
  </si>
  <si>
    <t>宁波东力</t>
  </si>
  <si>
    <t>深圳惠程</t>
  </si>
  <si>
    <t>智光电气</t>
  </si>
  <si>
    <t>江特电机</t>
  </si>
  <si>
    <t>怡亚通</t>
  </si>
  <si>
    <t>海得控制</t>
  </si>
  <si>
    <t>成飞集成</t>
  </si>
  <si>
    <t>劲嘉股份</t>
  </si>
  <si>
    <t>方正电机</t>
  </si>
  <si>
    <t>云投生态</t>
  </si>
  <si>
    <t>金风科技</t>
  </si>
  <si>
    <t>大连重工</t>
  </si>
  <si>
    <t>达意隆</t>
  </si>
  <si>
    <t>飞马国际</t>
  </si>
  <si>
    <t>南洋股份</t>
  </si>
  <si>
    <t>奥特迅</t>
  </si>
  <si>
    <t>鸿博股份</t>
  </si>
  <si>
    <t>澳洋顺昌</t>
  </si>
  <si>
    <t>华东数控</t>
  </si>
  <si>
    <t>大洋电机</t>
  </si>
  <si>
    <t>海陆重工</t>
  </si>
  <si>
    <t>*ST德奥</t>
  </si>
  <si>
    <t>浙富控股</t>
  </si>
  <si>
    <t>华明装备</t>
  </si>
  <si>
    <t>川润股份</t>
  </si>
  <si>
    <t>万马股份</t>
  </si>
  <si>
    <t>博深工具</t>
  </si>
  <si>
    <t>博云新材</t>
  </si>
  <si>
    <t>太阳电缆</t>
  </si>
  <si>
    <t>齐心集团</t>
  </si>
  <si>
    <t>北新路桥</t>
  </si>
  <si>
    <t>中利集团</t>
  </si>
  <si>
    <t>东方园林</t>
  </si>
  <si>
    <t>海峡股份</t>
  </si>
  <si>
    <t>理工环科</t>
  </si>
  <si>
    <t>*ST百特</t>
  </si>
  <si>
    <t>洪涛股份</t>
  </si>
  <si>
    <t>罗普斯金</t>
  </si>
  <si>
    <t>英威腾</t>
  </si>
  <si>
    <t>科华恒盛</t>
  </si>
  <si>
    <t>赛象科技</t>
  </si>
  <si>
    <t>奥普光电</t>
  </si>
  <si>
    <t>积成电子</t>
  </si>
  <si>
    <t>巨力索具</t>
  </si>
  <si>
    <t>柘中股份</t>
  </si>
  <si>
    <t>泰尔股份</t>
  </si>
  <si>
    <t>北京科锐</t>
  </si>
  <si>
    <t>顺丰控股</t>
  </si>
  <si>
    <t>富临运业</t>
  </si>
  <si>
    <t>森源电气</t>
  </si>
  <si>
    <t>北讯集团</t>
  </si>
  <si>
    <t>中恒电气</t>
  </si>
  <si>
    <t>台海核电</t>
  </si>
  <si>
    <t>康力电梯</t>
  </si>
  <si>
    <t>伟星新材</t>
  </si>
  <si>
    <t>丽鹏股份</t>
  </si>
  <si>
    <t>亚厦股份</t>
  </si>
  <si>
    <t>科远股份</t>
  </si>
  <si>
    <t>合众思壮</t>
  </si>
  <si>
    <t>雷科防务</t>
  </si>
  <si>
    <t>康盛股份</t>
  </si>
  <si>
    <t>中原特钢</t>
  </si>
  <si>
    <t>杭氧股份</t>
  </si>
  <si>
    <t>棕榈股份</t>
  </si>
  <si>
    <t>江苏神通</t>
  </si>
  <si>
    <t>众业达</t>
  </si>
  <si>
    <t>巨星科技</t>
  </si>
  <si>
    <t>摩恩电气</t>
  </si>
  <si>
    <t>长高集团</t>
  </si>
  <si>
    <t>天业通联</t>
  </si>
  <si>
    <t>申通快递</t>
  </si>
  <si>
    <t>三维工程</t>
  </si>
  <si>
    <t>中超控股</t>
  </si>
  <si>
    <t>双环传动</t>
  </si>
  <si>
    <t>新筑股份</t>
  </si>
  <si>
    <t>广田集团</t>
  </si>
  <si>
    <t>润邦股份</t>
  </si>
  <si>
    <t>大金重工</t>
  </si>
  <si>
    <t>恒基达鑫</t>
  </si>
  <si>
    <t>汉缆股份</t>
  </si>
  <si>
    <t>弘高创意</t>
  </si>
  <si>
    <t>天广中茂</t>
  </si>
  <si>
    <t>宝馨科技</t>
  </si>
  <si>
    <t>科士达</t>
  </si>
  <si>
    <t>日发精机</t>
  </si>
  <si>
    <t>天桥起重</t>
  </si>
  <si>
    <t>山东矿机</t>
  </si>
  <si>
    <t>新时达</t>
  </si>
  <si>
    <t>天顺风能</t>
  </si>
  <si>
    <t>新界泵业</t>
  </si>
  <si>
    <t>金杯电工</t>
  </si>
  <si>
    <t>杭锅股份</t>
  </si>
  <si>
    <t>林州重机</t>
  </si>
  <si>
    <t>鸿路钢构</t>
  </si>
  <si>
    <t>中化岩土</t>
  </si>
  <si>
    <t>东方铁塔</t>
  </si>
  <si>
    <t>新联电子</t>
  </si>
  <si>
    <t>春兴精工</t>
  </si>
  <si>
    <t>*ST宝鼎</t>
  </si>
  <si>
    <t>南方轴承</t>
  </si>
  <si>
    <t>亚威股份</t>
  </si>
  <si>
    <t>通达股份</t>
  </si>
  <si>
    <t>天沃科技</t>
  </si>
  <si>
    <t>清新环境</t>
  </si>
  <si>
    <t>通达动力</t>
  </si>
  <si>
    <t>圣阳股份</t>
  </si>
  <si>
    <t>围海股份</t>
  </si>
  <si>
    <t>豪迈科技</t>
  </si>
  <si>
    <t>山东章鼓</t>
  </si>
  <si>
    <t>盛通股份</t>
  </si>
  <si>
    <t>大连电瓷</t>
  </si>
  <si>
    <t>东方精工</t>
  </si>
  <si>
    <t>北玻股份</t>
  </si>
  <si>
    <t>露笑科技</t>
  </si>
  <si>
    <t>瑞和股份</t>
  </si>
  <si>
    <t>三垒股份</t>
  </si>
  <si>
    <t>融钰集团</t>
  </si>
  <si>
    <t>光启技术</t>
  </si>
  <si>
    <t>宜昌交运</t>
  </si>
  <si>
    <t>成都路桥</t>
  </si>
  <si>
    <t>华西能源</t>
  </si>
  <si>
    <t>申科股份</t>
  </si>
  <si>
    <t>勤上股份</t>
  </si>
  <si>
    <t>雪人股份</t>
  </si>
  <si>
    <t>永高股份</t>
  </si>
  <si>
    <t>华宏科技</t>
  </si>
  <si>
    <t>利君股份</t>
  </si>
  <si>
    <t>扬子新材</t>
  </si>
  <si>
    <t>茂硕电源</t>
  </si>
  <si>
    <t>普邦股份</t>
  </si>
  <si>
    <t>首航节能</t>
  </si>
  <si>
    <t>鞍重股份</t>
  </si>
  <si>
    <t>东江环保</t>
  </si>
  <si>
    <t>龙洲股份</t>
  </si>
  <si>
    <t>猛狮科技</t>
  </si>
  <si>
    <t>华东重机</t>
  </si>
  <si>
    <t>亿利达</t>
  </si>
  <si>
    <t>远大智能</t>
  </si>
  <si>
    <t>美亚光电</t>
  </si>
  <si>
    <t>冀凯股份</t>
  </si>
  <si>
    <t>顾地科技</t>
  </si>
  <si>
    <t>博实股份</t>
  </si>
  <si>
    <t>良信电器</t>
  </si>
  <si>
    <t>欧浦智网</t>
  </si>
  <si>
    <t>东易日盛</t>
  </si>
  <si>
    <t>岭南股份</t>
  </si>
  <si>
    <t>友邦吊顶</t>
  </si>
  <si>
    <t>金轮股份</t>
  </si>
  <si>
    <t>海洋王</t>
  </si>
  <si>
    <t>好利来</t>
  </si>
  <si>
    <t>电光科技</t>
  </si>
  <si>
    <t>雄韬股份</t>
  </si>
  <si>
    <t>中矿资源</t>
  </si>
  <si>
    <t>富煌钢构</t>
  </si>
  <si>
    <t>埃斯顿</t>
  </si>
  <si>
    <t>易尚展示</t>
  </si>
  <si>
    <t>东方新星</t>
  </si>
  <si>
    <t>南兴装备</t>
  </si>
  <si>
    <t>凤形股份</t>
  </si>
  <si>
    <t>先锋电子</t>
  </si>
  <si>
    <t>普路通</t>
  </si>
  <si>
    <t>快意电梯</t>
  </si>
  <si>
    <t>文科园林</t>
  </si>
  <si>
    <t>中坚科技</t>
  </si>
  <si>
    <t>奇信股份</t>
  </si>
  <si>
    <t>银宝山新</t>
  </si>
  <si>
    <t>建艺集团</t>
  </si>
  <si>
    <t>瑞尔特</t>
  </si>
  <si>
    <t>坚朗五金</t>
  </si>
  <si>
    <t>东音股份</t>
  </si>
  <si>
    <t>永和智控</t>
  </si>
  <si>
    <t>世嘉科技</t>
  </si>
  <si>
    <t>帝欧家居</t>
  </si>
  <si>
    <t>天顺股份</t>
  </si>
  <si>
    <t>微光股份</t>
  </si>
  <si>
    <t>亚泰国际</t>
  </si>
  <si>
    <t>和科达</t>
  </si>
  <si>
    <t>中装建设</t>
  </si>
  <si>
    <t>凯中精密</t>
  </si>
  <si>
    <t>星网宇达</t>
  </si>
  <si>
    <t>名雕股份</t>
  </si>
  <si>
    <t>弘亚数控</t>
  </si>
  <si>
    <t>新宏泽</t>
  </si>
  <si>
    <t>英维克</t>
  </si>
  <si>
    <t>泰嘉股份</t>
  </si>
  <si>
    <t>威星智能</t>
  </si>
  <si>
    <t>科达利</t>
  </si>
  <si>
    <t>麦格米特</t>
  </si>
  <si>
    <t>美芝股份</t>
  </si>
  <si>
    <t>三晖电气</t>
  </si>
  <si>
    <t>星帅尔</t>
  </si>
  <si>
    <t>伟隆股份</t>
  </si>
  <si>
    <t>智能自控</t>
  </si>
  <si>
    <t>长缆科技</t>
  </si>
  <si>
    <t>金龙羽</t>
  </si>
  <si>
    <t>中设股份</t>
  </si>
  <si>
    <t>凌霄泵业</t>
  </si>
  <si>
    <t>绿茵生态</t>
  </si>
  <si>
    <t>东方嘉盛</t>
  </si>
  <si>
    <t>弘宇股份</t>
  </si>
  <si>
    <t>科力尔</t>
  </si>
  <si>
    <t>中大力德</t>
  </si>
  <si>
    <t>宇环数控</t>
  </si>
  <si>
    <t>联诚精密</t>
  </si>
  <si>
    <t>伊戈尔</t>
  </si>
  <si>
    <t>泰永长征</t>
  </si>
  <si>
    <t>华夏航空</t>
  </si>
  <si>
    <t>宏川智慧</t>
  </si>
  <si>
    <t>锋龙股份</t>
  </si>
  <si>
    <t>新兴装备</t>
  </si>
  <si>
    <t>天奥电子</t>
  </si>
  <si>
    <t>特锐德</t>
  </si>
  <si>
    <t>南风股份</t>
  </si>
  <si>
    <t>天海防务</t>
  </si>
  <si>
    <t>鼎汉技术</t>
  </si>
  <si>
    <t>华测检测</t>
  </si>
  <si>
    <t>新宁物流</t>
  </si>
  <si>
    <t>亿纬锂能</t>
  </si>
  <si>
    <t>中元股份</t>
  </si>
  <si>
    <t>大禹节水</t>
  </si>
  <si>
    <t>宝德股份</t>
  </si>
  <si>
    <t>机器人</t>
  </si>
  <si>
    <t>中科电气</t>
  </si>
  <si>
    <t>九洲电气</t>
  </si>
  <si>
    <t>合康新能</t>
  </si>
  <si>
    <t>万邦达</t>
  </si>
  <si>
    <t>三维丝</t>
  </si>
  <si>
    <t>中能电气</t>
  </si>
  <si>
    <t>三川智慧</t>
  </si>
  <si>
    <t>南都电源</t>
  </si>
  <si>
    <t>金利华电</t>
  </si>
  <si>
    <t>碧水源</t>
  </si>
  <si>
    <t>三聚环保</t>
  </si>
  <si>
    <t>盛运环保</t>
  </si>
  <si>
    <t>金通灵</t>
  </si>
  <si>
    <t>科新机电</t>
  </si>
  <si>
    <t>华伍股份</t>
  </si>
  <si>
    <t>智云股份</t>
  </si>
  <si>
    <t>振芯科技</t>
  </si>
  <si>
    <t>达刚路机</t>
  </si>
  <si>
    <t>龙源技术</t>
  </si>
  <si>
    <t>万讯自控</t>
  </si>
  <si>
    <t>坚瑞沃能</t>
  </si>
  <si>
    <t>嘉寓股份</t>
  </si>
  <si>
    <t>亚光科技</t>
  </si>
  <si>
    <t>汇川技术</t>
  </si>
  <si>
    <t>易世达</t>
  </si>
  <si>
    <t>锐奇股份</t>
  </si>
  <si>
    <t>泰胜风能</t>
  </si>
  <si>
    <t>中环装备</t>
  </si>
  <si>
    <t>和顺电气</t>
  </si>
  <si>
    <t>中金环境</t>
  </si>
  <si>
    <t>昌红科技</t>
  </si>
  <si>
    <t>科融环境</t>
  </si>
  <si>
    <t>科泰电源</t>
  </si>
  <si>
    <t>瑞凌股份</t>
  </si>
  <si>
    <t>神雾环保</t>
  </si>
  <si>
    <t>新研股份</t>
  </si>
  <si>
    <t>华中数控</t>
  </si>
  <si>
    <t>东富龙</t>
  </si>
  <si>
    <t>中电环保</t>
  </si>
  <si>
    <t>智慧松德</t>
  </si>
  <si>
    <t>中海达</t>
  </si>
  <si>
    <t>通裕重工</t>
  </si>
  <si>
    <t>永清环保</t>
  </si>
  <si>
    <t>维尔利</t>
  </si>
  <si>
    <t>佳士科技</t>
  </si>
  <si>
    <t>长荣股份</t>
  </si>
  <si>
    <t>铁汉生态</t>
  </si>
  <si>
    <t>海伦哲</t>
  </si>
  <si>
    <t>欣旺达</t>
  </si>
  <si>
    <t>恒顺众昇</t>
  </si>
  <si>
    <t>森远股份</t>
  </si>
  <si>
    <t>电科院</t>
  </si>
  <si>
    <t>千山药机</t>
  </si>
  <si>
    <t>科大智能</t>
  </si>
  <si>
    <t>富瑞特装</t>
  </si>
  <si>
    <t>永利股份</t>
  </si>
  <si>
    <t>开尔新材</t>
  </si>
  <si>
    <t>美晨生态</t>
  </si>
  <si>
    <t>飞力达</t>
  </si>
  <si>
    <t>依米康</t>
  </si>
  <si>
    <t>开山股份</t>
  </si>
  <si>
    <t>新天科技</t>
  </si>
  <si>
    <t>新莱应材</t>
  </si>
  <si>
    <t>巴安水务</t>
  </si>
  <si>
    <t>隆华科技</t>
  </si>
  <si>
    <t>通光线缆</t>
  </si>
  <si>
    <t>兴源环境</t>
  </si>
  <si>
    <t>开能健康</t>
  </si>
  <si>
    <t>阳光电源</t>
  </si>
  <si>
    <t>三丰智能</t>
  </si>
  <si>
    <t>华昌达</t>
  </si>
  <si>
    <t>金明精机</t>
  </si>
  <si>
    <t>温州宏丰</t>
  </si>
  <si>
    <t>苏交科</t>
  </si>
  <si>
    <t>安科瑞</t>
  </si>
  <si>
    <t>蓝英装备</t>
  </si>
  <si>
    <t>远方信息</t>
  </si>
  <si>
    <t>慈星股份</t>
  </si>
  <si>
    <t>中际旭创</t>
  </si>
  <si>
    <t>津膜科技</t>
  </si>
  <si>
    <t>迪森股份</t>
  </si>
  <si>
    <t>天银机电</t>
  </si>
  <si>
    <t>太空智造</t>
  </si>
  <si>
    <t>红宇新材</t>
  </si>
  <si>
    <t>金卡智能</t>
  </si>
  <si>
    <t>华鹏飞</t>
  </si>
  <si>
    <t>蒙草生态</t>
  </si>
  <si>
    <t>光一科技</t>
  </si>
  <si>
    <t>楚天科技</t>
  </si>
  <si>
    <t>炬华科技</t>
  </si>
  <si>
    <t>天翔环境</t>
  </si>
  <si>
    <t>安控科技</t>
  </si>
  <si>
    <t>汇中股份</t>
  </si>
  <si>
    <t>恒通科技</t>
  </si>
  <si>
    <t>易事特</t>
  </si>
  <si>
    <t>斯莱克</t>
  </si>
  <si>
    <t>三联虹普</t>
  </si>
  <si>
    <t>雪浪环境</t>
  </si>
  <si>
    <t>国祯环保</t>
  </si>
  <si>
    <t>康跃科技</t>
  </si>
  <si>
    <t>天和防务</t>
  </si>
  <si>
    <t>劲拓股份</t>
  </si>
  <si>
    <t>宝色股份</t>
  </si>
  <si>
    <t>凯发电气</t>
  </si>
  <si>
    <t>金盾股份</t>
  </si>
  <si>
    <t>迦南科技</t>
  </si>
  <si>
    <t>中光防雷</t>
  </si>
  <si>
    <t>伊之密</t>
  </si>
  <si>
    <t>苏试试验</t>
  </si>
  <si>
    <t>五洋停车</t>
  </si>
  <si>
    <t>力星股份</t>
  </si>
  <si>
    <t>博世科</t>
  </si>
  <si>
    <t>鲁亿通</t>
  </si>
  <si>
    <t>航新科技</t>
  </si>
  <si>
    <t>环能科技</t>
  </si>
  <si>
    <t>红相股份</t>
  </si>
  <si>
    <t>诚益通</t>
  </si>
  <si>
    <t>金石东方</t>
  </si>
  <si>
    <t>中泰股份</t>
  </si>
  <si>
    <t>鹏辉能源</t>
  </si>
  <si>
    <t>鲍斯股份</t>
  </si>
  <si>
    <t>普丽盛</t>
  </si>
  <si>
    <t>金雷风电</t>
  </si>
  <si>
    <t>双杰电气</t>
  </si>
  <si>
    <t>康斯特</t>
  </si>
  <si>
    <t>全信股份</t>
  </si>
  <si>
    <t>先导智能</t>
  </si>
  <si>
    <t>赢合科技</t>
  </si>
  <si>
    <t>田中精机</t>
  </si>
  <si>
    <t>星徽精密</t>
  </si>
  <si>
    <t>赛摩电气</t>
  </si>
  <si>
    <t>日机密封</t>
  </si>
  <si>
    <t>厚普股份</t>
  </si>
  <si>
    <t>新元科技</t>
  </si>
  <si>
    <t>景嘉微</t>
  </si>
  <si>
    <t>聚隆科技</t>
  </si>
  <si>
    <t>合纵科技</t>
  </si>
  <si>
    <t>光力科技</t>
  </si>
  <si>
    <t>蓝海华腾</t>
  </si>
  <si>
    <t>东杰智能</t>
  </si>
  <si>
    <t>恒锋工具</t>
  </si>
  <si>
    <t>华自科技</t>
  </si>
  <si>
    <t>通合科技</t>
  </si>
  <si>
    <t>山鼎设计</t>
  </si>
  <si>
    <t>美尚生态</t>
  </si>
  <si>
    <t>高澜股份</t>
  </si>
  <si>
    <t>启迪设计</t>
  </si>
  <si>
    <t>昊志机电</t>
  </si>
  <si>
    <t>名家汇</t>
  </si>
  <si>
    <t>维宏股份</t>
  </si>
  <si>
    <t>新美星</t>
  </si>
  <si>
    <t>金冠股份</t>
  </si>
  <si>
    <t>中亚股份</t>
  </si>
  <si>
    <t>三德科技</t>
  </si>
  <si>
    <t>海波重科</t>
  </si>
  <si>
    <t>爱司凯</t>
  </si>
  <si>
    <t>中国应急</t>
  </si>
  <si>
    <t>今天国际</t>
  </si>
  <si>
    <t>农尚环境</t>
  </si>
  <si>
    <t>同益股份</t>
  </si>
  <si>
    <t>深冷股份</t>
  </si>
  <si>
    <t>联得装备</t>
  </si>
  <si>
    <t>优德精密</t>
  </si>
  <si>
    <t>天能重工</t>
  </si>
  <si>
    <t>晨曦航空</t>
  </si>
  <si>
    <t>英飞特</t>
  </si>
  <si>
    <t>江龙船艇</t>
  </si>
  <si>
    <t>华凯创意</t>
  </si>
  <si>
    <t>新雷能</t>
  </si>
  <si>
    <t>雄塑科技</t>
  </si>
  <si>
    <t>瑞特股份</t>
  </si>
  <si>
    <t>长川科技</t>
  </si>
  <si>
    <t>金太阳</t>
  </si>
  <si>
    <t>拓斯达</t>
  </si>
  <si>
    <t>安靠智电</t>
  </si>
  <si>
    <t>金银河</t>
  </si>
  <si>
    <t>维业股份</t>
  </si>
  <si>
    <t>华瑞股份</t>
  </si>
  <si>
    <t>华测导航</t>
  </si>
  <si>
    <t>新劲刚</t>
  </si>
  <si>
    <t>久吾高科</t>
  </si>
  <si>
    <t>达安股份</t>
  </si>
  <si>
    <t>星云股份</t>
  </si>
  <si>
    <t>杭州园林</t>
  </si>
  <si>
    <t>江苏雷利</t>
  </si>
  <si>
    <t>科锐国际</t>
  </si>
  <si>
    <t>鹏鹞环保</t>
  </si>
  <si>
    <t>杰恩设计</t>
  </si>
  <si>
    <t>沪宁股份</t>
  </si>
  <si>
    <t>大烨智能</t>
  </si>
  <si>
    <t>建科院</t>
  </si>
  <si>
    <t>英搏尔</t>
  </si>
  <si>
    <t>创业黑马</t>
  </si>
  <si>
    <t>双一科技</t>
  </si>
  <si>
    <t>中环环保</t>
  </si>
  <si>
    <t>盛弘股份</t>
  </si>
  <si>
    <t>爱乐达</t>
  </si>
  <si>
    <t>永福股份</t>
  </si>
  <si>
    <t>英可瑞</t>
  </si>
  <si>
    <t>长盛轴承</t>
  </si>
  <si>
    <t>安达维尔</t>
  </si>
  <si>
    <t>海川智能</t>
  </si>
  <si>
    <t>新余国科</t>
  </si>
  <si>
    <t>设研院</t>
  </si>
  <si>
    <t>汉嘉设计</t>
  </si>
  <si>
    <t>宁德时代</t>
  </si>
  <si>
    <t>白云机场</t>
  </si>
  <si>
    <t>上海机场</t>
  </si>
  <si>
    <t>皖通高速</t>
  </si>
  <si>
    <t>日照港</t>
  </si>
  <si>
    <t>上港集团</t>
  </si>
  <si>
    <t>中原高速</t>
  </si>
  <si>
    <t>中远海能</t>
  </si>
  <si>
    <t>南方航空</t>
  </si>
  <si>
    <t>三一重工</t>
  </si>
  <si>
    <t>福建高速</t>
  </si>
  <si>
    <t>楚天高速</t>
  </si>
  <si>
    <t>中直股份</t>
  </si>
  <si>
    <t>四川路桥</t>
  </si>
  <si>
    <t>宁波联合</t>
  </si>
  <si>
    <t>厦门象屿</t>
  </si>
  <si>
    <t>五矿发展</t>
  </si>
  <si>
    <t>葛洲坝</t>
  </si>
  <si>
    <t>中船科技</t>
  </si>
  <si>
    <t>博信股份</t>
  </si>
  <si>
    <t>特变电工</t>
  </si>
  <si>
    <t>易见股份</t>
  </si>
  <si>
    <t>重庆路桥</t>
  </si>
  <si>
    <t>天成控股</t>
  </si>
  <si>
    <t>浙江东日</t>
  </si>
  <si>
    <t>东睦股份</t>
  </si>
  <si>
    <t>东方航空</t>
  </si>
  <si>
    <t>中国卫星</t>
  </si>
  <si>
    <t>长江投资</t>
  </si>
  <si>
    <t>浙江东方</t>
  </si>
  <si>
    <t>铁龙物流</t>
  </si>
  <si>
    <t>东湖高新</t>
  </si>
  <si>
    <t>*ST新亿</t>
  </si>
  <si>
    <t>ST坊展</t>
  </si>
  <si>
    <t>*ST船舶</t>
  </si>
  <si>
    <t>维科技术</t>
  </si>
  <si>
    <t>建发股份</t>
  </si>
  <si>
    <t>太原重工</t>
  </si>
  <si>
    <t>上海建工</t>
  </si>
  <si>
    <t>美都能源</t>
  </si>
  <si>
    <t>安通控股</t>
  </si>
  <si>
    <t>瑞茂通</t>
  </si>
  <si>
    <t>光电股份</t>
  </si>
  <si>
    <t>锦州港</t>
  </si>
  <si>
    <t>长城电工</t>
  </si>
  <si>
    <t>*ST创兴</t>
  </si>
  <si>
    <t>江苏吴中</t>
  </si>
  <si>
    <t>*ST哈空</t>
  </si>
  <si>
    <t>*ST罗顿</t>
  </si>
  <si>
    <t>江泉实业</t>
  </si>
  <si>
    <t>中再资环</t>
  </si>
  <si>
    <t>全柴动力</t>
  </si>
  <si>
    <t>海航控股</t>
  </si>
  <si>
    <t>圆通速递</t>
  </si>
  <si>
    <t>青海华鼎</t>
  </si>
  <si>
    <t>*ST成城</t>
  </si>
  <si>
    <t>延长化建</t>
  </si>
  <si>
    <t>北方股份</t>
  </si>
  <si>
    <t>国电南自</t>
  </si>
  <si>
    <t>赣粤高速</t>
  </si>
  <si>
    <t>重庆港九</t>
  </si>
  <si>
    <t>浦东建设</t>
  </si>
  <si>
    <t>华仪电气</t>
  </si>
  <si>
    <t>远达环保</t>
  </si>
  <si>
    <t>鄂尔多斯</t>
  </si>
  <si>
    <t>标准股份</t>
  </si>
  <si>
    <t>平高电气</t>
  </si>
  <si>
    <t>农发种业</t>
  </si>
  <si>
    <t>洪都航空</t>
  </si>
  <si>
    <t>营口港</t>
  </si>
  <si>
    <t>振华重工</t>
  </si>
  <si>
    <t>*ST正源</t>
  </si>
  <si>
    <t>瀚蓝环境</t>
  </si>
  <si>
    <t>西藏天路</t>
  </si>
  <si>
    <t>航天动力</t>
  </si>
  <si>
    <t>山东高速</t>
  </si>
  <si>
    <t>五洲交通</t>
  </si>
  <si>
    <t>中航电子</t>
  </si>
  <si>
    <t>华菱星马</t>
  </si>
  <si>
    <t>宁沪高速</t>
  </si>
  <si>
    <t>宝光股份</t>
  </si>
  <si>
    <t>广东明珠</t>
  </si>
  <si>
    <t>龙净环保</t>
  </si>
  <si>
    <t>航发科技</t>
  </si>
  <si>
    <t>动力源</t>
  </si>
  <si>
    <t>国电南瑞</t>
  </si>
  <si>
    <t>湘电股份</t>
  </si>
  <si>
    <t>ST仰帆</t>
  </si>
  <si>
    <t>中远海特</t>
  </si>
  <si>
    <t>北方导航</t>
  </si>
  <si>
    <t>国机通用</t>
  </si>
  <si>
    <t>博通股份</t>
  </si>
  <si>
    <t>空港股份</t>
  </si>
  <si>
    <t>百利电气</t>
  </si>
  <si>
    <t>华光股份</t>
  </si>
  <si>
    <t>杭萧钢构</t>
  </si>
  <si>
    <t>科力远</t>
  </si>
  <si>
    <t>双良节能</t>
  </si>
  <si>
    <t>中国动力</t>
  </si>
  <si>
    <t>龙元建设</t>
  </si>
  <si>
    <t>晋西车轴</t>
  </si>
  <si>
    <t>精工钢构</t>
  </si>
  <si>
    <t>科达洁能</t>
  </si>
  <si>
    <t>航天晨光</t>
  </si>
  <si>
    <t>安徽水利</t>
  </si>
  <si>
    <t>腾达建设</t>
  </si>
  <si>
    <t>置信电气</t>
  </si>
  <si>
    <t>文一科技</t>
  </si>
  <si>
    <t>长园集团</t>
  </si>
  <si>
    <t>菲达环保</t>
  </si>
  <si>
    <t>中铁工业</t>
  </si>
  <si>
    <t>卓郎智能</t>
  </si>
  <si>
    <t>深高速</t>
  </si>
  <si>
    <t>保变电气</t>
  </si>
  <si>
    <t>金自天正</t>
  </si>
  <si>
    <t>江西长运</t>
  </si>
  <si>
    <t>国睿科技</t>
  </si>
  <si>
    <t>皖江物流</t>
  </si>
  <si>
    <t>精达股份</t>
  </si>
  <si>
    <t>天华院</t>
  </si>
  <si>
    <t>卧龙电气</t>
  </si>
  <si>
    <t>天地科技</t>
  </si>
  <si>
    <t>泰豪科技</t>
  </si>
  <si>
    <t>龙溪股份</t>
  </si>
  <si>
    <t>方正科技</t>
  </si>
  <si>
    <t>汇通能源</t>
  </si>
  <si>
    <t>ST沪科</t>
  </si>
  <si>
    <t>*ST毅达</t>
  </si>
  <si>
    <t>大众交通</t>
  </si>
  <si>
    <t>海立股份</t>
  </si>
  <si>
    <t>天宸股份</t>
  </si>
  <si>
    <t>华建集团</t>
  </si>
  <si>
    <t>外高桥</t>
  </si>
  <si>
    <t>锦江投资</t>
  </si>
  <si>
    <t>强生控股</t>
  </si>
  <si>
    <t>奥瑞德</t>
  </si>
  <si>
    <t>尖峰集团</t>
  </si>
  <si>
    <t>航天通信</t>
  </si>
  <si>
    <t>中船防务</t>
  </si>
  <si>
    <t>ST岩石</t>
  </si>
  <si>
    <t>物产中大</t>
  </si>
  <si>
    <t>苏美达</t>
  </si>
  <si>
    <t>盛屯矿业</t>
  </si>
  <si>
    <t>天津港</t>
  </si>
  <si>
    <t>中国高科</t>
  </si>
  <si>
    <t>东方银星</t>
  </si>
  <si>
    <t>厦门国贸</t>
  </si>
  <si>
    <t>中航沈飞</t>
  </si>
  <si>
    <t>安徽合力</t>
  </si>
  <si>
    <t>中国海防</t>
  </si>
  <si>
    <t>中航重机</t>
  </si>
  <si>
    <t>祥龙电业</t>
  </si>
  <si>
    <t>综艺股份</t>
  </si>
  <si>
    <t>鲁信创投</t>
  </si>
  <si>
    <t>鲁银投资</t>
  </si>
  <si>
    <t>中储股份</t>
  </si>
  <si>
    <t>保税科技</t>
  </si>
  <si>
    <t>宁波海运</t>
  </si>
  <si>
    <t>天津磁卡</t>
  </si>
  <si>
    <t>悦达投资</t>
  </si>
  <si>
    <t>厦工股份</t>
  </si>
  <si>
    <t>隧道股份</t>
  </si>
  <si>
    <t>上海物贸</t>
  </si>
  <si>
    <t>兰生股份</t>
  </si>
  <si>
    <t>申通地铁</t>
  </si>
  <si>
    <t>上海机电</t>
  </si>
  <si>
    <t>界龙实业</t>
  </si>
  <si>
    <t>上柴股份</t>
  </si>
  <si>
    <t>上工申贝</t>
  </si>
  <si>
    <t>同济科技</t>
  </si>
  <si>
    <t>万里股份</t>
  </si>
  <si>
    <t>龙建股份</t>
  </si>
  <si>
    <t>京城股份</t>
  </si>
  <si>
    <t>中航高科</t>
  </si>
  <si>
    <t>智慧能源</t>
  </si>
  <si>
    <t>*ST厦华</t>
  </si>
  <si>
    <t>东方电气</t>
  </si>
  <si>
    <t>航天电子</t>
  </si>
  <si>
    <t>宏发股份</t>
  </si>
  <si>
    <t>航发动力</t>
  </si>
  <si>
    <t>广日股份</t>
  </si>
  <si>
    <t>厦门空港</t>
  </si>
  <si>
    <t>重庆建工</t>
  </si>
  <si>
    <t>内蒙一机</t>
  </si>
  <si>
    <t>中材国际</t>
  </si>
  <si>
    <t>宝胜股份</t>
  </si>
  <si>
    <t>建设机械</t>
  </si>
  <si>
    <t>四创电子</t>
  </si>
  <si>
    <t>唐山港</t>
  </si>
  <si>
    <t>晋亿实业</t>
  </si>
  <si>
    <t>大秦铁路</t>
  </si>
  <si>
    <t>连云港</t>
  </si>
  <si>
    <t>宁波港</t>
  </si>
  <si>
    <t>春秋航空</t>
  </si>
  <si>
    <t>一拖股份</t>
  </si>
  <si>
    <t>中铝国际</t>
  </si>
  <si>
    <t>恒立液压</t>
  </si>
  <si>
    <t>中国一重</t>
  </si>
  <si>
    <t>四川成渝</t>
  </si>
  <si>
    <t>中国国航</t>
  </si>
  <si>
    <t>中国化学</t>
  </si>
  <si>
    <t>四方股份</t>
  </si>
  <si>
    <t>杭齿前进</t>
  </si>
  <si>
    <t>中国西电</t>
  </si>
  <si>
    <t>中国铁建</t>
  </si>
  <si>
    <t>龙江交通</t>
  </si>
  <si>
    <t>上海环境</t>
  </si>
  <si>
    <t>吉鑫科技</t>
  </si>
  <si>
    <t>林洋能源</t>
  </si>
  <si>
    <t>华电重工</t>
  </si>
  <si>
    <t>广州港</t>
  </si>
  <si>
    <t>骆驼股份</t>
  </si>
  <si>
    <t>秦港股份</t>
  </si>
  <si>
    <t>绿色动力</t>
  </si>
  <si>
    <t>广深铁路</t>
  </si>
  <si>
    <t>陕鼓动力</t>
  </si>
  <si>
    <t>中国中铁</t>
  </si>
  <si>
    <t>东风股份</t>
  </si>
  <si>
    <t>吉林高速</t>
  </si>
  <si>
    <t>ST锐电</t>
  </si>
  <si>
    <t>三星医疗</t>
  </si>
  <si>
    <t>长城军工</t>
  </si>
  <si>
    <t>中信重工</t>
  </si>
  <si>
    <t>中国核建</t>
  </si>
  <si>
    <t>广电电气</t>
  </si>
  <si>
    <t>中国中冶</t>
  </si>
  <si>
    <t>中国建筑</t>
  </si>
  <si>
    <t>中国电建</t>
  </si>
  <si>
    <t>风范股份</t>
  </si>
  <si>
    <t>郑煤机</t>
  </si>
  <si>
    <t>上海电气</t>
  </si>
  <si>
    <t>中国中车</t>
  </si>
  <si>
    <t>宁波建工</t>
  </si>
  <si>
    <t>中国交建</t>
  </si>
  <si>
    <t>中远海发</t>
  </si>
  <si>
    <t>招商轮船</t>
  </si>
  <si>
    <t>正泰电器</t>
  </si>
  <si>
    <t>大连港</t>
  </si>
  <si>
    <t>海天精工</t>
  </si>
  <si>
    <t>江河集团</t>
  </si>
  <si>
    <t>亚星锚链</t>
  </si>
  <si>
    <t>中远海控</t>
  </si>
  <si>
    <t>中国重工</t>
  </si>
  <si>
    <t>花王股份</t>
  </si>
  <si>
    <t>合锻智能</t>
  </si>
  <si>
    <t>创力集团</t>
  </si>
  <si>
    <t>弘讯科技</t>
  </si>
  <si>
    <t>新宏泰</t>
  </si>
  <si>
    <t>中衡设计</t>
  </si>
  <si>
    <t>中设集团</t>
  </si>
  <si>
    <t>大豪科技</t>
  </si>
  <si>
    <t>天鹅股份</t>
  </si>
  <si>
    <t>全筑股份</t>
  </si>
  <si>
    <t>德新交运</t>
  </si>
  <si>
    <t>华立股份</t>
  </si>
  <si>
    <t>科林电气</t>
  </si>
  <si>
    <t>德邦股份</t>
  </si>
  <si>
    <t>永吉股份</t>
  </si>
  <si>
    <t>国检集团</t>
  </si>
  <si>
    <t>禾望电气</t>
  </si>
  <si>
    <t>音飞储存</t>
  </si>
  <si>
    <t>海汽集团</t>
  </si>
  <si>
    <t>乐惠国际</t>
  </si>
  <si>
    <t>大丰实业</t>
  </si>
  <si>
    <t>天成自控</t>
  </si>
  <si>
    <t>宁波精达</t>
  </si>
  <si>
    <t>宏盛股份</t>
  </si>
  <si>
    <t>森特股份</t>
  </si>
  <si>
    <t>川仪股份</t>
  </si>
  <si>
    <t>康尼机电</t>
  </si>
  <si>
    <t>中材节能</t>
  </si>
  <si>
    <t>华贸物流</t>
  </si>
  <si>
    <t>上海沪工</t>
  </si>
  <si>
    <t>上海亚虹</t>
  </si>
  <si>
    <t>渤海轮渡</t>
  </si>
  <si>
    <t>兰石重装</t>
  </si>
  <si>
    <t>德创环保</t>
  </si>
  <si>
    <t>建研院</t>
  </si>
  <si>
    <t>上海洗霸</t>
  </si>
  <si>
    <t>快克股份</t>
  </si>
  <si>
    <t>日月股份</t>
  </si>
  <si>
    <t>恒通股份</t>
  </si>
  <si>
    <t>海鸥股份</t>
  </si>
  <si>
    <t>银都股份</t>
  </si>
  <si>
    <t>赛腾股份</t>
  </si>
  <si>
    <t>泰瑞机器</t>
  </si>
  <si>
    <t>永新光学</t>
  </si>
  <si>
    <t>杭叉集团</t>
  </si>
  <si>
    <t>华铁科技</t>
  </si>
  <si>
    <t>应流股份</t>
  </si>
  <si>
    <t>福鞍股份</t>
  </si>
  <si>
    <t>诚邦股份</t>
  </si>
  <si>
    <t>派思股份</t>
  </si>
  <si>
    <t>迪贝电气</t>
  </si>
  <si>
    <t>梅轮电梯</t>
  </si>
  <si>
    <t>上海雅仕</t>
  </si>
  <si>
    <t>百达精工</t>
  </si>
  <si>
    <t>杰克股份</t>
  </si>
  <si>
    <t>浙江鼎力</t>
  </si>
  <si>
    <t>四方科技</t>
  </si>
  <si>
    <t>华菱精工</t>
  </si>
  <si>
    <t>设计总院</t>
  </si>
  <si>
    <t>东珠生态</t>
  </si>
  <si>
    <t>惠达卫浴</t>
  </si>
  <si>
    <t>元成股份</t>
  </si>
  <si>
    <t>金辰股份</t>
  </si>
  <si>
    <t>信捷电气</t>
  </si>
  <si>
    <t>集友股份</t>
  </si>
  <si>
    <t>勘设股份</t>
  </si>
  <si>
    <t>风语筑</t>
  </si>
  <si>
    <t>展鹏科技</t>
  </si>
  <si>
    <t>祥和实业</t>
  </si>
  <si>
    <t>振江股份</t>
  </si>
  <si>
    <t>嘉诚国际</t>
  </si>
  <si>
    <t>海兴电力</t>
  </si>
  <si>
    <t>伟明环保</t>
  </si>
  <si>
    <t>长久物流</t>
  </si>
  <si>
    <t>汇金通</t>
  </si>
  <si>
    <t>捷昌驱动</t>
  </si>
  <si>
    <t>高能环境</t>
  </si>
  <si>
    <t>博天环境</t>
  </si>
  <si>
    <t>东方电缆</t>
  </si>
  <si>
    <t>诺力股份</t>
  </si>
  <si>
    <t>君禾股份</t>
  </si>
  <si>
    <t>杭电股份</t>
  </si>
  <si>
    <t>清源股份</t>
  </si>
  <si>
    <t>镇海股份</t>
  </si>
  <si>
    <t>艾迪精密</t>
  </si>
  <si>
    <t>畅联股份</t>
  </si>
  <si>
    <t>泰禾光电</t>
  </si>
  <si>
    <t>亿嘉和</t>
  </si>
  <si>
    <t>五洲新春</t>
  </si>
  <si>
    <t>奇精机械</t>
  </si>
  <si>
    <t>华体科技</t>
  </si>
  <si>
    <t>今创集团</t>
  </si>
  <si>
    <t>龙马环卫</t>
  </si>
  <si>
    <t>至纯科技</t>
  </si>
  <si>
    <t>航天工程</t>
  </si>
  <si>
    <t>纽威股份</t>
  </si>
  <si>
    <t>盛洋科技</t>
  </si>
  <si>
    <t>密尔克卫</t>
  </si>
  <si>
    <t>天域生态</t>
  </si>
  <si>
    <t>朗迪集团</t>
  </si>
  <si>
    <t>鸣志电器</t>
  </si>
  <si>
    <t>大元泵业</t>
  </si>
  <si>
    <t>永安行</t>
  </si>
  <si>
    <t>乾景园林</t>
  </si>
  <si>
    <t>星光农机</t>
  </si>
  <si>
    <t>联泰环保</t>
  </si>
  <si>
    <t>原尚股份</t>
  </si>
  <si>
    <t>神力股份</t>
  </si>
  <si>
    <t>柯利达</t>
  </si>
  <si>
    <t>洛凯股份</t>
  </si>
  <si>
    <t>正平股份</t>
  </si>
  <si>
    <t>华荣股份</t>
  </si>
  <si>
    <t>东宏股份</t>
  </si>
  <si>
    <t>能科股份</t>
  </si>
  <si>
    <t>中公高科</t>
  </si>
  <si>
    <t>白云电器</t>
  </si>
  <si>
    <t>嘉友国际</t>
  </si>
  <si>
    <t>吉祥航空</t>
  </si>
  <si>
    <t>城地股份</t>
  </si>
  <si>
    <t>天永智能</t>
  </si>
  <si>
    <t>长城科技</t>
  </si>
  <si>
    <t>晨光文具</t>
  </si>
  <si>
    <t>永创智能</t>
  </si>
  <si>
    <t>中持股份</t>
  </si>
  <si>
    <t>合诚股份</t>
  </si>
  <si>
    <t>佳力图</t>
  </si>
  <si>
    <t>合力科技</t>
  </si>
  <si>
    <t>亚翔集成</t>
  </si>
  <si>
    <t>睿能科技</t>
  </si>
  <si>
    <t>大千生态</t>
  </si>
  <si>
    <t>百利科技</t>
  </si>
  <si>
    <t>克来机电</t>
  </si>
  <si>
    <t>法兰泰克</t>
  </si>
  <si>
    <t>金诚信</t>
  </si>
  <si>
    <t>恒润股份</t>
  </si>
  <si>
    <t>中电电机</t>
  </si>
  <si>
    <t>深康佳A</t>
  </si>
  <si>
    <t>深中华A</t>
  </si>
  <si>
    <t>深华发A</t>
  </si>
  <si>
    <t>特力A</t>
  </si>
  <si>
    <t>飞亚达A</t>
  </si>
  <si>
    <t>富奥股份</t>
  </si>
  <si>
    <t>深大通</t>
  </si>
  <si>
    <t>深圳华强</t>
  </si>
  <si>
    <t>华侨城A</t>
  </si>
  <si>
    <t>TCL集团</t>
  </si>
  <si>
    <t>华数传媒</t>
  </si>
  <si>
    <t>常山北明</t>
  </si>
  <si>
    <t>美的集团</t>
  </si>
  <si>
    <t>合肥百货</t>
  </si>
  <si>
    <t>小天鹅A</t>
  </si>
  <si>
    <t>通程控股</t>
  </si>
  <si>
    <t>华天酒店</t>
  </si>
  <si>
    <t>张家界</t>
  </si>
  <si>
    <t>鄂武商A</t>
  </si>
  <si>
    <t>国际医学</t>
  </si>
  <si>
    <t>长虹美菱</t>
  </si>
  <si>
    <t>岭南控股</t>
  </si>
  <si>
    <t>紫光学大</t>
  </si>
  <si>
    <t>万家乐</t>
  </si>
  <si>
    <t>佛山照明</t>
  </si>
  <si>
    <t>江铃汽车</t>
  </si>
  <si>
    <t>莱茵体育</t>
  </si>
  <si>
    <t>万向钱潮</t>
  </si>
  <si>
    <t>供销大集</t>
  </si>
  <si>
    <t>海马汽车</t>
  </si>
  <si>
    <t>威孚高科</t>
  </si>
  <si>
    <t>金洲慈航</t>
  </si>
  <si>
    <t>黔轮胎A</t>
  </si>
  <si>
    <t>青岛双星</t>
  </si>
  <si>
    <t>华媒控股</t>
  </si>
  <si>
    <t>西安旅游</t>
  </si>
  <si>
    <t>天首发展</t>
  </si>
  <si>
    <t>大东海A</t>
  </si>
  <si>
    <t>恒立实业</t>
  </si>
  <si>
    <t>长安汽车</t>
  </si>
  <si>
    <t>格力电器</t>
  </si>
  <si>
    <t>永安林业</t>
  </si>
  <si>
    <t>湖北广电</t>
  </si>
  <si>
    <t>当代东方</t>
  </si>
  <si>
    <t>大连友谊</t>
  </si>
  <si>
    <t>视觉中国</t>
  </si>
  <si>
    <t>模塑科技</t>
  </si>
  <si>
    <t>中兴商业</t>
  </si>
  <si>
    <t>中原传媒</t>
  </si>
  <si>
    <t>西安饮食</t>
  </si>
  <si>
    <t>鲁泰A</t>
  </si>
  <si>
    <t>漳州发展</t>
  </si>
  <si>
    <t>浩物股份</t>
  </si>
  <si>
    <t>斯太尔</t>
  </si>
  <si>
    <t>三毛派神</t>
  </si>
  <si>
    <t>武汉中商</t>
  </si>
  <si>
    <t>华闻传媒</t>
  </si>
  <si>
    <t>凯撒旅游</t>
  </si>
  <si>
    <t>一汽轿车</t>
  </si>
  <si>
    <t>四川九洲</t>
  </si>
  <si>
    <t>北京文化</t>
  </si>
  <si>
    <t>创维数字</t>
  </si>
  <si>
    <t>中信国安</t>
  </si>
  <si>
    <t>华茂股份</t>
  </si>
  <si>
    <t>高鸿股份</t>
  </si>
  <si>
    <t>安凯客车</t>
  </si>
  <si>
    <t>华联股份</t>
  </si>
  <si>
    <t>中鼎股份</t>
  </si>
  <si>
    <t>峨眉山A</t>
  </si>
  <si>
    <t>欢瑞世纪</t>
  </si>
  <si>
    <t>航天科技</t>
  </si>
  <si>
    <t>数源科技</t>
  </si>
  <si>
    <t>钱江摩托</t>
  </si>
  <si>
    <t>电广传媒</t>
  </si>
  <si>
    <t>一汽夏利</t>
  </si>
  <si>
    <t>欣龙控股</t>
  </si>
  <si>
    <t>中通客车</t>
  </si>
  <si>
    <t>桂林旅游</t>
  </si>
  <si>
    <t>众泰汽车</t>
  </si>
  <si>
    <t>银亿股份</t>
  </si>
  <si>
    <t>*ST中绒</t>
  </si>
  <si>
    <t>中国中期</t>
  </si>
  <si>
    <t>宗申动力</t>
  </si>
  <si>
    <t>伟星股份</t>
  </si>
  <si>
    <t>霞客环保</t>
  </si>
  <si>
    <t>苏宁易购</t>
  </si>
  <si>
    <t>分众传媒</t>
  </si>
  <si>
    <t>七匹狼</t>
  </si>
  <si>
    <t>苏泊尔</t>
  </si>
  <si>
    <t>丽江旅游</t>
  </si>
  <si>
    <t>华帝股份</t>
  </si>
  <si>
    <t>华孚时尚</t>
  </si>
  <si>
    <t>国光电器</t>
  </si>
  <si>
    <t>宁波华翔</t>
  </si>
  <si>
    <t>同洲电子</t>
  </si>
  <si>
    <t>云南旅游</t>
  </si>
  <si>
    <t>长城影视</t>
  </si>
  <si>
    <t>雪莱特</t>
  </si>
  <si>
    <t>孚日股份</t>
  </si>
  <si>
    <t>万丰奥威</t>
  </si>
  <si>
    <t>新野纺织</t>
  </si>
  <si>
    <t>浔兴股份</t>
  </si>
  <si>
    <t>广东鸿图</t>
  </si>
  <si>
    <t>信隆健康</t>
  </si>
  <si>
    <t>三维通信</t>
  </si>
  <si>
    <t>银轮股份</t>
  </si>
  <si>
    <t>南极电商</t>
  </si>
  <si>
    <t>利欧股份</t>
  </si>
  <si>
    <t>麦达数字</t>
  </si>
  <si>
    <t>印纪传媒</t>
  </si>
  <si>
    <t>宏达高科</t>
  </si>
  <si>
    <t>报喜鸟</t>
  </si>
  <si>
    <t>三特索道</t>
  </si>
  <si>
    <t>东方网络</t>
  </si>
  <si>
    <t>粤传媒</t>
  </si>
  <si>
    <t>全聚德</t>
  </si>
  <si>
    <t>广百股份</t>
  </si>
  <si>
    <t>*ST巴士</t>
  </si>
  <si>
    <t>如意集团</t>
  </si>
  <si>
    <t>特尔佳</t>
  </si>
  <si>
    <t>天威视讯</t>
  </si>
  <si>
    <t>奥特佳</t>
  </si>
  <si>
    <t>九阳股份</t>
  </si>
  <si>
    <t>拓维信息</t>
  </si>
  <si>
    <t>西仪股份</t>
  </si>
  <si>
    <t>美邦服饰</t>
  </si>
  <si>
    <t>友阿股份</t>
  </si>
  <si>
    <t>天润曲轴</t>
  </si>
  <si>
    <t>亚太股份</t>
  </si>
  <si>
    <t>中科新材</t>
  </si>
  <si>
    <t>星期六</t>
  </si>
  <si>
    <t>奥飞娱乐</t>
  </si>
  <si>
    <t>罗莱生活</t>
  </si>
  <si>
    <t>*ST云网</t>
  </si>
  <si>
    <t>富安娜</t>
  </si>
  <si>
    <t>新朋股份</t>
  </si>
  <si>
    <t>慈文传媒</t>
  </si>
  <si>
    <t>潮宏基</t>
  </si>
  <si>
    <t>高乐股份</t>
  </si>
  <si>
    <t>漫步者</t>
  </si>
  <si>
    <t>兴民智通</t>
  </si>
  <si>
    <t>赫美集团</t>
  </si>
  <si>
    <t>隆基机械</t>
  </si>
  <si>
    <t>联发股份</t>
  </si>
  <si>
    <t>梦洁股份</t>
  </si>
  <si>
    <t>省广集团</t>
  </si>
  <si>
    <t>爱仕达</t>
  </si>
  <si>
    <t>嘉欣丝绸</t>
  </si>
  <si>
    <t>远东传动</t>
  </si>
  <si>
    <t>天虹股份</t>
  </si>
  <si>
    <t>毅昌股份</t>
  </si>
  <si>
    <t>兆驰股份</t>
  </si>
  <si>
    <t>万里扬</t>
  </si>
  <si>
    <t>晨鑫科技</t>
  </si>
  <si>
    <t>中原内配</t>
  </si>
  <si>
    <t>松芝股份</t>
  </si>
  <si>
    <t>*ST圣莱</t>
  </si>
  <si>
    <t>希努尔</t>
  </si>
  <si>
    <t>嘉麟杰</t>
  </si>
  <si>
    <t>金固股份</t>
  </si>
  <si>
    <t>浙江永强</t>
  </si>
  <si>
    <t>华斯股份</t>
  </si>
  <si>
    <t>骅威文化</t>
  </si>
  <si>
    <t>搜于特</t>
  </si>
  <si>
    <t>老板电器</t>
  </si>
  <si>
    <t>天汽模</t>
  </si>
  <si>
    <t>达华智能</t>
  </si>
  <si>
    <t>旷达科技</t>
  </si>
  <si>
    <t>银河电子</t>
  </si>
  <si>
    <t>西泵股份</t>
  </si>
  <si>
    <t>海联金汇</t>
  </si>
  <si>
    <t>万和电气</t>
  </si>
  <si>
    <t>徐家汇</t>
  </si>
  <si>
    <t>森马服饰</t>
  </si>
  <si>
    <t>步森股份</t>
  </si>
  <si>
    <t>德力股份</t>
  </si>
  <si>
    <t>索菲亚</t>
  </si>
  <si>
    <t>明牌珠宝</t>
  </si>
  <si>
    <t>群兴玩具</t>
  </si>
  <si>
    <t>万安科技</t>
  </si>
  <si>
    <t>八菱科技</t>
  </si>
  <si>
    <t>比亚迪</t>
  </si>
  <si>
    <t>世纪华通</t>
  </si>
  <si>
    <t>姚记扑克</t>
  </si>
  <si>
    <t>亚夏汽车</t>
  </si>
  <si>
    <t>朗姿股份</t>
  </si>
  <si>
    <t>哈尔斯</t>
  </si>
  <si>
    <t>长青集团</t>
  </si>
  <si>
    <t>棒杰股份</t>
  </si>
  <si>
    <t>跨境通</t>
  </si>
  <si>
    <t>摩登大道</t>
  </si>
  <si>
    <t>凯文教育</t>
  </si>
  <si>
    <t>京威股份</t>
  </si>
  <si>
    <t>长鹰信质</t>
  </si>
  <si>
    <t>奥马电器</t>
  </si>
  <si>
    <t>兴业科技</t>
  </si>
  <si>
    <t>浙江美大</t>
  </si>
  <si>
    <t>珠江钢琴</t>
  </si>
  <si>
    <t>奋达科技</t>
  </si>
  <si>
    <t>乔治白</t>
  </si>
  <si>
    <t>美盛文化</t>
  </si>
  <si>
    <t>浙江世宝</t>
  </si>
  <si>
    <t>新宝股份</t>
  </si>
  <si>
    <t>众信旅游</t>
  </si>
  <si>
    <t>光洋股份</t>
  </si>
  <si>
    <t>思美传媒</t>
  </si>
  <si>
    <t>登云股份</t>
  </si>
  <si>
    <t>金一文化</t>
  </si>
  <si>
    <t>金莱特</t>
  </si>
  <si>
    <t>跃岭股份</t>
  </si>
  <si>
    <t>萃华珠宝</t>
  </si>
  <si>
    <t>万达电影</t>
  </si>
  <si>
    <t>爱迪尔</t>
  </si>
  <si>
    <t>天际股份</t>
  </si>
  <si>
    <t>多喜爱</t>
  </si>
  <si>
    <t>金发拉比</t>
  </si>
  <si>
    <t>汇洁股份</t>
  </si>
  <si>
    <t>蓝黛传动</t>
  </si>
  <si>
    <t>索菱股份</t>
  </si>
  <si>
    <t>柏堡龙</t>
  </si>
  <si>
    <t>三夫户外</t>
  </si>
  <si>
    <t>比音勒芬</t>
  </si>
  <si>
    <t>高斯贝尔</t>
  </si>
  <si>
    <t>皮阿诺</t>
  </si>
  <si>
    <t>力盛赛车</t>
  </si>
  <si>
    <t>实丰文化</t>
  </si>
  <si>
    <t>今飞凯达</t>
  </si>
  <si>
    <t>钧达股份</t>
  </si>
  <si>
    <t>周大生</t>
  </si>
  <si>
    <t>香山股份</t>
  </si>
  <si>
    <t>安奈儿</t>
  </si>
  <si>
    <t>元隆雅图</t>
  </si>
  <si>
    <t>惠威科技</t>
  </si>
  <si>
    <t>英派斯</t>
  </si>
  <si>
    <t>金逸影视</t>
  </si>
  <si>
    <t>华阳集团</t>
  </si>
  <si>
    <t>德赛西威</t>
  </si>
  <si>
    <t>探路者</t>
  </si>
  <si>
    <t>吉峰科技</t>
  </si>
  <si>
    <t>华谊兄弟</t>
  </si>
  <si>
    <t>金亚科技</t>
  </si>
  <si>
    <t>星辉娱乐</t>
  </si>
  <si>
    <t>蓝色光标</t>
  </si>
  <si>
    <t>天龙集团</t>
  </si>
  <si>
    <t>华谊嘉信</t>
  </si>
  <si>
    <t>文化长城</t>
  </si>
  <si>
    <t>双林股份</t>
  </si>
  <si>
    <t>华策影视</t>
  </si>
  <si>
    <t>宋城演艺</t>
  </si>
  <si>
    <t>天舟文化</t>
  </si>
  <si>
    <t>秀强股份</t>
  </si>
  <si>
    <t>鸿特科技</t>
  </si>
  <si>
    <t>腾邦国际</t>
  </si>
  <si>
    <t>东方电热</t>
  </si>
  <si>
    <t>佳云科技</t>
  </si>
  <si>
    <t>光线传媒</t>
  </si>
  <si>
    <t>精锻科技</t>
  </si>
  <si>
    <t>联建光电</t>
  </si>
  <si>
    <t>紫天科技</t>
  </si>
  <si>
    <t>三盛教育</t>
  </si>
  <si>
    <t>华录百纳</t>
  </si>
  <si>
    <t>云意电气</t>
  </si>
  <si>
    <t>海伦钢琴</t>
  </si>
  <si>
    <t>新文化</t>
  </si>
  <si>
    <t>开元股份</t>
  </si>
  <si>
    <t>联创互联</t>
  </si>
  <si>
    <t>全通教育</t>
  </si>
  <si>
    <t>中文在线</t>
  </si>
  <si>
    <t>鹏翎股份</t>
  </si>
  <si>
    <t>腾信股份</t>
  </si>
  <si>
    <t>芒果超媒</t>
  </si>
  <si>
    <t>唐德影视</t>
  </si>
  <si>
    <t>富临精工</t>
  </si>
  <si>
    <t>德尔股份</t>
  </si>
  <si>
    <t>沃施股份</t>
  </si>
  <si>
    <t>苏奥传感</t>
  </si>
  <si>
    <t>中潜股份</t>
  </si>
  <si>
    <t>幸福蓝海</t>
  </si>
  <si>
    <t>川环科技</t>
  </si>
  <si>
    <t>开润股份</t>
  </si>
  <si>
    <t>贝斯特</t>
  </si>
  <si>
    <t>奥联电子</t>
  </si>
  <si>
    <t>万里马</t>
  </si>
  <si>
    <t>美力科技</t>
  </si>
  <si>
    <t>宣亚国际</t>
  </si>
  <si>
    <t>尚品宅配</t>
  </si>
  <si>
    <t>博士眼镜</t>
  </si>
  <si>
    <t>三雄极光</t>
  </si>
  <si>
    <t>德艺文创</t>
  </si>
  <si>
    <t>万通智控</t>
  </si>
  <si>
    <t>太龙照明</t>
  </si>
  <si>
    <t>金陵体育</t>
  </si>
  <si>
    <t>雷迪克</t>
  </si>
  <si>
    <t>世纪天鸿</t>
  </si>
  <si>
    <t>延江股份</t>
  </si>
  <si>
    <t>隆盛科技</t>
  </si>
  <si>
    <t>兆丰股份</t>
  </si>
  <si>
    <t>创源文化</t>
  </si>
  <si>
    <t>威唐工业</t>
  </si>
  <si>
    <t>乐歌股份</t>
  </si>
  <si>
    <t>西菱动力</t>
  </si>
  <si>
    <t>百邦科技</t>
  </si>
  <si>
    <t>越博动力</t>
  </si>
  <si>
    <t>欣锐科技</t>
  </si>
  <si>
    <t>顶固集创</t>
  </si>
  <si>
    <t>东风汽车</t>
  </si>
  <si>
    <t>歌华有线</t>
  </si>
  <si>
    <t>黄山旅游</t>
  </si>
  <si>
    <t>海信电器</t>
  </si>
  <si>
    <t>宇通客车</t>
  </si>
  <si>
    <t>浙江富润</t>
  </si>
  <si>
    <t>凤凰光学</t>
  </si>
  <si>
    <t>东风科技</t>
  </si>
  <si>
    <t>东方金钰</t>
  </si>
  <si>
    <t>中视传媒</t>
  </si>
  <si>
    <t>林海股份</t>
  </si>
  <si>
    <t>上汽集团</t>
  </si>
  <si>
    <t>美尔雅</t>
  </si>
  <si>
    <t>宏图高科</t>
  </si>
  <si>
    <t>弘业股份</t>
  </si>
  <si>
    <t>当代明诚</t>
  </si>
  <si>
    <t>浪莎股份</t>
  </si>
  <si>
    <t>中青旅</t>
  </si>
  <si>
    <t>西部资源</t>
  </si>
  <si>
    <t>商赢环球</t>
  </si>
  <si>
    <t>长春一东</t>
  </si>
  <si>
    <t>华升股份</t>
  </si>
  <si>
    <t>福田汽车</t>
  </si>
  <si>
    <t>东安动力</t>
  </si>
  <si>
    <t>S佳通</t>
  </si>
  <si>
    <t>亚星客车</t>
  </si>
  <si>
    <t>江苏阳光</t>
  </si>
  <si>
    <t>城市传媒</t>
  </si>
  <si>
    <t>金鹰股份</t>
  </si>
  <si>
    <t>时代万恒</t>
  </si>
  <si>
    <t>南纺股份</t>
  </si>
  <si>
    <t>首旅酒店</t>
  </si>
  <si>
    <t>阳光照明</t>
  </si>
  <si>
    <t>东方创业</t>
  </si>
  <si>
    <t>中央商场</t>
  </si>
  <si>
    <t>江苏舜天</t>
  </si>
  <si>
    <t>三峡新材</t>
  </si>
  <si>
    <t>广汇汽车</t>
  </si>
  <si>
    <t>曙光股份</t>
  </si>
  <si>
    <t>商业城</t>
  </si>
  <si>
    <t>大东方</t>
  </si>
  <si>
    <t>国机汽车</t>
  </si>
  <si>
    <t>澳柯玛</t>
  </si>
  <si>
    <t>美克家居</t>
  </si>
  <si>
    <t>国旅联合</t>
  </si>
  <si>
    <t>三房巷</t>
  </si>
  <si>
    <t>中文传媒</t>
  </si>
  <si>
    <t>山东金泰</t>
  </si>
  <si>
    <t>北巴传媒</t>
  </si>
  <si>
    <t>海澜之家</t>
  </si>
  <si>
    <t>红豆股份</t>
  </si>
  <si>
    <t>江淮汽车</t>
  </si>
  <si>
    <t>华纺股份</t>
  </si>
  <si>
    <t>风神股份</t>
  </si>
  <si>
    <t>凌云股份</t>
  </si>
  <si>
    <t>凤竹纺织</t>
  </si>
  <si>
    <t>贵航股份</t>
  </si>
  <si>
    <t>时代出版</t>
  </si>
  <si>
    <t>祥源文化</t>
  </si>
  <si>
    <t>大连圣亚</t>
  </si>
  <si>
    <t>金杯汽车</t>
  </si>
  <si>
    <t>老凤祥</t>
  </si>
  <si>
    <t>申达股份</t>
  </si>
  <si>
    <t>新世界</t>
  </si>
  <si>
    <t>龙头股份</t>
  </si>
  <si>
    <t>浙数文化</t>
  </si>
  <si>
    <t>东方明珠</t>
  </si>
  <si>
    <t>飞乐音响</t>
  </si>
  <si>
    <t>申华控股</t>
  </si>
  <si>
    <t>豫园股份</t>
  </si>
  <si>
    <t>福耀玻璃</t>
  </si>
  <si>
    <t>交运股份</t>
  </si>
  <si>
    <t>上海凤凰</t>
  </si>
  <si>
    <t>南京新百</t>
  </si>
  <si>
    <t>金龙汽车</t>
  </si>
  <si>
    <t>刚泰控股</t>
  </si>
  <si>
    <t>上海三毛</t>
  </si>
  <si>
    <t>青岛海尔</t>
  </si>
  <si>
    <t>东百集团</t>
  </si>
  <si>
    <t>大商股份</t>
  </si>
  <si>
    <t>欧亚集团</t>
  </si>
  <si>
    <t>湖南天雁</t>
  </si>
  <si>
    <t>均胜电子</t>
  </si>
  <si>
    <t>曲江文旅</t>
  </si>
  <si>
    <t>南宁百货</t>
  </si>
  <si>
    <t>文投控股</t>
  </si>
  <si>
    <t>首商股份</t>
  </si>
  <si>
    <t>重庆百货</t>
  </si>
  <si>
    <t>北汽蓝谷</t>
  </si>
  <si>
    <t>新华锦</t>
  </si>
  <si>
    <t>兰州民百</t>
  </si>
  <si>
    <t>辽宁成大</t>
  </si>
  <si>
    <t>华域汽车</t>
  </si>
  <si>
    <t>一汽富维</t>
  </si>
  <si>
    <t>*ST藏旅</t>
  </si>
  <si>
    <t>海航科技</t>
  </si>
  <si>
    <t>锦江股份</t>
  </si>
  <si>
    <t>长江传媒</t>
  </si>
  <si>
    <t>汉商集团</t>
  </si>
  <si>
    <t>*ST友好</t>
  </si>
  <si>
    <t>新华百货</t>
  </si>
  <si>
    <t>杭州解百</t>
  </si>
  <si>
    <t>中路股份</t>
  </si>
  <si>
    <t>津劝业</t>
  </si>
  <si>
    <t>益民集团</t>
  </si>
  <si>
    <t>新华传媒</t>
  </si>
  <si>
    <t>茂业商业</t>
  </si>
  <si>
    <t>香溢融通</t>
  </si>
  <si>
    <t>广电网络</t>
  </si>
  <si>
    <t>上海九百</t>
  </si>
  <si>
    <t>四川长虹</t>
  </si>
  <si>
    <t>春兰股份</t>
  </si>
  <si>
    <t>宁波中百</t>
  </si>
  <si>
    <t>银座股份</t>
  </si>
  <si>
    <t>王府井</t>
  </si>
  <si>
    <t>百大集团</t>
  </si>
  <si>
    <t>ST嘉陵</t>
  </si>
  <si>
    <t>博瑞传播</t>
  </si>
  <si>
    <t>秋林集团</t>
  </si>
  <si>
    <t>大晟文化</t>
  </si>
  <si>
    <t>爱柯迪</t>
  </si>
  <si>
    <t>广西广电</t>
  </si>
  <si>
    <t>江苏有线</t>
  </si>
  <si>
    <t>渤海汽车</t>
  </si>
  <si>
    <t>中国电影</t>
  </si>
  <si>
    <t>宜华生活</t>
  </si>
  <si>
    <t>汇鸿集团</t>
  </si>
  <si>
    <t>惠而浦</t>
  </si>
  <si>
    <t>航民股份</t>
  </si>
  <si>
    <t>贵广网络</t>
  </si>
  <si>
    <t>金陵饭店</t>
  </si>
  <si>
    <t>文峰股份</t>
  </si>
  <si>
    <t>山东出版</t>
  </si>
  <si>
    <t>国芳集团</t>
  </si>
  <si>
    <t>中南传媒</t>
  </si>
  <si>
    <t>小康股份</t>
  </si>
  <si>
    <t>三角轮胎</t>
  </si>
  <si>
    <t>广汽集团</t>
  </si>
  <si>
    <t>庞大集团</t>
  </si>
  <si>
    <t>百隆东方</t>
  </si>
  <si>
    <t>利群股份</t>
  </si>
  <si>
    <t>通用股份</t>
  </si>
  <si>
    <t>九牧王</t>
  </si>
  <si>
    <t>上海电影</t>
  </si>
  <si>
    <t>鹿港文化</t>
  </si>
  <si>
    <t>长城汽车</t>
  </si>
  <si>
    <t>拓普集团</t>
  </si>
  <si>
    <t>际华集团</t>
  </si>
  <si>
    <t>力帆股份</t>
  </si>
  <si>
    <t>星宇股份</t>
  </si>
  <si>
    <t>皖新传媒</t>
  </si>
  <si>
    <t>新华文轩</t>
  </si>
  <si>
    <t>美凯龙</t>
  </si>
  <si>
    <t>中国科传</t>
  </si>
  <si>
    <t>中国国旅</t>
  </si>
  <si>
    <t>南方传媒</t>
  </si>
  <si>
    <t>凤凰传媒</t>
  </si>
  <si>
    <t>吉视传媒</t>
  </si>
  <si>
    <t>中国出版</t>
  </si>
  <si>
    <t>中国汽研</t>
  </si>
  <si>
    <t>玲珑轮胎</t>
  </si>
  <si>
    <t>出版传媒</t>
  </si>
  <si>
    <t>奥康国际</t>
  </si>
  <si>
    <t>联明股份</t>
  </si>
  <si>
    <t>喜临门</t>
  </si>
  <si>
    <t>北特科技</t>
  </si>
  <si>
    <t>亚普股份</t>
  </si>
  <si>
    <t>威帝股份</t>
  </si>
  <si>
    <t>常熟汽饰</t>
  </si>
  <si>
    <t>凯众股份</t>
  </si>
  <si>
    <t>新坐标</t>
  </si>
  <si>
    <t>正裕工业</t>
  </si>
  <si>
    <t>新经典</t>
  </si>
  <si>
    <t>长白山</t>
  </si>
  <si>
    <t>汇嘉时代</t>
  </si>
  <si>
    <t>横店影视</t>
  </si>
  <si>
    <t>红蜻蜓</t>
  </si>
  <si>
    <t>翠微股份</t>
  </si>
  <si>
    <t>春风动力</t>
  </si>
  <si>
    <t>天目湖</t>
  </si>
  <si>
    <t>拉夏贝尔</t>
  </si>
  <si>
    <t>腾龙股份</t>
  </si>
  <si>
    <t>科华控股</t>
  </si>
  <si>
    <t>福达股份</t>
  </si>
  <si>
    <t>圣龙股份</t>
  </si>
  <si>
    <t>新泉股份</t>
  </si>
  <si>
    <t>金牌厨柜</t>
  </si>
  <si>
    <t>日播时尚</t>
  </si>
  <si>
    <t>保隆科技</t>
  </si>
  <si>
    <t>九华旅游</t>
  </si>
  <si>
    <t>江山欧派</t>
  </si>
  <si>
    <t>爱婴室</t>
  </si>
  <si>
    <t>诺邦股份</t>
  </si>
  <si>
    <t>浙江仙通</t>
  </si>
  <si>
    <t>天龙股份</t>
  </si>
  <si>
    <t>松发股份</t>
  </si>
  <si>
    <t>日盈电子</t>
  </si>
  <si>
    <t>得邦照明</t>
  </si>
  <si>
    <t>旭升股份</t>
  </si>
  <si>
    <t>华懋科技</t>
  </si>
  <si>
    <t>金海环境</t>
  </si>
  <si>
    <t>梦百合</t>
  </si>
  <si>
    <t>湘油泵</t>
  </si>
  <si>
    <t>我乐家居</t>
  </si>
  <si>
    <t>迪生力</t>
  </si>
  <si>
    <t>文灿股份</t>
  </si>
  <si>
    <t>莱克电气</t>
  </si>
  <si>
    <t>华达科技</t>
  </si>
  <si>
    <t>水星家纺</t>
  </si>
  <si>
    <t>日出东方</t>
  </si>
  <si>
    <t>东方时尚</t>
  </si>
  <si>
    <t>亚振家居</t>
  </si>
  <si>
    <t>邦宝益智</t>
  </si>
  <si>
    <t>吉翔股份</t>
  </si>
  <si>
    <t>振静股份</t>
  </si>
  <si>
    <t>科沃斯</t>
  </si>
  <si>
    <t>欧普照明</t>
  </si>
  <si>
    <t>维格娜丝</t>
  </si>
  <si>
    <t>立霸股份</t>
  </si>
  <si>
    <t>掌阅科技</t>
  </si>
  <si>
    <t>贵人鸟</t>
  </si>
  <si>
    <t>起步股份</t>
  </si>
  <si>
    <t>健盛集团</t>
  </si>
  <si>
    <t>三星新材</t>
  </si>
  <si>
    <t>金麒麟</t>
  </si>
  <si>
    <t>地素时尚</t>
  </si>
  <si>
    <t>伯特利</t>
  </si>
  <si>
    <t>引力传媒</t>
  </si>
  <si>
    <t>永艺股份</t>
  </si>
  <si>
    <t>天创时尚</t>
  </si>
  <si>
    <t>茶花股份</t>
  </si>
  <si>
    <t>朗博科技</t>
  </si>
  <si>
    <t>春光科技</t>
  </si>
  <si>
    <t>恒林股份</t>
  </si>
  <si>
    <t>康隆达</t>
  </si>
  <si>
    <t>晨丰科技</t>
  </si>
  <si>
    <t>德宏股份</t>
  </si>
  <si>
    <t>中源家居</t>
  </si>
  <si>
    <t>中广天择</t>
  </si>
  <si>
    <t>龙韵股份</t>
  </si>
  <si>
    <t>岱美股份</t>
  </si>
  <si>
    <t>秦安股份</t>
  </si>
  <si>
    <t>隆鑫通用</t>
  </si>
  <si>
    <t>中马传动</t>
  </si>
  <si>
    <t>常青股份</t>
  </si>
  <si>
    <t>新日股份</t>
  </si>
  <si>
    <t>宁波高发</t>
  </si>
  <si>
    <t>志邦家居</t>
  </si>
  <si>
    <t>歌力思</t>
  </si>
  <si>
    <t>豪能股份</t>
  </si>
  <si>
    <t>顾家家居</t>
  </si>
  <si>
    <t>曲美家居</t>
  </si>
  <si>
    <t>华扬联众</t>
  </si>
  <si>
    <t>欧派家居</t>
  </si>
  <si>
    <t>四通股份</t>
  </si>
  <si>
    <t>安正时尚</t>
  </si>
  <si>
    <t>好太太</t>
  </si>
  <si>
    <t>飞科电器</t>
  </si>
  <si>
    <t>太平鸟</t>
  </si>
  <si>
    <t>新澳股份</t>
  </si>
  <si>
    <t>好莱客</t>
  </si>
  <si>
    <t>莱绅通灵</t>
  </si>
  <si>
    <t>牧高笛</t>
  </si>
  <si>
    <t>金鸿顺</t>
  </si>
  <si>
    <t>铁流股份</t>
  </si>
  <si>
    <t>哈森股份</t>
  </si>
  <si>
    <t>中新科技</t>
  </si>
  <si>
    <t>继峰股份</t>
  </si>
  <si>
    <t>读者传媒</t>
  </si>
  <si>
    <t>深深宝A</t>
  </si>
  <si>
    <t>*ST康达</t>
  </si>
  <si>
    <t>农产品</t>
  </si>
  <si>
    <t>海王生物</t>
  </si>
  <si>
    <t>英特集团</t>
  </si>
  <si>
    <t>京粮控股</t>
  </si>
  <si>
    <t>广州浪奇</t>
  </si>
  <si>
    <t>泸州老窖</t>
  </si>
  <si>
    <t>古井贡酒</t>
  </si>
  <si>
    <t>西王食品</t>
  </si>
  <si>
    <t>正虹科技</t>
  </si>
  <si>
    <t>浙江震元</t>
  </si>
  <si>
    <t>丰乐种业</t>
  </si>
  <si>
    <t>黑芝麻</t>
  </si>
  <si>
    <t>燕京啤酒</t>
  </si>
  <si>
    <t>罗牛山</t>
  </si>
  <si>
    <t>*ST南风</t>
  </si>
  <si>
    <t>西藏发展</t>
  </si>
  <si>
    <t>中百集团</t>
  </si>
  <si>
    <t>中水渔业</t>
  </si>
  <si>
    <t>酒鬼酒</t>
  </si>
  <si>
    <t>承德露露</t>
  </si>
  <si>
    <t>五粮液</t>
  </si>
  <si>
    <t>顺鑫农业</t>
  </si>
  <si>
    <t>张裕A</t>
  </si>
  <si>
    <t>新希望</t>
  </si>
  <si>
    <t>*ST东凌</t>
  </si>
  <si>
    <t>双汇发展</t>
  </si>
  <si>
    <t>南宁糖业</t>
  </si>
  <si>
    <t>兰州黄河</t>
  </si>
  <si>
    <t>重药控股</t>
  </si>
  <si>
    <t>华东医药</t>
  </si>
  <si>
    <t>*ST皇台</t>
  </si>
  <si>
    <t>隆平高科</t>
  </si>
  <si>
    <t>登海种业</t>
  </si>
  <si>
    <t>獐子岛</t>
  </si>
  <si>
    <t>东方海洋</t>
  </si>
  <si>
    <t>青岛金王</t>
  </si>
  <si>
    <t>天康生物</t>
  </si>
  <si>
    <t>天邦股份</t>
  </si>
  <si>
    <t>正邦科技</t>
  </si>
  <si>
    <t>三全食品</t>
  </si>
  <si>
    <t>天宝食品</t>
  </si>
  <si>
    <t>民和股份</t>
  </si>
  <si>
    <t>步步高</t>
  </si>
  <si>
    <t>新华都</t>
  </si>
  <si>
    <t>保龄宝</t>
  </si>
  <si>
    <t>圣农发展</t>
  </si>
  <si>
    <t>洋河股份</t>
  </si>
  <si>
    <t>海大集团</t>
  </si>
  <si>
    <t>华英农业</t>
  </si>
  <si>
    <t>皇氏集团</t>
  </si>
  <si>
    <t>得利斯</t>
  </si>
  <si>
    <t>人人乐</t>
  </si>
  <si>
    <t>大北农</t>
  </si>
  <si>
    <t>益生股份</t>
  </si>
  <si>
    <t>珠江啤酒</t>
  </si>
  <si>
    <t>嘉事堂</t>
  </si>
  <si>
    <t>雏鹰农牧</t>
  </si>
  <si>
    <t>双塔食品</t>
  </si>
  <si>
    <t>佳隆股份</t>
  </si>
  <si>
    <t>大康农业</t>
  </si>
  <si>
    <t>涪陵榨菜</t>
  </si>
  <si>
    <t>中顺洁柔</t>
  </si>
  <si>
    <t>金字火腿</t>
  </si>
  <si>
    <t>金新农</t>
  </si>
  <si>
    <t>洽洽食品</t>
  </si>
  <si>
    <t>唐人神</t>
  </si>
  <si>
    <t>百润股份</t>
  </si>
  <si>
    <t>*ST因美</t>
  </si>
  <si>
    <t>好想你</t>
  </si>
  <si>
    <t>瑞康医药</t>
  </si>
  <si>
    <t>*ST龙力</t>
  </si>
  <si>
    <t>青青稞酒</t>
  </si>
  <si>
    <t>加加食品</t>
  </si>
  <si>
    <t>克明面业</t>
  </si>
  <si>
    <t>煌上煌</t>
  </si>
  <si>
    <t>百洋股份</t>
  </si>
  <si>
    <t>红旗连锁</t>
  </si>
  <si>
    <t>海欣食品</t>
  </si>
  <si>
    <t>牧原股份</t>
  </si>
  <si>
    <t>麦趣尔</t>
  </si>
  <si>
    <t>龙大肉食</t>
  </si>
  <si>
    <t>一心堂</t>
  </si>
  <si>
    <t>燕塘乳业</t>
  </si>
  <si>
    <t>仙坛股份</t>
  </si>
  <si>
    <t>华通医药</t>
  </si>
  <si>
    <t>科迪乳业</t>
  </si>
  <si>
    <t>众兴菌业</t>
  </si>
  <si>
    <t>鹭燕医药</t>
  </si>
  <si>
    <t>桂发祥</t>
  </si>
  <si>
    <t>华统股份</t>
  </si>
  <si>
    <t>盐津铺子</t>
  </si>
  <si>
    <t>道道全</t>
  </si>
  <si>
    <t>天圣制药</t>
  </si>
  <si>
    <t>中宠股份</t>
  </si>
  <si>
    <t>庄园牧场</t>
  </si>
  <si>
    <t>名臣健康</t>
  </si>
  <si>
    <t>荃银高科</t>
  </si>
  <si>
    <t>国联水产</t>
  </si>
  <si>
    <t>西部牧业</t>
  </si>
  <si>
    <t>晨光生物</t>
  </si>
  <si>
    <t>汤臣倍健</t>
  </si>
  <si>
    <t>朗源股份</t>
  </si>
  <si>
    <t>神农基因</t>
  </si>
  <si>
    <t>佳沃股份</t>
  </si>
  <si>
    <t>天山生物</t>
  </si>
  <si>
    <t>温氏股份</t>
  </si>
  <si>
    <t>雪榕生物</t>
  </si>
  <si>
    <t>佩蒂股份</t>
  </si>
  <si>
    <t>御家汇</t>
  </si>
  <si>
    <t>华宝股份</t>
  </si>
  <si>
    <t>中国医药</t>
  </si>
  <si>
    <t>古越龙山</t>
  </si>
  <si>
    <t>上海梅林</t>
  </si>
  <si>
    <t>中葡股份</t>
  </si>
  <si>
    <t>开创国际</t>
  </si>
  <si>
    <t>亚盛集团</t>
  </si>
  <si>
    <t>金健米业</t>
  </si>
  <si>
    <t>重庆啤酒</t>
  </si>
  <si>
    <t>莲花健康</t>
  </si>
  <si>
    <t>吉林森工</t>
  </si>
  <si>
    <t>华资实业</t>
  </si>
  <si>
    <t>伊力特</t>
  </si>
  <si>
    <t>金种子酒</t>
  </si>
  <si>
    <t>西藏药业</t>
  </si>
  <si>
    <t>*ST椰岛</t>
  </si>
  <si>
    <t>两面针</t>
  </si>
  <si>
    <t>冠农股份</t>
  </si>
  <si>
    <t>大湖股份</t>
  </si>
  <si>
    <t>开开实业</t>
  </si>
  <si>
    <t>ST昌鱼</t>
  </si>
  <si>
    <t>安琪酵母</t>
  </si>
  <si>
    <t>维维股份</t>
  </si>
  <si>
    <t>恒顺醋业</t>
  </si>
  <si>
    <t>上海家化</t>
  </si>
  <si>
    <t>敦煌种业</t>
  </si>
  <si>
    <t>新农开发</t>
  </si>
  <si>
    <t>华联综超</t>
  </si>
  <si>
    <t>通葡股份</t>
  </si>
  <si>
    <t>万向德农</t>
  </si>
  <si>
    <t>青海春天</t>
  </si>
  <si>
    <t>天润乳业</t>
  </si>
  <si>
    <t>三元股份</t>
  </si>
  <si>
    <t>通威股份</t>
  </si>
  <si>
    <t>瑞贝卡</t>
  </si>
  <si>
    <t>好当家</t>
  </si>
  <si>
    <t>香梨股份</t>
  </si>
  <si>
    <t>国药股份</t>
  </si>
  <si>
    <t>贵州茅台</t>
  </si>
  <si>
    <t>交大昂立</t>
  </si>
  <si>
    <t>新赛股份</t>
  </si>
  <si>
    <t>莫高股份</t>
  </si>
  <si>
    <t>老白干酒</t>
  </si>
  <si>
    <t>惠泉啤酒</t>
  </si>
  <si>
    <t>光明乳业</t>
  </si>
  <si>
    <t>北大荒</t>
  </si>
  <si>
    <t>青岛啤酒</t>
  </si>
  <si>
    <t>金枫酒业</t>
  </si>
  <si>
    <t>同达创业</t>
  </si>
  <si>
    <t>舍得酒业</t>
  </si>
  <si>
    <t>南京医药</t>
  </si>
  <si>
    <t>中粮糖业</t>
  </si>
  <si>
    <t>水井坊</t>
  </si>
  <si>
    <t>山西汾酒</t>
  </si>
  <si>
    <t>东方集团</t>
  </si>
  <si>
    <t>百联股份</t>
  </si>
  <si>
    <t>人民同泰</t>
  </si>
  <si>
    <t>第一医药</t>
  </si>
  <si>
    <t>北京城乡</t>
  </si>
  <si>
    <t>星湖科技</t>
  </si>
  <si>
    <t>中炬高新</t>
  </si>
  <si>
    <t>梅花生物</t>
  </si>
  <si>
    <t>广泽股份</t>
  </si>
  <si>
    <t>伊利股份</t>
  </si>
  <si>
    <t>湖南盐业</t>
  </si>
  <si>
    <t>国投中鲁</t>
  </si>
  <si>
    <t>福成股份</t>
  </si>
  <si>
    <t>新五丰</t>
  </si>
  <si>
    <t>九州通</t>
  </si>
  <si>
    <t>三江购物</t>
  </si>
  <si>
    <t>海南橡胶</t>
  </si>
  <si>
    <t>会稽山</t>
  </si>
  <si>
    <t>上海医药</t>
  </si>
  <si>
    <t>永辉超市</t>
  </si>
  <si>
    <t>苏垦农发</t>
  </si>
  <si>
    <t>爱普股份</t>
  </si>
  <si>
    <t>千禾味业</t>
  </si>
  <si>
    <t>安德利</t>
  </si>
  <si>
    <t>广州酒家</t>
  </si>
  <si>
    <t>倍加洁</t>
  </si>
  <si>
    <t>养元饮品</t>
  </si>
  <si>
    <t>迎驾贡酒</t>
  </si>
  <si>
    <t>大参林</t>
  </si>
  <si>
    <t>海天味业</t>
  </si>
  <si>
    <t>宏辉果蔬</t>
  </si>
  <si>
    <t>安井食品</t>
  </si>
  <si>
    <t>傲农生物</t>
  </si>
  <si>
    <t>柳药股份</t>
  </si>
  <si>
    <t>今世缘</t>
  </si>
  <si>
    <t>绝味食品</t>
  </si>
  <si>
    <t>惠发股份</t>
  </si>
  <si>
    <t>口子窖</t>
  </si>
  <si>
    <t>珀莱雅</t>
  </si>
  <si>
    <t>禾丰牧业</t>
  </si>
  <si>
    <t>拉芳家化</t>
  </si>
  <si>
    <t>天马科技</t>
  </si>
  <si>
    <t>安记食品</t>
  </si>
  <si>
    <t>家家悦</t>
  </si>
  <si>
    <t>香飘飘</t>
  </si>
  <si>
    <t>来伊份</t>
  </si>
  <si>
    <t>威龙股份</t>
  </si>
  <si>
    <t>桃李面包</t>
  </si>
  <si>
    <t>老百姓</t>
  </si>
  <si>
    <t>元祖股份</t>
  </si>
  <si>
    <t>金徽酒</t>
  </si>
  <si>
    <t>益丰药房</t>
  </si>
  <si>
    <t>国农科技</t>
  </si>
  <si>
    <t>国药一致</t>
  </si>
  <si>
    <t>宜华健康</t>
  </si>
  <si>
    <t>丰原药业</t>
  </si>
  <si>
    <t>东阿阿胶</t>
  </si>
  <si>
    <t>南华生物</t>
  </si>
  <si>
    <t>丽珠集团</t>
  </si>
  <si>
    <t>四环生物</t>
  </si>
  <si>
    <t>云南白药</t>
  </si>
  <si>
    <t>海南海药</t>
  </si>
  <si>
    <t>启迪古汉</t>
  </si>
  <si>
    <t>东北制药</t>
  </si>
  <si>
    <t>吉林敖东</t>
  </si>
  <si>
    <t>仁和药业</t>
  </si>
  <si>
    <t>长春高新</t>
  </si>
  <si>
    <t>贝瑞基因</t>
  </si>
  <si>
    <t>普洛药业</t>
  </si>
  <si>
    <t>新华制药</t>
  </si>
  <si>
    <t>通化金马</t>
  </si>
  <si>
    <t>北大医药</t>
  </si>
  <si>
    <t>泰合健康</t>
  </si>
  <si>
    <t>德展健康</t>
  </si>
  <si>
    <t>景峰医药</t>
  </si>
  <si>
    <t>山大华特</t>
  </si>
  <si>
    <t>金陵药业</t>
  </si>
  <si>
    <t>中关村</t>
  </si>
  <si>
    <t>广济药业</t>
  </si>
  <si>
    <t>九芝堂</t>
  </si>
  <si>
    <t>华润三九</t>
  </si>
  <si>
    <t>新和成</t>
  </si>
  <si>
    <t>华兰生物</t>
  </si>
  <si>
    <t>亿帆医药</t>
  </si>
  <si>
    <t>京新药业</t>
  </si>
  <si>
    <t>科华生物</t>
  </si>
  <si>
    <t>达安基因</t>
  </si>
  <si>
    <t>双鹭药业</t>
  </si>
  <si>
    <t>美年健康</t>
  </si>
  <si>
    <t>海翔药业</t>
  </si>
  <si>
    <t>沃华医药</t>
  </si>
  <si>
    <t>紫鑫药业</t>
  </si>
  <si>
    <t>莱茵生物</t>
  </si>
  <si>
    <t>澳洋健康</t>
  </si>
  <si>
    <t>创新医疗</t>
  </si>
  <si>
    <t>嘉应制药</t>
  </si>
  <si>
    <t>恒康医疗</t>
  </si>
  <si>
    <t>鱼跃医疗</t>
  </si>
  <si>
    <t>上海莱士</t>
  </si>
  <si>
    <t>恩华药业</t>
  </si>
  <si>
    <t>桂林三金</t>
  </si>
  <si>
    <t>奇正藏药</t>
  </si>
  <si>
    <t>信立泰</t>
  </si>
  <si>
    <t>众生药业</t>
  </si>
  <si>
    <t>仙琚制药</t>
  </si>
  <si>
    <t>精华制药</t>
  </si>
  <si>
    <t>永安药业</t>
  </si>
  <si>
    <t>亚太药业</t>
  </si>
  <si>
    <t>蓝帆医疗</t>
  </si>
  <si>
    <t>信邦制药</t>
  </si>
  <si>
    <t>力生制药</t>
  </si>
  <si>
    <t>海普瑞</t>
  </si>
  <si>
    <t>汉森制药</t>
  </si>
  <si>
    <t>科伦药业</t>
  </si>
  <si>
    <t>贵州百灵</t>
  </si>
  <si>
    <t>九安医疗</t>
  </si>
  <si>
    <t>太安堂</t>
  </si>
  <si>
    <t>长江润发</t>
  </si>
  <si>
    <t>誉衡药业</t>
  </si>
  <si>
    <t>千红制药</t>
  </si>
  <si>
    <t>尚荣医疗</t>
  </si>
  <si>
    <t>益盛药业</t>
  </si>
  <si>
    <t>未名医药</t>
  </si>
  <si>
    <t>以岭药业</t>
  </si>
  <si>
    <t>奥佳华</t>
  </si>
  <si>
    <t>金达威</t>
  </si>
  <si>
    <t>佛慈制药</t>
  </si>
  <si>
    <t>海思科</t>
  </si>
  <si>
    <t>东诚药业</t>
  </si>
  <si>
    <t>金河生物</t>
  </si>
  <si>
    <t>双成药业</t>
  </si>
  <si>
    <t>特一药业</t>
  </si>
  <si>
    <t>葵花药业</t>
  </si>
  <si>
    <t>龙津药业</t>
  </si>
  <si>
    <t>康弘药业</t>
  </si>
  <si>
    <t>黄山胶囊</t>
  </si>
  <si>
    <t>凯莱英</t>
  </si>
  <si>
    <t>易明医药</t>
  </si>
  <si>
    <t>盘龙药业</t>
  </si>
  <si>
    <t>绿康生化</t>
  </si>
  <si>
    <t>新天药业</t>
  </si>
  <si>
    <t>卫光生物</t>
  </si>
  <si>
    <t>赛隆药业</t>
  </si>
  <si>
    <t>哈三联</t>
  </si>
  <si>
    <t>大博医疗</t>
  </si>
  <si>
    <t>华森制药</t>
  </si>
  <si>
    <t>润都股份</t>
  </si>
  <si>
    <t>明德生物</t>
  </si>
  <si>
    <t>乐普医疗</t>
  </si>
  <si>
    <t>莱美药业</t>
  </si>
  <si>
    <t>安科生物</t>
  </si>
  <si>
    <t>爱尔眼科</t>
  </si>
  <si>
    <t>北陆药业</t>
  </si>
  <si>
    <t>红日药业</t>
  </si>
  <si>
    <t>阳普医疗</t>
  </si>
  <si>
    <t>上海凯宝</t>
  </si>
  <si>
    <t>福瑞股份</t>
  </si>
  <si>
    <t>康旗股份</t>
  </si>
  <si>
    <t>康芝药业</t>
  </si>
  <si>
    <t>吉药控股</t>
  </si>
  <si>
    <t>华仁药业</t>
  </si>
  <si>
    <t>瑞普生物</t>
  </si>
  <si>
    <t>智飞生物</t>
  </si>
  <si>
    <t>沃森生物</t>
  </si>
  <si>
    <t>星普医科</t>
  </si>
  <si>
    <t>香雪制药</t>
  </si>
  <si>
    <t>量子生物</t>
  </si>
  <si>
    <t>振东制药</t>
  </si>
  <si>
    <t>佐力药业</t>
  </si>
  <si>
    <t>福安药业</t>
  </si>
  <si>
    <t>翰宇药业</t>
  </si>
  <si>
    <t>舒泰神</t>
  </si>
  <si>
    <t>理邦仪器</t>
  </si>
  <si>
    <t>金城医药</t>
  </si>
  <si>
    <t>冠昊生物</t>
  </si>
  <si>
    <t>东宝生物</t>
  </si>
  <si>
    <t>迪安诊断</t>
  </si>
  <si>
    <t>宝莱特</t>
  </si>
  <si>
    <t>仟源医药</t>
  </si>
  <si>
    <t>常山药业</t>
  </si>
  <si>
    <t>尔康制药</t>
  </si>
  <si>
    <t>和佳股份</t>
  </si>
  <si>
    <t>利德曼</t>
  </si>
  <si>
    <t>博雅生物</t>
  </si>
  <si>
    <t>三诺生物</t>
  </si>
  <si>
    <t>戴维医疗</t>
  </si>
  <si>
    <t>博晖创新</t>
  </si>
  <si>
    <t>凯利泰</t>
  </si>
  <si>
    <t>泰格医药</t>
  </si>
  <si>
    <t>我武生物</t>
  </si>
  <si>
    <t>博腾股份</t>
  </si>
  <si>
    <t>溢多利</t>
  </si>
  <si>
    <t>迪瑞医疗</t>
  </si>
  <si>
    <t>花园生物</t>
  </si>
  <si>
    <t>博济医药</t>
  </si>
  <si>
    <t>九强生物</t>
  </si>
  <si>
    <t>广生堂</t>
  </si>
  <si>
    <t>美康生物</t>
  </si>
  <si>
    <t>山河药辅</t>
  </si>
  <si>
    <t>三鑫医疗</t>
  </si>
  <si>
    <t>迈克生物</t>
  </si>
  <si>
    <t>万孚生物</t>
  </si>
  <si>
    <t>赛升药业</t>
  </si>
  <si>
    <t>富祥股份</t>
  </si>
  <si>
    <t>新光药业</t>
  </si>
  <si>
    <t>健帆生物</t>
  </si>
  <si>
    <t>陇神戎发</t>
  </si>
  <si>
    <t>贝达药业</t>
  </si>
  <si>
    <t>乐心医疗</t>
  </si>
  <si>
    <t>兴齐眼药</t>
  </si>
  <si>
    <t>赛托生物</t>
  </si>
  <si>
    <t>海辰药业</t>
  </si>
  <si>
    <t>欧普康视</t>
  </si>
  <si>
    <t>康泰生物</t>
  </si>
  <si>
    <t>普利制药</t>
  </si>
  <si>
    <t>开立医疗</t>
  </si>
  <si>
    <t>同和药业</t>
  </si>
  <si>
    <t>凯普生物</t>
  </si>
  <si>
    <t>透景生命</t>
  </si>
  <si>
    <t>正海生物</t>
  </si>
  <si>
    <t>华大基因</t>
  </si>
  <si>
    <t>英科医疗</t>
  </si>
  <si>
    <t>海特生物</t>
  </si>
  <si>
    <t>艾德生物</t>
  </si>
  <si>
    <t>天宇股份</t>
  </si>
  <si>
    <t>九典制药</t>
  </si>
  <si>
    <t>一品红</t>
  </si>
  <si>
    <t>药石科技</t>
  </si>
  <si>
    <t>万东医疗</t>
  </si>
  <si>
    <t>华润双鹤</t>
  </si>
  <si>
    <t>人福医药</t>
  </si>
  <si>
    <t>金花股份</t>
  </si>
  <si>
    <t>同仁堂</t>
  </si>
  <si>
    <t>同济堂</t>
  </si>
  <si>
    <t>太极集团</t>
  </si>
  <si>
    <t>天坛生物</t>
  </si>
  <si>
    <t>中牧股份</t>
  </si>
  <si>
    <t>复星医药</t>
  </si>
  <si>
    <t>生物股份</t>
  </si>
  <si>
    <t>浙江医药</t>
  </si>
  <si>
    <t>太龙药业</t>
  </si>
  <si>
    <t>圣济堂</t>
  </si>
  <si>
    <t>中恒集团</t>
  </si>
  <si>
    <t>海正药业</t>
  </si>
  <si>
    <t>恒瑞医药</t>
  </si>
  <si>
    <t>羚锐制药</t>
  </si>
  <si>
    <t>安迪苏</t>
  </si>
  <si>
    <t>中新药业</t>
  </si>
  <si>
    <t>白云山</t>
  </si>
  <si>
    <t>亚宝药业</t>
  </si>
  <si>
    <t>健康元</t>
  </si>
  <si>
    <t>现代制药</t>
  </si>
  <si>
    <t>昆药集团</t>
  </si>
  <si>
    <t>片仔癀</t>
  </si>
  <si>
    <t>千金药业</t>
  </si>
  <si>
    <t>天药股份</t>
  </si>
  <si>
    <t>联环药业</t>
  </si>
  <si>
    <t>康美药业</t>
  </si>
  <si>
    <t>华海药业</t>
  </si>
  <si>
    <t>天士力</t>
  </si>
  <si>
    <t>国发股份</t>
  </si>
  <si>
    <t>康缘药业</t>
  </si>
  <si>
    <t>济川药业</t>
  </si>
  <si>
    <t>中珠医疗</t>
  </si>
  <si>
    <t>康恩贝</t>
  </si>
  <si>
    <t>新华医疗</t>
  </si>
  <si>
    <t>益佰制药</t>
  </si>
  <si>
    <t>神奇制药</t>
  </si>
  <si>
    <t>复旦复华</t>
  </si>
  <si>
    <t>中源协和</t>
  </si>
  <si>
    <t>哈药股份</t>
  </si>
  <si>
    <t>天目药业</t>
  </si>
  <si>
    <t>百花村</t>
  </si>
  <si>
    <t>江中药业</t>
  </si>
  <si>
    <t>通策医疗</t>
  </si>
  <si>
    <t>广誉远</t>
  </si>
  <si>
    <t>辅仁药业</t>
  </si>
  <si>
    <t>鲁抗医药</t>
  </si>
  <si>
    <t>华北制药</t>
  </si>
  <si>
    <t>海欣股份</t>
  </si>
  <si>
    <t>通化东宝</t>
  </si>
  <si>
    <t>*ST海投</t>
  </si>
  <si>
    <t>健民集团</t>
  </si>
  <si>
    <t>马应龙</t>
  </si>
  <si>
    <t>圣达生物</t>
  </si>
  <si>
    <t>润达医疗</t>
  </si>
  <si>
    <t>昭衍新药</t>
  </si>
  <si>
    <t>康惠制药</t>
  </si>
  <si>
    <t>莎普爱思</t>
  </si>
  <si>
    <t>济民制药</t>
  </si>
  <si>
    <t>奥翔药业</t>
  </si>
  <si>
    <t>药明康德</t>
  </si>
  <si>
    <t>振德医疗</t>
  </si>
  <si>
    <t>维力医疗</t>
  </si>
  <si>
    <t>辰欣药业</t>
  </si>
  <si>
    <t>基蛋生物</t>
  </si>
  <si>
    <t>九洲药业</t>
  </si>
  <si>
    <t>司太立</t>
  </si>
  <si>
    <t>美诺华</t>
  </si>
  <si>
    <t>普莱柯</t>
  </si>
  <si>
    <t>珍宝岛</t>
  </si>
  <si>
    <t>荣泰健康</t>
  </si>
  <si>
    <t>康辰药业</t>
  </si>
  <si>
    <t>安图生物</t>
  </si>
  <si>
    <t>灵康药业</t>
  </si>
  <si>
    <t>卫信康</t>
  </si>
  <si>
    <t>健友股份</t>
  </si>
  <si>
    <t>塞力斯</t>
  </si>
  <si>
    <t>海利生物</t>
  </si>
  <si>
    <t>诚意药业</t>
  </si>
  <si>
    <t>步长制药</t>
  </si>
  <si>
    <t>南卫股份</t>
  </si>
  <si>
    <t>金域医学</t>
  </si>
  <si>
    <t>寿仙谷</t>
  </si>
  <si>
    <t>大理药业</t>
  </si>
  <si>
    <t>康德莱</t>
  </si>
  <si>
    <t>方盛制药</t>
  </si>
  <si>
    <t>平安银行</t>
  </si>
  <si>
    <t>申万宏源</t>
  </si>
  <si>
    <t>民生控股</t>
  </si>
  <si>
    <t>陕国投A</t>
  </si>
  <si>
    <t>海德股份</t>
  </si>
  <si>
    <t>中油资本</t>
  </si>
  <si>
    <t>天茂集团</t>
  </si>
  <si>
    <t>东北证券</t>
  </si>
  <si>
    <t>锦龙股份</t>
  </si>
  <si>
    <t>国元证券</t>
  </si>
  <si>
    <t>国海证券</t>
  </si>
  <si>
    <t>广发证券</t>
  </si>
  <si>
    <t>长江证券</t>
  </si>
  <si>
    <t>越秀金控</t>
  </si>
  <si>
    <t>宁波银行</t>
  </si>
  <si>
    <t>深南股份</t>
  </si>
  <si>
    <t>山西证券</t>
  </si>
  <si>
    <t>江苏国信</t>
  </si>
  <si>
    <t>国盛金控</t>
  </si>
  <si>
    <t>西部证券</t>
  </si>
  <si>
    <t>国信证券</t>
  </si>
  <si>
    <t>第一创业</t>
  </si>
  <si>
    <t>江阴银行</t>
  </si>
  <si>
    <t>张家港行</t>
  </si>
  <si>
    <t>华西证券</t>
  </si>
  <si>
    <t>郑州银行</t>
  </si>
  <si>
    <t>东方财富</t>
  </si>
  <si>
    <t>吉艾科技</t>
  </si>
  <si>
    <t>浦发银行</t>
  </si>
  <si>
    <t>华夏银行</t>
  </si>
  <si>
    <t>民生银行</t>
  </si>
  <si>
    <t>中信证券</t>
  </si>
  <si>
    <t>招商银行</t>
  </si>
  <si>
    <t>九鼎投资</t>
  </si>
  <si>
    <t>国投资本</t>
  </si>
  <si>
    <t>国金证券</t>
  </si>
  <si>
    <t>华创阳安</t>
  </si>
  <si>
    <t>西水股份</t>
  </si>
  <si>
    <t>新力金融</t>
  </si>
  <si>
    <t>西南证券</t>
  </si>
  <si>
    <t>五矿资本</t>
  </si>
  <si>
    <t>熊猫金控</t>
  </si>
  <si>
    <t>华鑫股份</t>
  </si>
  <si>
    <t>爱建集团</t>
  </si>
  <si>
    <t>绿庭投资</t>
  </si>
  <si>
    <t>中航资本</t>
  </si>
  <si>
    <t>安信信托</t>
  </si>
  <si>
    <t>海通证券</t>
  </si>
  <si>
    <t>哈投股份</t>
  </si>
  <si>
    <t>江苏租赁</t>
  </si>
  <si>
    <t>无锡银行</t>
  </si>
  <si>
    <t>华安证券</t>
  </si>
  <si>
    <t>江苏银行</t>
  </si>
  <si>
    <t>杭州银行</t>
  </si>
  <si>
    <t>东方证券</t>
  </si>
  <si>
    <t>招商证券</t>
  </si>
  <si>
    <t>南京银行</t>
  </si>
  <si>
    <t>中信建投</t>
  </si>
  <si>
    <t>太平洋</t>
  </si>
  <si>
    <t>财通证券</t>
  </si>
  <si>
    <t>常熟银行</t>
  </si>
  <si>
    <t>兴业银行</t>
  </si>
  <si>
    <t>北京银行</t>
  </si>
  <si>
    <t>东兴证券</t>
  </si>
  <si>
    <t>国泰君安</t>
  </si>
  <si>
    <t>上海银行</t>
  </si>
  <si>
    <t>农业银行</t>
  </si>
  <si>
    <t>中国平安</t>
  </si>
  <si>
    <t>交通银行</t>
  </si>
  <si>
    <t>新华保险</t>
  </si>
  <si>
    <t>中原证券</t>
  </si>
  <si>
    <t>兴业证券</t>
  </si>
  <si>
    <t>工商银行</t>
  </si>
  <si>
    <t>东吴证券</t>
  </si>
  <si>
    <t>长沙银行</t>
  </si>
  <si>
    <t>中国太保</t>
  </si>
  <si>
    <t>中国人寿</t>
  </si>
  <si>
    <t>华泰证券</t>
  </si>
  <si>
    <t>光大证券</t>
  </si>
  <si>
    <t>光大银行</t>
  </si>
  <si>
    <t>成都银行</t>
  </si>
  <si>
    <t>浙商证券</t>
  </si>
  <si>
    <t>中国银河</t>
  </si>
  <si>
    <t>方正证券</t>
  </si>
  <si>
    <t>建设银行</t>
  </si>
  <si>
    <t>中国银行</t>
  </si>
  <si>
    <t>南京证券</t>
  </si>
  <si>
    <t>贵阳银行</t>
  </si>
  <si>
    <t>中信银行</t>
  </si>
  <si>
    <t>吴江银行</t>
  </si>
  <si>
    <t>深科技</t>
  </si>
  <si>
    <t>深桑达A</t>
  </si>
  <si>
    <t>神州数码</t>
  </si>
  <si>
    <t>深纺织A</t>
  </si>
  <si>
    <t>深天马A</t>
  </si>
  <si>
    <t>中兴通讯</t>
  </si>
  <si>
    <t>中国长城</t>
  </si>
  <si>
    <t>特发信息</t>
  </si>
  <si>
    <t>东旭光电</t>
  </si>
  <si>
    <t>国新健康</t>
  </si>
  <si>
    <t>华金资本</t>
  </si>
  <si>
    <t>华映科技</t>
  </si>
  <si>
    <t>神州信息</t>
  </si>
  <si>
    <t>烽火电子</t>
  </si>
  <si>
    <t>汇源通信</t>
  </si>
  <si>
    <t>顺利办</t>
  </si>
  <si>
    <t>风华高科</t>
  </si>
  <si>
    <t>天夏智慧</t>
  </si>
  <si>
    <t>盈方微</t>
  </si>
  <si>
    <t>智度股份</t>
  </si>
  <si>
    <t>京东方A</t>
  </si>
  <si>
    <t>华东科技</t>
  </si>
  <si>
    <t>振华科技</t>
  </si>
  <si>
    <t>超声电子</t>
  </si>
  <si>
    <t>天音控股</t>
  </si>
  <si>
    <t>长城动漫</t>
  </si>
  <si>
    <t>紫光股份</t>
  </si>
  <si>
    <t>南天信息</t>
  </si>
  <si>
    <t>高升控股</t>
  </si>
  <si>
    <t>浪潮信息</t>
  </si>
  <si>
    <t>华工科技</t>
  </si>
  <si>
    <t>新大陆</t>
  </si>
  <si>
    <t>德豪润达</t>
  </si>
  <si>
    <t>大族激光</t>
  </si>
  <si>
    <t>东信和平</t>
  </si>
  <si>
    <t>航天电器</t>
  </si>
  <si>
    <t>联创电子</t>
  </si>
  <si>
    <t>紫光国微</t>
  </si>
  <si>
    <t>得润电子</t>
  </si>
  <si>
    <t>远光软件</t>
  </si>
  <si>
    <t>东华软件</t>
  </si>
  <si>
    <t>凯瑞德</t>
  </si>
  <si>
    <t>苏州固锝</t>
  </si>
  <si>
    <t>新海宜</t>
  </si>
  <si>
    <t>国脉科技</t>
  </si>
  <si>
    <t>生意宝</t>
  </si>
  <si>
    <t>广博股份</t>
  </si>
  <si>
    <t>恒宝股份</t>
  </si>
  <si>
    <t>莱宝高科</t>
  </si>
  <si>
    <t>天润数娱</t>
  </si>
  <si>
    <t>康强电子</t>
  </si>
  <si>
    <t>梦网集团</t>
  </si>
  <si>
    <t>中环股份</t>
  </si>
  <si>
    <t>天津普林</t>
  </si>
  <si>
    <t>顺络电子</t>
  </si>
  <si>
    <t>拓邦股份</t>
  </si>
  <si>
    <t>北纬科技</t>
  </si>
  <si>
    <t>广电运通</t>
  </si>
  <si>
    <t>石基信息</t>
  </si>
  <si>
    <t>通富微电</t>
  </si>
  <si>
    <t>远望谷</t>
  </si>
  <si>
    <t>游族网络</t>
  </si>
  <si>
    <t>御银股份</t>
  </si>
  <si>
    <t>延华智能</t>
  </si>
  <si>
    <t>中航光电</t>
  </si>
  <si>
    <t>纳思达</t>
  </si>
  <si>
    <t>华天科技</t>
  </si>
  <si>
    <t>利达光电</t>
  </si>
  <si>
    <t>*ST凡谷</t>
  </si>
  <si>
    <t>二三四五</t>
  </si>
  <si>
    <t>证通电子</t>
  </si>
  <si>
    <t>东晶电子</t>
  </si>
  <si>
    <t>大立科技</t>
  </si>
  <si>
    <t>合力泰</t>
  </si>
  <si>
    <t>拓日新能</t>
  </si>
  <si>
    <t>福晶科技</t>
  </si>
  <si>
    <t>科大讯飞</t>
  </si>
  <si>
    <t>奥维通信</t>
  </si>
  <si>
    <t>启明信息</t>
  </si>
  <si>
    <t>安妮股份</t>
  </si>
  <si>
    <t>大华股份</t>
  </si>
  <si>
    <t>歌尔股份</t>
  </si>
  <si>
    <t>川大智胜</t>
  </si>
  <si>
    <t>卫士通</t>
  </si>
  <si>
    <t>水晶光电</t>
  </si>
  <si>
    <t>久其软件</t>
  </si>
  <si>
    <t>联络互动</t>
  </si>
  <si>
    <t>光迅科技</t>
  </si>
  <si>
    <t>超华科技</t>
  </si>
  <si>
    <t>宇顺电子</t>
  </si>
  <si>
    <t>辉煌科技</t>
  </si>
  <si>
    <t>中电兴发</t>
  </si>
  <si>
    <t>威创股份</t>
  </si>
  <si>
    <t>三泰控股</t>
  </si>
  <si>
    <t>日海智能</t>
  </si>
  <si>
    <t>焦点科技</t>
  </si>
  <si>
    <t>亚联发展</t>
  </si>
  <si>
    <t>皖通科技</t>
  </si>
  <si>
    <t>天神娱乐</t>
  </si>
  <si>
    <t>汉王科技</t>
  </si>
  <si>
    <t>太极股份</t>
  </si>
  <si>
    <t>卓翼科技</t>
  </si>
  <si>
    <t>北方华创</t>
  </si>
  <si>
    <t>千方科技</t>
  </si>
  <si>
    <t>新北洋</t>
  </si>
  <si>
    <t>东山精密</t>
  </si>
  <si>
    <t>维信诺</t>
  </si>
  <si>
    <t>新亚制程</t>
  </si>
  <si>
    <t>星网锐捷</t>
  </si>
  <si>
    <t>中远海科</t>
  </si>
  <si>
    <t>和而泰</t>
  </si>
  <si>
    <t>四维图新</t>
  </si>
  <si>
    <t>广联达</t>
  </si>
  <si>
    <t>高德红外</t>
  </si>
  <si>
    <t>海康威视</t>
  </si>
  <si>
    <t>爱施德</t>
  </si>
  <si>
    <t>达实智能</t>
  </si>
  <si>
    <t>凯撒文化</t>
  </si>
  <si>
    <t>胜利精密</t>
  </si>
  <si>
    <t>兴森科技</t>
  </si>
  <si>
    <t>启明星辰</t>
  </si>
  <si>
    <t>盛路通信</t>
  </si>
  <si>
    <t>国星光电</t>
  </si>
  <si>
    <t>华软科技</t>
  </si>
  <si>
    <t>欧菲科技</t>
  </si>
  <si>
    <t>沪电股份</t>
  </si>
  <si>
    <t>众应互联</t>
  </si>
  <si>
    <t>海格通信</t>
  </si>
  <si>
    <t>榕基软件</t>
  </si>
  <si>
    <t>立讯精密</t>
  </si>
  <si>
    <t>江海股份</t>
  </si>
  <si>
    <t>通鼎互联</t>
  </si>
  <si>
    <t>协鑫集成</t>
  </si>
  <si>
    <t>恺英网络</t>
  </si>
  <si>
    <t>英飞拓</t>
  </si>
  <si>
    <t>金财互联</t>
  </si>
  <si>
    <t>杰赛科技</t>
  </si>
  <si>
    <t>三七互娱</t>
  </si>
  <si>
    <t>巨人网络</t>
  </si>
  <si>
    <t>雷柏科技</t>
  </si>
  <si>
    <t>中京电子</t>
  </si>
  <si>
    <t>海能达</t>
  </si>
  <si>
    <t>奥拓电子</t>
  </si>
  <si>
    <t>领益智造</t>
  </si>
  <si>
    <t>捷顺科技</t>
  </si>
  <si>
    <t>爱康科技</t>
  </si>
  <si>
    <t>丹邦科技</t>
  </si>
  <si>
    <t>艾格拉斯</t>
  </si>
  <si>
    <t>亚玛顿</t>
  </si>
  <si>
    <t>完美世界</t>
  </si>
  <si>
    <t>安洁科技</t>
  </si>
  <si>
    <t>金安国纪</t>
  </si>
  <si>
    <t>荣之联</t>
  </si>
  <si>
    <t>仁东控股</t>
  </si>
  <si>
    <t>博彦科技</t>
  </si>
  <si>
    <t>万润科技</t>
  </si>
  <si>
    <t>共达电声</t>
  </si>
  <si>
    <t>中科金财</t>
  </si>
  <si>
    <t>雪迪龙</t>
  </si>
  <si>
    <t>木林森</t>
  </si>
  <si>
    <t>真视通</t>
  </si>
  <si>
    <t>久远银海</t>
  </si>
  <si>
    <t>可立克</t>
  </si>
  <si>
    <t>通宇通讯</t>
  </si>
  <si>
    <t>路畅科技</t>
  </si>
  <si>
    <t>崇达技术</t>
  </si>
  <si>
    <t>东方中科</t>
  </si>
  <si>
    <t>同为股份</t>
  </si>
  <si>
    <t>视源股份</t>
  </si>
  <si>
    <t>同兴达</t>
  </si>
  <si>
    <t>捷荣技术</t>
  </si>
  <si>
    <t>洁美科技</t>
  </si>
  <si>
    <t>瀛通通讯</t>
  </si>
  <si>
    <t>传艺科技</t>
  </si>
  <si>
    <t>金溢科技</t>
  </si>
  <si>
    <t>三利谱</t>
  </si>
  <si>
    <t>美格智能</t>
  </si>
  <si>
    <t>京泉华</t>
  </si>
  <si>
    <t>意华股份</t>
  </si>
  <si>
    <t>铭普光磁</t>
  </si>
  <si>
    <t>德生科技</t>
  </si>
  <si>
    <t>中新赛克</t>
  </si>
  <si>
    <t>奥士康</t>
  </si>
  <si>
    <t>深南电路</t>
  </si>
  <si>
    <t>盈趣科技</t>
  </si>
  <si>
    <t>润建通信</t>
  </si>
  <si>
    <t>兴瑞科技</t>
  </si>
  <si>
    <t>鹏鼎控股</t>
  </si>
  <si>
    <t>神州泰岳</t>
  </si>
  <si>
    <t>汉威科技</t>
  </si>
  <si>
    <t>立思辰</t>
  </si>
  <si>
    <t>网宿科技</t>
  </si>
  <si>
    <t>银江股份</t>
  </si>
  <si>
    <t>华星创业</t>
  </si>
  <si>
    <t>天龙光电</t>
  </si>
  <si>
    <t>宝通科技</t>
  </si>
  <si>
    <t>金龙机电</t>
  </si>
  <si>
    <t>同花顺</t>
  </si>
  <si>
    <t>超图软件</t>
  </si>
  <si>
    <t>朗科科技</t>
  </si>
  <si>
    <t>赛为智能</t>
  </si>
  <si>
    <t>华力创通</t>
  </si>
  <si>
    <t>台基股份</t>
  </si>
  <si>
    <t>天源迪科</t>
  </si>
  <si>
    <t>世纪鼎利</t>
  </si>
  <si>
    <t>三五互联</t>
  </si>
  <si>
    <t>中青宝</t>
  </si>
  <si>
    <t>欧比特</t>
  </si>
  <si>
    <t>海兰信</t>
  </si>
  <si>
    <t>华平股份</t>
  </si>
  <si>
    <t>数字政通</t>
  </si>
  <si>
    <t>GQY视讯</t>
  </si>
  <si>
    <t>国民技术</t>
  </si>
  <si>
    <t>思创医惠</t>
  </si>
  <si>
    <t>数码科技</t>
  </si>
  <si>
    <t>易成新能</t>
  </si>
  <si>
    <t>恒信东方</t>
  </si>
  <si>
    <t>劲胜智能</t>
  </si>
  <si>
    <t>银之杰</t>
  </si>
  <si>
    <t>长信科技</t>
  </si>
  <si>
    <t>易联众</t>
  </si>
  <si>
    <t>高新兴</t>
  </si>
  <si>
    <t>精准信息</t>
  </si>
  <si>
    <t>乾照光电</t>
  </si>
  <si>
    <t>乐视网</t>
  </si>
  <si>
    <t>向日葵</t>
  </si>
  <si>
    <t>顺网科技</t>
  </si>
  <si>
    <t>中航电测</t>
  </si>
  <si>
    <t>长盈精密</t>
  </si>
  <si>
    <t>东方日升</t>
  </si>
  <si>
    <t>经纬辉开</t>
  </si>
  <si>
    <t>锦富技术</t>
  </si>
  <si>
    <t>新国都</t>
  </si>
  <si>
    <t>英唐智控</t>
  </si>
  <si>
    <t>大富科技</t>
  </si>
  <si>
    <t>信维通信</t>
  </si>
  <si>
    <t>先河环保</t>
  </si>
  <si>
    <t>晓程科技</t>
  </si>
  <si>
    <t>世纪瑞尔</t>
  </si>
  <si>
    <t>安居宝</t>
  </si>
  <si>
    <t>雷曼股份</t>
  </si>
  <si>
    <t>天瑞仪器</t>
  </si>
  <si>
    <t>东方国信</t>
  </si>
  <si>
    <t>迪威迅</t>
  </si>
  <si>
    <t>万达信息</t>
  </si>
  <si>
    <t>汉得信息</t>
  </si>
  <si>
    <t>捷成股份</t>
  </si>
  <si>
    <t>东软载波</t>
  </si>
  <si>
    <t>力源信息</t>
  </si>
  <si>
    <t>美亚柏科</t>
  </si>
  <si>
    <t>聚龙股份</t>
  </si>
  <si>
    <t>聚光科技</t>
  </si>
  <si>
    <t>天喻信息</t>
  </si>
  <si>
    <t>天泽信息</t>
  </si>
  <si>
    <t>亿通科技</t>
  </si>
  <si>
    <t>易华录</t>
  </si>
  <si>
    <t>佳讯飞鸿</t>
  </si>
  <si>
    <t>鸿利智汇</t>
  </si>
  <si>
    <t>金运激光</t>
  </si>
  <si>
    <t>北京君正</t>
  </si>
  <si>
    <t>上海钢联</t>
  </si>
  <si>
    <t>光韵达</t>
  </si>
  <si>
    <t>拓尔思</t>
  </si>
  <si>
    <t>银信科技</t>
  </si>
  <si>
    <t>洲明科技</t>
  </si>
  <si>
    <t>方直科技</t>
  </si>
  <si>
    <t>瑞丰光电</t>
  </si>
  <si>
    <t>天玑科技</t>
  </si>
  <si>
    <t>新开普</t>
  </si>
  <si>
    <t>初灵信息</t>
  </si>
  <si>
    <t>金信诺</t>
  </si>
  <si>
    <t>卫宁健康</t>
  </si>
  <si>
    <t>星星科技</t>
  </si>
  <si>
    <t>佳创视讯</t>
  </si>
  <si>
    <t>中威电子</t>
  </si>
  <si>
    <t>华宇软件</t>
  </si>
  <si>
    <t>梅安森</t>
  </si>
  <si>
    <t>海联讯</t>
  </si>
  <si>
    <t>和晶科技</t>
  </si>
  <si>
    <t>飞利信</t>
  </si>
  <si>
    <t>朗玛信息</t>
  </si>
  <si>
    <t>荣科科技</t>
  </si>
  <si>
    <t>吴通控股</t>
  </si>
  <si>
    <t>三六五网</t>
  </si>
  <si>
    <t>利亚德</t>
  </si>
  <si>
    <t>蓝盾股份</t>
  </si>
  <si>
    <t>富春股份</t>
  </si>
  <si>
    <t>汉鼎宇佑</t>
  </si>
  <si>
    <t>长方集团</t>
  </si>
  <si>
    <t>同有科技</t>
  </si>
  <si>
    <t>聚飞光电</t>
  </si>
  <si>
    <t>宜通世纪</t>
  </si>
  <si>
    <t>任子行</t>
  </si>
  <si>
    <t>邦讯技术</t>
  </si>
  <si>
    <t>掌趣科技</t>
  </si>
  <si>
    <t>晶盛机电</t>
  </si>
  <si>
    <t>麦捷科技</t>
  </si>
  <si>
    <t>硕贝德</t>
  </si>
  <si>
    <t>华灿光电</t>
  </si>
  <si>
    <t>旋极信息</t>
  </si>
  <si>
    <t>中颖电子</t>
  </si>
  <si>
    <t>华虹计通</t>
  </si>
  <si>
    <t>苏大维格</t>
  </si>
  <si>
    <t>兆日科技</t>
  </si>
  <si>
    <t>润和软件</t>
  </si>
  <si>
    <t>南大光电</t>
  </si>
  <si>
    <t>长亮科技</t>
  </si>
  <si>
    <t>永贵电器</t>
  </si>
  <si>
    <t>北信源</t>
  </si>
  <si>
    <t>东土科技</t>
  </si>
  <si>
    <t>东华测试</t>
  </si>
  <si>
    <t>恒华科技</t>
  </si>
  <si>
    <t>创意信息</t>
  </si>
  <si>
    <t>东方网力</t>
  </si>
  <si>
    <t>汇金股份</t>
  </si>
  <si>
    <t>绿盟科技</t>
  </si>
  <si>
    <t>扬杰科技</t>
  </si>
  <si>
    <t>赢时胜</t>
  </si>
  <si>
    <t>鼎捷软件</t>
  </si>
  <si>
    <t>东方通</t>
  </si>
  <si>
    <t>安硕信息</t>
  </si>
  <si>
    <t>光环新网</t>
  </si>
  <si>
    <t>飞天诚信</t>
  </si>
  <si>
    <t>艾比森</t>
  </si>
  <si>
    <t>天华超净</t>
  </si>
  <si>
    <t>中来股份</t>
  </si>
  <si>
    <t>天孚通信</t>
  </si>
  <si>
    <t>京天利</t>
  </si>
  <si>
    <t>三环集团</t>
  </si>
  <si>
    <t>正业科技</t>
  </si>
  <si>
    <t>南华仪器</t>
  </si>
  <si>
    <t>昆仑万维</t>
  </si>
  <si>
    <t>浩丰科技</t>
  </si>
  <si>
    <t>暴风集团</t>
  </si>
  <si>
    <t>蓝思科技</t>
  </si>
  <si>
    <t>运达科技</t>
  </si>
  <si>
    <t>浩云科技</t>
  </si>
  <si>
    <t>汉邦高科</t>
  </si>
  <si>
    <t>深信服</t>
  </si>
  <si>
    <t>康拓红外</t>
  </si>
  <si>
    <t>耐威科技</t>
  </si>
  <si>
    <t>全志科技</t>
  </si>
  <si>
    <t>金科文化</t>
  </si>
  <si>
    <t>惠伦晶体</t>
  </si>
  <si>
    <t>华铭智能</t>
  </si>
  <si>
    <t>高伟达</t>
  </si>
  <si>
    <t>迅游科技</t>
  </si>
  <si>
    <t>四方精创</t>
  </si>
  <si>
    <t>信息发展</t>
  </si>
  <si>
    <t>胜宏科技</t>
  </si>
  <si>
    <t>神思电子</t>
  </si>
  <si>
    <t>润欣科技</t>
  </si>
  <si>
    <t>盛天网络</t>
  </si>
  <si>
    <t>中科创达</t>
  </si>
  <si>
    <t>新易盛</t>
  </si>
  <si>
    <t>天邑股份</t>
  </si>
  <si>
    <t>恒泰实达</t>
  </si>
  <si>
    <t>友讯达</t>
  </si>
  <si>
    <t>久之洋</t>
  </si>
  <si>
    <t>盛讯达</t>
  </si>
  <si>
    <t>科大国创</t>
  </si>
  <si>
    <t>辰安科技</t>
  </si>
  <si>
    <t>博思软件</t>
  </si>
  <si>
    <t>优博讯</t>
  </si>
  <si>
    <t>冰川网络</t>
  </si>
  <si>
    <t>先进数通</t>
  </si>
  <si>
    <t>新晨科技</t>
  </si>
  <si>
    <t>朗科智能</t>
  </si>
  <si>
    <t>雄帝科技</t>
  </si>
  <si>
    <t>博创科技</t>
  </si>
  <si>
    <t>和仁科技</t>
  </si>
  <si>
    <t>古鳌科技</t>
  </si>
  <si>
    <t>万集科技</t>
  </si>
  <si>
    <t>集智股份</t>
  </si>
  <si>
    <t>路通视信</t>
  </si>
  <si>
    <t>丝路视觉</t>
  </si>
  <si>
    <t>理工光科</t>
  </si>
  <si>
    <t>佳发教育</t>
  </si>
  <si>
    <t>中富通</t>
  </si>
  <si>
    <t>汇金科技</t>
  </si>
  <si>
    <t>神宇股份</t>
  </si>
  <si>
    <t>科信技术</t>
  </si>
  <si>
    <t>激智科技</t>
  </si>
  <si>
    <t>精测电子</t>
  </si>
  <si>
    <t>太辰光</t>
  </si>
  <si>
    <t>平治信息</t>
  </si>
  <si>
    <t>安车检测</t>
  </si>
  <si>
    <t>数字认证</t>
  </si>
  <si>
    <t>熙菱信息</t>
  </si>
  <si>
    <t>移为通信</t>
  </si>
  <si>
    <t>吉大通信</t>
  </si>
  <si>
    <t>诚迈科技</t>
  </si>
  <si>
    <t>飞荣达</t>
  </si>
  <si>
    <t>立昂技术</t>
  </si>
  <si>
    <t>恒锋信息</t>
  </si>
  <si>
    <t>思特奇</t>
  </si>
  <si>
    <t>汇纳科技</t>
  </si>
  <si>
    <t>富瀚微</t>
  </si>
  <si>
    <t>欣天科技</t>
  </si>
  <si>
    <t>光库科技</t>
  </si>
  <si>
    <t>捷捷微电</t>
  </si>
  <si>
    <t>万兴科技</t>
  </si>
  <si>
    <t>亿联网络</t>
  </si>
  <si>
    <t>光莆股份</t>
  </si>
  <si>
    <t>彩讯股份</t>
  </si>
  <si>
    <t>广和通</t>
  </si>
  <si>
    <t>正元智慧</t>
  </si>
  <si>
    <t>超频三</t>
  </si>
  <si>
    <t>民德电子</t>
  </si>
  <si>
    <t>弘信电子</t>
  </si>
  <si>
    <t>中孚信息</t>
  </si>
  <si>
    <t>圣邦股份</t>
  </si>
  <si>
    <t>科蓝软件</t>
  </si>
  <si>
    <t>江丰电子</t>
  </si>
  <si>
    <t>必创科技</t>
  </si>
  <si>
    <t>富满电子</t>
  </si>
  <si>
    <t>国科微</t>
  </si>
  <si>
    <t>中科信息</t>
  </si>
  <si>
    <t>电连技术</t>
  </si>
  <si>
    <t>朗新科技</t>
  </si>
  <si>
    <t>智动力</t>
  </si>
  <si>
    <t>赛意信息</t>
  </si>
  <si>
    <t>澄天伟业</t>
  </si>
  <si>
    <t>联合光电</t>
  </si>
  <si>
    <t>万马科技</t>
  </si>
  <si>
    <t>森霸传感</t>
  </si>
  <si>
    <t>阿石创</t>
  </si>
  <si>
    <t>聚灿光电</t>
  </si>
  <si>
    <t>精研科技</t>
  </si>
  <si>
    <t>万隆光电</t>
  </si>
  <si>
    <t>广哈通信</t>
  </si>
  <si>
    <t>捷佳伟创</t>
  </si>
  <si>
    <t>宏达电子</t>
  </si>
  <si>
    <t>科创信息</t>
  </si>
  <si>
    <t>光弘科技</t>
  </si>
  <si>
    <t>奥飞数据</t>
  </si>
  <si>
    <t>明阳电路</t>
  </si>
  <si>
    <t>天地数码</t>
  </si>
  <si>
    <t>锐科激光</t>
  </si>
  <si>
    <t>*ST保千</t>
  </si>
  <si>
    <t>同方股份</t>
  </si>
  <si>
    <t>永鼎股份</t>
  </si>
  <si>
    <t>波导股份</t>
  </si>
  <si>
    <t>航天机电</t>
  </si>
  <si>
    <t>上海贝岭</t>
  </si>
  <si>
    <t>生益科技</t>
  </si>
  <si>
    <t>*ST大唐</t>
  </si>
  <si>
    <t>福日电子</t>
  </si>
  <si>
    <t>铜峰电子</t>
  </si>
  <si>
    <t>中昌数据</t>
  </si>
  <si>
    <t>凯乐科技</t>
  </si>
  <si>
    <t>航天信息</t>
  </si>
  <si>
    <t>大恒科技</t>
  </si>
  <si>
    <t>*ST信通</t>
  </si>
  <si>
    <t>长江通信</t>
  </si>
  <si>
    <t>旭光股份</t>
  </si>
  <si>
    <t>精伦电子</t>
  </si>
  <si>
    <t>华微电子</t>
  </si>
  <si>
    <t>联创光电</t>
  </si>
  <si>
    <t>*ST海润</t>
  </si>
  <si>
    <t>华胜天成</t>
  </si>
  <si>
    <t>金证股份</t>
  </si>
  <si>
    <t>士兰微</t>
  </si>
  <si>
    <t>湘邮科技</t>
  </si>
  <si>
    <t>信威集团</t>
  </si>
  <si>
    <t>亨通光电</t>
  </si>
  <si>
    <t>烽火通信</t>
  </si>
  <si>
    <t>中天科技</t>
  </si>
  <si>
    <t>中国软件</t>
  </si>
  <si>
    <t>亿晶光电</t>
  </si>
  <si>
    <t>凯盛科技</t>
  </si>
  <si>
    <t>ST慧球</t>
  </si>
  <si>
    <t>法拉电子</t>
  </si>
  <si>
    <t>恒生电子</t>
  </si>
  <si>
    <t>信雅达</t>
  </si>
  <si>
    <t>长电科技</t>
  </si>
  <si>
    <t>用友网络</t>
  </si>
  <si>
    <t>云赛智联</t>
  </si>
  <si>
    <t>*ST富控</t>
  </si>
  <si>
    <t>号百控股</t>
  </si>
  <si>
    <t>游久游戏</t>
  </si>
  <si>
    <t>ST中安</t>
  </si>
  <si>
    <t>太极实业</t>
  </si>
  <si>
    <t>*ST上普</t>
  </si>
  <si>
    <t>*ST工新</t>
  </si>
  <si>
    <t>三安光电</t>
  </si>
  <si>
    <t>彩虹股份</t>
  </si>
  <si>
    <t>东软集团</t>
  </si>
  <si>
    <t>佳都科技</t>
  </si>
  <si>
    <t>实达集团</t>
  </si>
  <si>
    <t>闻泰科技</t>
  </si>
  <si>
    <t>浪潮软件</t>
  </si>
  <si>
    <t>ST运盛</t>
  </si>
  <si>
    <t>南京熊猫</t>
  </si>
  <si>
    <t>东方通信</t>
  </si>
  <si>
    <t>浙大网新</t>
  </si>
  <si>
    <t>宝信软件</t>
  </si>
  <si>
    <t>华东电脑</t>
  </si>
  <si>
    <t>航天长峰</t>
  </si>
  <si>
    <t>洛阳玻璃</t>
  </si>
  <si>
    <t>国美通讯</t>
  </si>
  <si>
    <t>科达股份</t>
  </si>
  <si>
    <t>隆基股份</t>
  </si>
  <si>
    <t>工业富联</t>
  </si>
  <si>
    <t>环旭电子</t>
  </si>
  <si>
    <t>三六零</t>
  </si>
  <si>
    <t>大智慧</t>
  </si>
  <si>
    <t>长飞光纤</t>
  </si>
  <si>
    <t>京运通</t>
  </si>
  <si>
    <t>人民网</t>
  </si>
  <si>
    <t>晶方科技</t>
  </si>
  <si>
    <t>中科曙光</t>
  </si>
  <si>
    <t>泛微网络</t>
  </si>
  <si>
    <t>华脉科技</t>
  </si>
  <si>
    <t>剑桥科技</t>
  </si>
  <si>
    <t>芯能科技</t>
  </si>
  <si>
    <t>恒银金融</t>
  </si>
  <si>
    <t>共进股份</t>
  </si>
  <si>
    <t>碳元科技</t>
  </si>
  <si>
    <t>海量数据</t>
  </si>
  <si>
    <t>汇顶科技</t>
  </si>
  <si>
    <t>华正新材</t>
  </si>
  <si>
    <t>网达软件</t>
  </si>
  <si>
    <t>景旺电子</t>
  </si>
  <si>
    <t>格尔软件</t>
  </si>
  <si>
    <t>电魂网络</t>
  </si>
  <si>
    <t>超讯通信</t>
  </si>
  <si>
    <t>依顿电子</t>
  </si>
  <si>
    <t>易德龙</t>
  </si>
  <si>
    <t>顶点软件</t>
  </si>
  <si>
    <t>广东骏亚</t>
  </si>
  <si>
    <t>鼎信通讯</t>
  </si>
  <si>
    <t>吉比特</t>
  </si>
  <si>
    <t>恒为科技</t>
  </si>
  <si>
    <t>韦尔股份</t>
  </si>
  <si>
    <t>思维列控</t>
  </si>
  <si>
    <t>淳中科技</t>
  </si>
  <si>
    <t>多伦科技</t>
  </si>
  <si>
    <t>中通国脉</t>
  </si>
  <si>
    <t>东尼电子</t>
  </si>
  <si>
    <t>纵横通信</t>
  </si>
  <si>
    <t>科森科技</t>
  </si>
  <si>
    <t>徕木股份</t>
  </si>
  <si>
    <t>南威软件</t>
  </si>
  <si>
    <t>苏州科达</t>
  </si>
  <si>
    <t>火炬电子</t>
  </si>
  <si>
    <t>七一二</t>
  </si>
  <si>
    <t>泰晶科技</t>
  </si>
  <si>
    <t>沃格光电</t>
  </si>
  <si>
    <t>瑞斯康达</t>
  </si>
  <si>
    <t>福斯特</t>
  </si>
  <si>
    <t>新智认知</t>
  </si>
  <si>
    <t>数据港</t>
  </si>
  <si>
    <t>新华网</t>
  </si>
  <si>
    <t>春秋电子</t>
  </si>
  <si>
    <t>金桥信息</t>
  </si>
  <si>
    <t>世运电路</t>
  </si>
  <si>
    <t>博敏电子</t>
  </si>
  <si>
    <t>兆易创新</t>
  </si>
  <si>
    <t>艾华集团</t>
  </si>
  <si>
    <t>麦迪科技</t>
  </si>
  <si>
    <t>二六三</t>
  </si>
  <si>
    <t>会畅通讯</t>
  </si>
  <si>
    <t>中国联通</t>
  </si>
  <si>
    <t>鹏博士</t>
  </si>
  <si>
    <t>深圳能源</t>
  </si>
  <si>
    <t>深南电A</t>
  </si>
  <si>
    <t>东旭蓝天</t>
  </si>
  <si>
    <t>胜利股份</t>
  </si>
  <si>
    <t>南京公用</t>
  </si>
  <si>
    <t>穗恒运A</t>
  </si>
  <si>
    <t>粤电力A</t>
  </si>
  <si>
    <t>皖能电力</t>
  </si>
  <si>
    <t>中原环保</t>
  </si>
  <si>
    <t>太阳能</t>
  </si>
  <si>
    <t>大通燃气</t>
  </si>
  <si>
    <t>兴蓉环境</t>
  </si>
  <si>
    <t>建投能源</t>
  </si>
  <si>
    <t>韶能股份</t>
  </si>
  <si>
    <t>渤海股份</t>
  </si>
  <si>
    <t>金鸿控股</t>
  </si>
  <si>
    <t>中山公用</t>
  </si>
  <si>
    <t>宝新能源</t>
  </si>
  <si>
    <t>惠天热电</t>
  </si>
  <si>
    <t>滨海能源</t>
  </si>
  <si>
    <t>*ST新能</t>
  </si>
  <si>
    <t>湖南发展</t>
  </si>
  <si>
    <t>漳泽电力</t>
  </si>
  <si>
    <t>甘肃电投</t>
  </si>
  <si>
    <t>银星能源</t>
  </si>
  <si>
    <t>吉电股份</t>
  </si>
  <si>
    <t>湖北能源</t>
  </si>
  <si>
    <t>赣能股份</t>
  </si>
  <si>
    <t>*ST凯迪</t>
  </si>
  <si>
    <t>东方能源</t>
  </si>
  <si>
    <t>长源电力</t>
  </si>
  <si>
    <t>闽东电力</t>
  </si>
  <si>
    <t>豫能控股</t>
  </si>
  <si>
    <t>黔源电力</t>
  </si>
  <si>
    <t>富春环保</t>
  </si>
  <si>
    <t>科林环保</t>
  </si>
  <si>
    <t>光正集团</t>
  </si>
  <si>
    <t>新疆浩源</t>
  </si>
  <si>
    <t>华通热力</t>
  </si>
  <si>
    <t>佛燃股份</t>
  </si>
  <si>
    <t>天壕环境</t>
  </si>
  <si>
    <t>首创股份</t>
  </si>
  <si>
    <t>华能国际</t>
  </si>
  <si>
    <t>上海电力</t>
  </si>
  <si>
    <t>浙能电力</t>
  </si>
  <si>
    <t>华能水电</t>
  </si>
  <si>
    <t>华电国际</t>
  </si>
  <si>
    <t>广州发展</t>
  </si>
  <si>
    <t>明星电力</t>
  </si>
  <si>
    <t>三峡水利</t>
  </si>
  <si>
    <t>岷江水电</t>
  </si>
  <si>
    <t>中闽能源</t>
  </si>
  <si>
    <t>联美控股</t>
  </si>
  <si>
    <t>武汉控股</t>
  </si>
  <si>
    <t>国中水务</t>
  </si>
  <si>
    <t>桂冠电力</t>
  </si>
  <si>
    <t>钱江水利</t>
  </si>
  <si>
    <t>桂东电力</t>
  </si>
  <si>
    <t>长春燃气</t>
  </si>
  <si>
    <t>金山股份</t>
  </si>
  <si>
    <t>涪陵电力</t>
  </si>
  <si>
    <t>洪城水业</t>
  </si>
  <si>
    <t>福能股份</t>
  </si>
  <si>
    <t>西昌电力</t>
  </si>
  <si>
    <t>天富能源</t>
  </si>
  <si>
    <t>京能电力</t>
  </si>
  <si>
    <t>国新能源</t>
  </si>
  <si>
    <t>大众公用</t>
  </si>
  <si>
    <t>申能股份</t>
  </si>
  <si>
    <t>乐山电力</t>
  </si>
  <si>
    <t>川投能源</t>
  </si>
  <si>
    <t>百川能源</t>
  </si>
  <si>
    <t>大连热电</t>
  </si>
  <si>
    <t>华电能源</t>
  </si>
  <si>
    <t>华银电力</t>
  </si>
  <si>
    <t>红阳能源</t>
  </si>
  <si>
    <t>通宝能源</t>
  </si>
  <si>
    <t>国电电力</t>
  </si>
  <si>
    <t>内蒙华电</t>
  </si>
  <si>
    <t>梅雁吉祥</t>
  </si>
  <si>
    <t>创业环保</t>
  </si>
  <si>
    <t>国投电力</t>
  </si>
  <si>
    <t>长江电力</t>
  </si>
  <si>
    <t>贵州燃气</t>
  </si>
  <si>
    <t>重庆燃气</t>
  </si>
  <si>
    <t>郴电国际</t>
  </si>
  <si>
    <t>广安爱众</t>
  </si>
  <si>
    <t>宁波热电</t>
  </si>
  <si>
    <t>文山电力</t>
  </si>
  <si>
    <t>节能风电</t>
  </si>
  <si>
    <t>深圳燃气</t>
  </si>
  <si>
    <t>重庆水务</t>
  </si>
  <si>
    <t>江南水务</t>
  </si>
  <si>
    <t>绿城水务</t>
  </si>
  <si>
    <t>嘉泽新能</t>
  </si>
  <si>
    <t>中国核电</t>
  </si>
  <si>
    <t>大唐发电</t>
  </si>
  <si>
    <t>新疆火炬</t>
  </si>
  <si>
    <t>新天然气</t>
  </si>
  <si>
    <t>江苏新能</t>
  </si>
  <si>
    <t>东方环宇</t>
  </si>
  <si>
    <t>海峡环保</t>
  </si>
  <si>
    <t>万科A</t>
  </si>
  <si>
    <t>深振业A</t>
  </si>
  <si>
    <t>全新好</t>
  </si>
  <si>
    <t>深物业A</t>
  </si>
  <si>
    <t>沙河股份</t>
  </si>
  <si>
    <t>深深房A</t>
  </si>
  <si>
    <t>中粮地产</t>
  </si>
  <si>
    <t>华联控股</t>
  </si>
  <si>
    <t>中洲控股</t>
  </si>
  <si>
    <t>中航善达</t>
  </si>
  <si>
    <t>泛海控股</t>
  </si>
  <si>
    <t>皇庭国际</t>
  </si>
  <si>
    <t>深赛格</t>
  </si>
  <si>
    <t>金融街</t>
  </si>
  <si>
    <t>绿景控股</t>
  </si>
  <si>
    <t>中润资源</t>
  </si>
  <si>
    <t>渝开发</t>
  </si>
  <si>
    <t>荣安地产</t>
  </si>
  <si>
    <t>万泽股份</t>
  </si>
  <si>
    <t>广宇发展</t>
  </si>
  <si>
    <t>中天金融</t>
  </si>
  <si>
    <t>我爱我家</t>
  </si>
  <si>
    <t>粤宏远A</t>
  </si>
  <si>
    <t>阳光股份</t>
  </si>
  <si>
    <t>中迪投资</t>
  </si>
  <si>
    <t>京汉股份</t>
  </si>
  <si>
    <t>海航投资</t>
  </si>
  <si>
    <t>新华联</t>
  </si>
  <si>
    <t>顺发恒业</t>
  </si>
  <si>
    <t>金科股份</t>
  </si>
  <si>
    <t>美好置业</t>
  </si>
  <si>
    <t>荣丰控股</t>
  </si>
  <si>
    <t>阳光城</t>
  </si>
  <si>
    <t>亚太实业</t>
  </si>
  <si>
    <t>苏宁环球</t>
  </si>
  <si>
    <t>泰禾集团</t>
  </si>
  <si>
    <t>中交地产</t>
  </si>
  <si>
    <t>中国武夷</t>
  </si>
  <si>
    <t>铁岭新城</t>
  </si>
  <si>
    <t>财信发展</t>
  </si>
  <si>
    <t>三湘印象</t>
  </si>
  <si>
    <t>津滨发展</t>
  </si>
  <si>
    <t>嘉凯城</t>
  </si>
  <si>
    <t>福星股份</t>
  </si>
  <si>
    <t>中南建设</t>
  </si>
  <si>
    <t>天保基建</t>
  </si>
  <si>
    <t>招商蛇口</t>
  </si>
  <si>
    <t>世荣兆业</t>
  </si>
  <si>
    <t>大港股份</t>
  </si>
  <si>
    <t>广宇集团</t>
  </si>
  <si>
    <t>荣盛发展</t>
  </si>
  <si>
    <t>合肥城建</t>
  </si>
  <si>
    <t>滨江集团</t>
  </si>
  <si>
    <t>世联行</t>
  </si>
  <si>
    <t>南国置业</t>
  </si>
  <si>
    <t>南山控股</t>
  </si>
  <si>
    <t>海宁皮城</t>
  </si>
  <si>
    <t>国创高新</t>
  </si>
  <si>
    <t>富森美</t>
  </si>
  <si>
    <t>中国国贸</t>
  </si>
  <si>
    <t>保利地产</t>
  </si>
  <si>
    <t>浙江广厦</t>
  </si>
  <si>
    <t>南京高科</t>
  </si>
  <si>
    <t>冠城大通</t>
  </si>
  <si>
    <t>宋都股份</t>
  </si>
  <si>
    <t>海泰发展</t>
  </si>
  <si>
    <t>大名城</t>
  </si>
  <si>
    <t>哈高科</t>
  </si>
  <si>
    <t>中体产业</t>
  </si>
  <si>
    <t>大龙地产</t>
  </si>
  <si>
    <t>香江控股</t>
  </si>
  <si>
    <t>卧龙地产</t>
  </si>
  <si>
    <t>雅戈尔</t>
  </si>
  <si>
    <t>格力地产</t>
  </si>
  <si>
    <t>新湖中宝</t>
  </si>
  <si>
    <t>长春经开</t>
  </si>
  <si>
    <t>鲁商置业</t>
  </si>
  <si>
    <t>天津松江</t>
  </si>
  <si>
    <t>ST山水</t>
  </si>
  <si>
    <t>云南城投</t>
  </si>
  <si>
    <t>华业资本</t>
  </si>
  <si>
    <t>万通地产</t>
  </si>
  <si>
    <t>北京城建</t>
  </si>
  <si>
    <t>天房发展</t>
  </si>
  <si>
    <t>华发股份</t>
  </si>
  <si>
    <t>华夏幸福</t>
  </si>
  <si>
    <t>首开股份</t>
  </si>
  <si>
    <t>金地集团</t>
  </si>
  <si>
    <t>粤泰股份</t>
  </si>
  <si>
    <t>小商品城</t>
  </si>
  <si>
    <t>蓝光发展</t>
  </si>
  <si>
    <t>华丽家族</t>
  </si>
  <si>
    <t>黑牡丹</t>
  </si>
  <si>
    <t>海航基础</t>
  </si>
  <si>
    <t>栖霞建设</t>
  </si>
  <si>
    <t>海航创新</t>
  </si>
  <si>
    <t>迪马股份</t>
  </si>
  <si>
    <t>广汇物流</t>
  </si>
  <si>
    <t>市北高新</t>
  </si>
  <si>
    <t>绿地控股</t>
  </si>
  <si>
    <t>光大嘉宝</t>
  </si>
  <si>
    <t>新黄浦</t>
  </si>
  <si>
    <t>浦东金桥</t>
  </si>
  <si>
    <t>万业企业</t>
  </si>
  <si>
    <t>城投控股</t>
  </si>
  <si>
    <t>信达地产</t>
  </si>
  <si>
    <t>电子城</t>
  </si>
  <si>
    <t>陆家嘴</t>
  </si>
  <si>
    <t>天地源</t>
  </si>
  <si>
    <t>中华企业</t>
  </si>
  <si>
    <t>京投发展</t>
  </si>
  <si>
    <t>珠江实业</t>
  </si>
  <si>
    <t>亚通股份</t>
  </si>
  <si>
    <t>光明地产</t>
  </si>
  <si>
    <t>凤凰股份</t>
  </si>
  <si>
    <t>宁波富达</t>
  </si>
  <si>
    <t>ST新梅</t>
  </si>
  <si>
    <t>苏州高新</t>
  </si>
  <si>
    <t>华远地产</t>
  </si>
  <si>
    <t>ST大控</t>
  </si>
  <si>
    <t>上实发展</t>
  </si>
  <si>
    <t>西藏城投</t>
  </si>
  <si>
    <t>轻纺城</t>
  </si>
  <si>
    <t>京能置业</t>
  </si>
  <si>
    <t>*ST天业</t>
  </si>
  <si>
    <t>ST宏盛</t>
  </si>
  <si>
    <t>世茂股份</t>
  </si>
  <si>
    <t>上海临港</t>
  </si>
  <si>
    <t>中房股份</t>
  </si>
  <si>
    <t>张江高科</t>
  </si>
  <si>
    <t>新城控股</t>
  </si>
  <si>
    <t>北辰实业</t>
  </si>
  <si>
    <t>南都物业</t>
  </si>
  <si>
    <t>距离50%估值</t>
    <rPh sb="0" eb="1">
      <t>ju'li</t>
    </rPh>
    <rPh sb="5" eb="6">
      <t>gu'z</t>
    </rPh>
    <phoneticPr fontId="3" type="noConversion"/>
  </si>
  <si>
    <t>距离70%估值</t>
    <rPh sb="5" eb="6">
      <t>gu'z</t>
    </rPh>
    <phoneticPr fontId="3" type="noConversion"/>
  </si>
  <si>
    <t>距离100%估值</t>
    <rPh sb="6" eb="7">
      <t>gu'z</t>
    </rPh>
    <phoneticPr fontId="3" type="noConversion"/>
  </si>
  <si>
    <t>距离30%估值</t>
    <rPh sb="0" eb="1">
      <t>ju'li</t>
    </rPh>
    <rPh sb="5" eb="6">
      <t>gu'z</t>
    </rPh>
    <phoneticPr fontId="3" type="noConversion"/>
  </si>
  <si>
    <t>ROE</t>
    <phoneticPr fontId="3" type="noConversion"/>
  </si>
  <si>
    <t>ROE折扣</t>
    <rPh sb="3" eb="4">
      <t>zhe'kuo</t>
    </rPh>
    <phoneticPr fontId="3" type="noConversion"/>
  </si>
  <si>
    <t>日期</t>
    <phoneticPr fontId="3" type="noConversion"/>
  </si>
  <si>
    <t>能源</t>
    <phoneticPr fontId="3" type="noConversion"/>
  </si>
  <si>
    <t>材料</t>
    <phoneticPr fontId="3" type="noConversion"/>
  </si>
  <si>
    <t>金融地产</t>
    <phoneticPr fontId="3" type="noConversion"/>
  </si>
  <si>
    <t>对标08跌幅</t>
    <phoneticPr fontId="3" type="noConversion"/>
  </si>
  <si>
    <t>预计最大跌幅</t>
    <phoneticPr fontId="3" type="noConversion"/>
  </si>
  <si>
    <t>当前点数</t>
    <phoneticPr fontId="3" type="noConversion"/>
  </si>
  <si>
    <t>极限值</t>
    <phoneticPr fontId="3" type="noConversion"/>
  </si>
  <si>
    <t>持仓占比</t>
    <phoneticPr fontId="3" type="noConversion"/>
  </si>
  <si>
    <t>到达08大底</t>
    <phoneticPr fontId="3" type="noConversion"/>
  </si>
  <si>
    <t>上证指数</t>
    <phoneticPr fontId="3" type="noConversion"/>
  </si>
  <si>
    <t>易方达消费场外</t>
  </si>
  <si>
    <t>富国中证500</t>
    <rPh sb="0" eb="1">
      <t>fu'guo</t>
    </rPh>
    <rPh sb="2" eb="3">
      <t>zhong'z</t>
    </rPh>
    <phoneticPr fontId="3" type="noConversion"/>
  </si>
  <si>
    <t>500ETF</t>
    <phoneticPr fontId="3" type="noConversion"/>
  </si>
  <si>
    <t>易方达消费行业</t>
    <rPh sb="0" eb="1">
      <t>yi'fang'da</t>
    </rPh>
    <rPh sb="3" eb="4">
      <t>xiao'fei</t>
    </rPh>
    <rPh sb="5" eb="6">
      <t>hang'ye</t>
    </rPh>
    <phoneticPr fontId="3" type="noConversion"/>
  </si>
  <si>
    <t>消费</t>
    <rPh sb="0" eb="1">
      <t>xiao'f</t>
    </rPh>
    <phoneticPr fontId="3" type="noConversion"/>
  </si>
  <si>
    <t>易方达创业板ETF联接A</t>
    <rPh sb="0" eb="1">
      <t>yi'f'd</t>
    </rPh>
    <rPh sb="3" eb="4">
      <t>chuang'ye'b</t>
    </rPh>
    <rPh sb="9" eb="10">
      <t>lian'jie</t>
    </rPh>
    <phoneticPr fontId="3" type="noConversion"/>
  </si>
  <si>
    <t>买入</t>
    <rPh sb="0" eb="1">
      <t>mai'ru</t>
    </rPh>
    <phoneticPr fontId="3" type="noConversion"/>
  </si>
  <si>
    <t>110026</t>
    <phoneticPr fontId="3" type="noConversion"/>
  </si>
  <si>
    <t>交银中证海外中国互联网指数</t>
    <phoneticPr fontId="3" type="noConversion"/>
  </si>
  <si>
    <t>海外互联网</t>
  </si>
  <si>
    <t>海外互联网</t>
    <rPh sb="0" eb="1">
      <t>hai'w</t>
    </rPh>
    <rPh sb="2" eb="3">
      <t>hu'l'w</t>
    </rPh>
    <phoneticPr fontId="3" type="noConversion"/>
  </si>
  <si>
    <t>164906</t>
  </si>
  <si>
    <t>华夏恒生ETF联接A</t>
    <rPh sb="0" eb="1">
      <t>hua'xia</t>
    </rPh>
    <rPh sb="2" eb="3">
      <t>heng's</t>
    </rPh>
    <rPh sb="7" eb="8">
      <t>lian'jie</t>
    </rPh>
    <rPh sb="9" eb="10">
      <t>lian'jie</t>
    </rPh>
    <phoneticPr fontId="3" type="noConversion"/>
  </si>
  <si>
    <t>恒生</t>
    <rPh sb="0" eb="1">
      <t>heng's</t>
    </rPh>
    <phoneticPr fontId="3" type="noConversion"/>
  </si>
  <si>
    <t>华宝标普油气上游股票</t>
    <rPh sb="0" eb="1">
      <t>hua'bao</t>
    </rPh>
    <rPh sb="2" eb="3">
      <t>biao'pu</t>
    </rPh>
    <rPh sb="4" eb="5">
      <t>you'qi</t>
    </rPh>
    <rPh sb="6" eb="7">
      <t>shang'you</t>
    </rPh>
    <rPh sb="8" eb="9">
      <t>gu'p</t>
    </rPh>
    <phoneticPr fontId="3" type="noConversion"/>
  </si>
  <si>
    <t>原油</t>
    <rPh sb="0" eb="1">
      <t>yuan'you</t>
    </rPh>
    <phoneticPr fontId="3" type="noConversion"/>
  </si>
  <si>
    <t>华宝油气</t>
    <rPh sb="0" eb="1">
      <t>hua'bao'y'q</t>
    </rPh>
    <phoneticPr fontId="3" type="noConversion"/>
  </si>
  <si>
    <t>162411</t>
    <phoneticPr fontId="3" type="noConversion"/>
  </si>
  <si>
    <t>安心回报债</t>
    <rPh sb="0" eb="1">
      <t>an'x</t>
    </rPh>
    <rPh sb="2" eb="3">
      <t>hui'b</t>
    </rPh>
    <rPh sb="4" eb="5">
      <t>zhai</t>
    </rPh>
    <phoneticPr fontId="3" type="noConversion"/>
  </si>
  <si>
    <t>110027</t>
    <phoneticPr fontId="3" type="noConversion"/>
  </si>
  <si>
    <t>001061</t>
    <phoneticPr fontId="3" type="noConversion"/>
  </si>
  <si>
    <t>长信可转债</t>
    <rPh sb="0" eb="1">
      <t>chagn'xin</t>
    </rPh>
    <rPh sb="2" eb="3">
      <t>ke'zhuan'z</t>
    </rPh>
    <phoneticPr fontId="3" type="noConversion"/>
  </si>
  <si>
    <t>兴全可转债</t>
    <rPh sb="0" eb="1">
      <t>xing'quan</t>
    </rPh>
    <phoneticPr fontId="3" type="noConversion"/>
  </si>
  <si>
    <t>519977</t>
    <phoneticPr fontId="3" type="noConversion"/>
  </si>
  <si>
    <t>长信可转债债券A</t>
    <phoneticPr fontId="3" type="noConversion"/>
  </si>
  <si>
    <t>易方达安心回报债券A</t>
    <phoneticPr fontId="3" type="noConversion"/>
  </si>
  <si>
    <t>占比</t>
    <rPh sb="0" eb="1">
      <t>zhan'bi</t>
    </rPh>
    <phoneticPr fontId="3" type="noConversion"/>
  </si>
  <si>
    <t>淮北矿业</t>
  </si>
  <si>
    <t>安道麦A</t>
  </si>
  <si>
    <t>ST康得新</t>
  </si>
  <si>
    <t>恩捷股份</t>
  </si>
  <si>
    <t>002942.XSHE</t>
  </si>
  <si>
    <t>新农股份</t>
  </si>
  <si>
    <t>亚邦股份</t>
  </si>
  <si>
    <t>603332.XSHG</t>
  </si>
  <si>
    <t>苏州龙杰</t>
  </si>
  <si>
    <t>炼石航空</t>
  </si>
  <si>
    <t>山西路桥</t>
  </si>
  <si>
    <t>金宇车城</t>
  </si>
  <si>
    <t>佳电股份</t>
  </si>
  <si>
    <t>001872.XSHE</t>
  </si>
  <si>
    <t>招商港口</t>
  </si>
  <si>
    <t>航天彩虹</t>
  </si>
  <si>
    <t>远程股份</t>
  </si>
  <si>
    <t>002941.XSHE</t>
  </si>
  <si>
    <t>新疆交建</t>
  </si>
  <si>
    <t>002943.XSHE</t>
  </si>
  <si>
    <t>宇晶股份</t>
  </si>
  <si>
    <t>麦克奥迪</t>
  </si>
  <si>
    <t>汉宇集团</t>
  </si>
  <si>
    <t>300751.XSHE</t>
  </si>
  <si>
    <t>迈为股份</t>
  </si>
  <si>
    <t>300757.XSHE</t>
  </si>
  <si>
    <t>罗博特科</t>
  </si>
  <si>
    <t>ST九有</t>
  </si>
  <si>
    <t>601298.XSHG</t>
  </si>
  <si>
    <t>青岛港</t>
  </si>
  <si>
    <t>601598.XSHG</t>
  </si>
  <si>
    <t>中国外运</t>
  </si>
  <si>
    <t>601975.XSHG</t>
  </si>
  <si>
    <t>ST长油</t>
  </si>
  <si>
    <t>万林物流</t>
  </si>
  <si>
    <t>603185.XSHG</t>
  </si>
  <si>
    <t>上机数控</t>
  </si>
  <si>
    <t>603187.XSHG</t>
  </si>
  <si>
    <t>海容冷链</t>
  </si>
  <si>
    <t>尚纬股份</t>
  </si>
  <si>
    <t>海信家电</t>
  </si>
  <si>
    <t>ST中南</t>
  </si>
  <si>
    <t>融捷健康</t>
  </si>
  <si>
    <t>300694.XSHE</t>
  </si>
  <si>
    <t>蠡湖股份</t>
  </si>
  <si>
    <t>300756.XSHE</t>
  </si>
  <si>
    <t>中山金马</t>
  </si>
  <si>
    <t>昂立教育</t>
  </si>
  <si>
    <t>赛轮轮胎</t>
  </si>
  <si>
    <t>603121.XSHG</t>
  </si>
  <si>
    <t>华培动力</t>
  </si>
  <si>
    <t>ST中基</t>
  </si>
  <si>
    <t>603739.XSHG</t>
  </si>
  <si>
    <t>蔚蓝生物</t>
  </si>
  <si>
    <t>振兴生化</t>
  </si>
  <si>
    <t>ST冠福</t>
  </si>
  <si>
    <t>延安必康</t>
  </si>
  <si>
    <t>*ST长生</t>
  </si>
  <si>
    <t>002940.XSHE</t>
  </si>
  <si>
    <t>昂利康</t>
  </si>
  <si>
    <t>300753.XSHE</t>
  </si>
  <si>
    <t>爱朋医疗</t>
  </si>
  <si>
    <t>300760.XSHE</t>
  </si>
  <si>
    <t>迈瑞医疗</t>
  </si>
  <si>
    <t>渤海租赁</t>
  </si>
  <si>
    <t>002939.XSHE</t>
  </si>
  <si>
    <t>长城证券</t>
  </si>
  <si>
    <t>002945.XSHE</t>
  </si>
  <si>
    <t>华林证券</t>
  </si>
  <si>
    <t>002948.XSHE</t>
  </si>
  <si>
    <t>青岛银行</t>
  </si>
  <si>
    <t>601162.XSHG</t>
  </si>
  <si>
    <t>天风证券</t>
  </si>
  <si>
    <t>601319.XSHG</t>
  </si>
  <si>
    <t>中国人保</t>
  </si>
  <si>
    <t>601860.XSHG</t>
  </si>
  <si>
    <t>紫金银行</t>
  </si>
  <si>
    <t>富通鑫茂</t>
  </si>
  <si>
    <t>中嘉博创</t>
  </si>
  <si>
    <t>聚力文化</t>
  </si>
  <si>
    <t>恒久科技</t>
  </si>
  <si>
    <t>数知科技</t>
  </si>
  <si>
    <t>珈伟新能</t>
  </si>
  <si>
    <t>创业慧康</t>
  </si>
  <si>
    <t>300674.XSHE</t>
  </si>
  <si>
    <t>宇信科技</t>
  </si>
  <si>
    <t>300752.XSHE</t>
  </si>
  <si>
    <t>隆利科技</t>
  </si>
  <si>
    <t>603220.XSHG</t>
  </si>
  <si>
    <t>贝通信</t>
  </si>
  <si>
    <t>603629.XSHG</t>
  </si>
  <si>
    <t>利通电子</t>
  </si>
  <si>
    <t>川能动力</t>
  </si>
  <si>
    <t>ST升达</t>
  </si>
  <si>
    <t>ST新光</t>
  </si>
  <si>
    <t>大类目</t>
    <rPh sb="0" eb="1">
      <t>da'lei'm</t>
    </rPh>
    <phoneticPr fontId="3" type="noConversion"/>
  </si>
  <si>
    <t>二级类目</t>
    <rPh sb="0" eb="1">
      <t>er'ji</t>
    </rPh>
    <rPh sb="2" eb="3">
      <t>lei'mu</t>
    </rPh>
    <phoneticPr fontId="3" type="noConversion"/>
  </si>
  <si>
    <t>品种</t>
    <rPh sb="0" eb="1">
      <t>pin'z</t>
    </rPh>
    <rPh sb="1" eb="2">
      <t>zhong</t>
    </rPh>
    <phoneticPr fontId="3" type="noConversion"/>
  </si>
  <si>
    <t>支付宝</t>
    <rPh sb="0" eb="1">
      <t>zhi'f'b</t>
    </rPh>
    <phoneticPr fontId="3" type="noConversion"/>
  </si>
  <si>
    <t>总市值</t>
    <rPh sb="0" eb="1">
      <t>zong'shi'zhi</t>
    </rPh>
    <phoneticPr fontId="3" type="noConversion"/>
  </si>
  <si>
    <t>上证50</t>
    <rPh sb="0" eb="1">
      <t>shang'z</t>
    </rPh>
    <phoneticPr fontId="3" type="noConversion"/>
  </si>
  <si>
    <t>沪深300</t>
    <rPh sb="0" eb="1">
      <t>hu's</t>
    </rPh>
    <phoneticPr fontId="3" type="noConversion"/>
  </si>
  <si>
    <t>中证500</t>
    <rPh sb="0" eb="1">
      <t>zhong'z</t>
    </rPh>
    <phoneticPr fontId="3" type="noConversion"/>
  </si>
  <si>
    <t>中证1000</t>
    <rPh sb="0" eb="1">
      <t>zhong'z</t>
    </rPh>
    <phoneticPr fontId="3" type="noConversion"/>
  </si>
  <si>
    <t>中证红利</t>
    <rPh sb="0" eb="1">
      <t>zhong'z</t>
    </rPh>
    <rPh sb="2" eb="3">
      <t>hong'li</t>
    </rPh>
    <phoneticPr fontId="3" type="noConversion"/>
  </si>
  <si>
    <t>养老产业</t>
    <rPh sb="0" eb="1">
      <t>yang'lao'chan'y</t>
    </rPh>
    <phoneticPr fontId="3" type="noConversion"/>
  </si>
  <si>
    <t>全指医药</t>
    <rPh sb="0" eb="1">
      <t>quan'zhi'yi'y</t>
    </rPh>
    <phoneticPr fontId="3" type="noConversion"/>
  </si>
  <si>
    <t>中证传媒</t>
    <rPh sb="0" eb="1">
      <t>zhong'z</t>
    </rPh>
    <rPh sb="2" eb="3">
      <t>chuan'm</t>
    </rPh>
    <phoneticPr fontId="3" type="noConversion"/>
  </si>
  <si>
    <t>中证环保</t>
    <rPh sb="0" eb="1">
      <t>zhong'z</t>
    </rPh>
    <rPh sb="2" eb="3">
      <t>huan'bao</t>
    </rPh>
    <phoneticPr fontId="3" type="noConversion"/>
  </si>
  <si>
    <t>全指消费</t>
    <rPh sb="0" eb="1">
      <t>quan'zhi</t>
    </rPh>
    <rPh sb="2" eb="3">
      <t>xiao'f</t>
    </rPh>
    <phoneticPr fontId="3" type="noConversion"/>
  </si>
  <si>
    <t>金融地产</t>
    <rPh sb="0" eb="1">
      <t>jin'r</t>
    </rPh>
    <rPh sb="2" eb="3">
      <t>di'c</t>
    </rPh>
    <phoneticPr fontId="3" type="noConversion"/>
  </si>
  <si>
    <t>证券公司</t>
    <rPh sb="0" eb="1">
      <t>zheng'quan</t>
    </rPh>
    <rPh sb="2" eb="3">
      <t>gong'si</t>
    </rPh>
    <phoneticPr fontId="3" type="noConversion"/>
  </si>
  <si>
    <t>恒生</t>
    <rPh sb="0" eb="1">
      <t>heng'sheng</t>
    </rPh>
    <phoneticPr fontId="3" type="noConversion"/>
  </si>
  <si>
    <t>可转债</t>
    <rPh sb="0" eb="1">
      <t>ke'zhuan'z</t>
    </rPh>
    <phoneticPr fontId="3" type="noConversion"/>
  </si>
  <si>
    <t>美元债</t>
    <rPh sb="0" eb="1">
      <t>mei'yuan'z</t>
    </rPh>
    <phoneticPr fontId="3" type="noConversion"/>
  </si>
  <si>
    <t>货币基金</t>
    <rPh sb="0" eb="1">
      <t>huo'b'j'j</t>
    </rPh>
    <phoneticPr fontId="3" type="noConversion"/>
  </si>
  <si>
    <t>地产定期</t>
    <rPh sb="0" eb="1">
      <t>di'c</t>
    </rPh>
    <rPh sb="2" eb="3">
      <t>ding'qi</t>
    </rPh>
    <phoneticPr fontId="3" type="noConversion"/>
  </si>
  <si>
    <t>总收益率</t>
    <rPh sb="0" eb="1">
      <t>zong</t>
    </rPh>
    <rPh sb="1" eb="2">
      <t>shou'yi'l</t>
    </rPh>
    <phoneticPr fontId="3" type="noConversion"/>
  </si>
  <si>
    <t>市值占比</t>
    <rPh sb="0" eb="1">
      <t>zui'x</t>
    </rPh>
    <rPh sb="2" eb="3">
      <t>zhan'bi</t>
    </rPh>
    <phoneticPr fontId="3" type="noConversion"/>
  </si>
  <si>
    <t>房地产项目本金</t>
    <rPh sb="0" eb="1">
      <t>fang'di'c</t>
    </rPh>
    <rPh sb="3" eb="4">
      <t>xiang'm</t>
    </rPh>
    <phoneticPr fontId="3" type="noConversion"/>
  </si>
  <si>
    <t>白银本金</t>
    <rPh sb="0" eb="1">
      <t>bai'y</t>
    </rPh>
    <rPh sb="2" eb="3">
      <t>zi'jin</t>
    </rPh>
    <phoneticPr fontId="3" type="noConversion"/>
  </si>
  <si>
    <t>本金总和</t>
    <rPh sb="0" eb="1">
      <t>zi'j</t>
    </rPh>
    <rPh sb="2" eb="3">
      <t>ji'shu</t>
    </rPh>
    <phoneticPr fontId="3" type="noConversion"/>
  </si>
  <si>
    <t>第三轮计划本金</t>
    <rPh sb="0" eb="1">
      <t>di'san'ci</t>
    </rPh>
    <rPh sb="2" eb="3">
      <t>lun</t>
    </rPh>
    <rPh sb="3" eb="4">
      <t>ji'h</t>
    </rPh>
    <phoneticPr fontId="3" type="noConversion"/>
  </si>
  <si>
    <t>住房公积金</t>
    <rPh sb="0" eb="1">
      <t>zhu'fang</t>
    </rPh>
    <rPh sb="2" eb="3">
      <t>gon'jj'j</t>
    </rPh>
    <phoneticPr fontId="3" type="noConversion"/>
  </si>
  <si>
    <t>品种</t>
    <phoneticPr fontId="3" type="noConversion"/>
  </si>
  <si>
    <t>最新市值</t>
    <phoneticPr fontId="3" type="noConversion"/>
  </si>
  <si>
    <t>涨跌幅</t>
    <phoneticPr fontId="3" type="noConversion"/>
  </si>
  <si>
    <t>投资组合贡献</t>
    <phoneticPr fontId="3" type="noConversion"/>
  </si>
  <si>
    <t>投资额</t>
    <phoneticPr fontId="3" type="noConversion"/>
  </si>
  <si>
    <t>市值比例</t>
    <phoneticPr fontId="3" type="noConversion"/>
  </si>
  <si>
    <t>管理费</t>
    <phoneticPr fontId="3" type="noConversion"/>
  </si>
  <si>
    <t>托管费</t>
    <phoneticPr fontId="3" type="noConversion"/>
  </si>
  <si>
    <t>销售服务费</t>
    <phoneticPr fontId="3" type="noConversion"/>
  </si>
  <si>
    <t>费率总计</t>
    <phoneticPr fontId="3" type="noConversion"/>
  </si>
  <si>
    <t>510300</t>
    <phoneticPr fontId="3" type="noConversion"/>
  </si>
  <si>
    <t>159915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</si>
  <si>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</si>
  <si>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</si>
  <si>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</si>
  <si>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富国中证红利</t>
    <phoneticPr fontId="3" type="noConversion"/>
  </si>
  <si>
    <t>100032</t>
    <phoneticPr fontId="3" type="noConversion"/>
  </si>
  <si>
    <t>广发养老</t>
    <phoneticPr fontId="3" type="noConversion"/>
  </si>
  <si>
    <t>广发医药</t>
    <phoneticPr fontId="3" type="noConversion"/>
  </si>
  <si>
    <t>医药ETF</t>
    <phoneticPr fontId="3" type="noConversion"/>
  </si>
  <si>
    <t>159938</t>
    <phoneticPr fontId="3" type="noConversion"/>
  </si>
  <si>
    <t>512980</t>
    <phoneticPr fontId="3" type="noConversion"/>
  </si>
  <si>
    <t>环保ETF</t>
    <phoneticPr fontId="3" type="noConversion"/>
  </si>
  <si>
    <t>512580</t>
    <phoneticPr fontId="3" type="noConversion"/>
  </si>
  <si>
    <t>广发环保</t>
    <phoneticPr fontId="3" type="noConversion"/>
  </si>
  <si>
    <t>110022</t>
    <phoneticPr fontId="3" type="noConversion"/>
  </si>
  <si>
    <t>易方达消费</t>
    <phoneticPr fontId="3" type="noConversion"/>
  </si>
  <si>
    <t>512880</t>
    <phoneticPr fontId="3" type="noConversion"/>
  </si>
  <si>
    <t>广发金融地产</t>
    <phoneticPr fontId="3" type="noConversion"/>
  </si>
  <si>
    <t>华夏恒生ETF</t>
    <phoneticPr fontId="3" type="noConversion"/>
  </si>
  <si>
    <t>华安德国30</t>
    <phoneticPr fontId="3" type="noConversion"/>
  </si>
  <si>
    <t>交银海外互联网</t>
    <phoneticPr fontId="3" type="noConversion"/>
  </si>
  <si>
    <t>164906</t>
    <phoneticPr fontId="3" type="noConversion"/>
  </si>
  <si>
    <t>华宝油气</t>
    <phoneticPr fontId="3" type="noConversion"/>
  </si>
  <si>
    <t>黄金ETF</t>
    <phoneticPr fontId="3" type="noConversion"/>
  </si>
  <si>
    <t>兴全可转债</t>
    <phoneticPr fontId="3" type="noConversion"/>
  </si>
  <si>
    <t>长信可转债</t>
    <phoneticPr fontId="3" type="noConversion"/>
  </si>
  <si>
    <t>518880</t>
    <phoneticPr fontId="3" type="noConversion"/>
  </si>
  <si>
    <t>易方达安心债</t>
    <phoneticPr fontId="3" type="noConversion"/>
  </si>
  <si>
    <t>华夏海外债</t>
    <phoneticPr fontId="3" type="noConversion"/>
  </si>
  <si>
    <t>大成中证红利</t>
    <phoneticPr fontId="3" type="noConversion"/>
  </si>
  <si>
    <t>090010</t>
    <phoneticPr fontId="3" type="noConversion"/>
  </si>
  <si>
    <t>市值</t>
    <rPh sb="0" eb="1">
      <t>shi'zhi</t>
    </rPh>
    <phoneticPr fontId="3" type="noConversion"/>
  </si>
  <si>
    <t>NA</t>
    <phoneticPr fontId="3" type="noConversion"/>
  </si>
  <si>
    <t>仓位</t>
    <rPh sb="0" eb="1">
      <t>cang'w</t>
    </rPh>
    <phoneticPr fontId="3" type="noConversion"/>
  </si>
  <si>
    <t>ROE</t>
    <phoneticPr fontId="3" type="noConversion"/>
  </si>
  <si>
    <t>估值位1</t>
    <rPh sb="0" eb="1">
      <t>gu'zhi'w</t>
    </rPh>
    <phoneticPr fontId="3" type="noConversion"/>
  </si>
  <si>
    <t>估值位2</t>
    <rPh sb="0" eb="1">
      <t>gu'z</t>
    </rPh>
    <rPh sb="2" eb="3">
      <t>wei</t>
    </rPh>
    <phoneticPr fontId="3" type="noConversion"/>
  </si>
  <si>
    <t>估值位3</t>
    <rPh sb="0" eb="1">
      <t>gu'z</t>
    </rPh>
    <rPh sb="2" eb="3">
      <t>wei</t>
    </rPh>
    <phoneticPr fontId="3" type="noConversion"/>
  </si>
  <si>
    <t>估值位4</t>
    <rPh sb="0" eb="1">
      <t>gu'z'w</t>
    </rPh>
    <phoneticPr fontId="3" type="noConversion"/>
  </si>
  <si>
    <t>上证50</t>
    <rPh sb="0" eb="1">
      <t>shang'zheng</t>
    </rPh>
    <phoneticPr fontId="3" type="noConversion"/>
  </si>
  <si>
    <t>养老产业</t>
    <rPh sb="0" eb="1">
      <t>yang'lao'c'y</t>
    </rPh>
    <phoneticPr fontId="3" type="noConversion"/>
  </si>
  <si>
    <t>全指医药</t>
    <rPh sb="0" eb="1">
      <t>quan'zhi'y'y</t>
    </rPh>
    <phoneticPr fontId="3" type="noConversion"/>
  </si>
  <si>
    <t>中证传媒</t>
    <rPh sb="0" eb="1">
      <t>zhong'z</t>
    </rPh>
    <rPh sb="2" eb="3">
      <t>chuan'mei</t>
    </rPh>
    <phoneticPr fontId="3" type="noConversion"/>
  </si>
  <si>
    <t>金融地产</t>
    <rPh sb="0" eb="1">
      <t>jin'rong'di'c</t>
    </rPh>
    <phoneticPr fontId="3" type="noConversion"/>
  </si>
  <si>
    <t>原油</t>
    <rPh sb="0" eb="1">
      <t>yuan'you</t>
    </rPh>
    <rPh sb="1" eb="2">
      <t>you</t>
    </rPh>
    <phoneticPr fontId="3" type="noConversion"/>
  </si>
  <si>
    <t>中国GDP</t>
    <rPh sb="0" eb="1">
      <t>zhong'g</t>
    </rPh>
    <phoneticPr fontId="3" type="noConversion"/>
  </si>
  <si>
    <t>德国GDP</t>
    <rPh sb="0" eb="1">
      <t>de'g</t>
    </rPh>
    <phoneticPr fontId="3" type="noConversion"/>
  </si>
  <si>
    <t>美国GDP</t>
    <rPh sb="0" eb="1">
      <t>mei'guo</t>
    </rPh>
    <phoneticPr fontId="3" type="noConversion"/>
  </si>
  <si>
    <t>按中国GDP</t>
    <rPh sb="0" eb="1">
      <t>an</t>
    </rPh>
    <rPh sb="1" eb="2">
      <t>zhong'g</t>
    </rPh>
    <phoneticPr fontId="3" type="noConversion"/>
  </si>
  <si>
    <t>按德国GDP</t>
    <rPh sb="0" eb="1">
      <t>an</t>
    </rPh>
    <rPh sb="1" eb="2">
      <t>de'g</t>
    </rPh>
    <phoneticPr fontId="3" type="noConversion"/>
  </si>
  <si>
    <t>按美国GDP</t>
    <rPh sb="0" eb="1">
      <t>an</t>
    </rPh>
    <rPh sb="1" eb="2">
      <t>mei'g</t>
    </rPh>
    <phoneticPr fontId="3" type="noConversion"/>
  </si>
  <si>
    <t>按货基收益</t>
    <rPh sb="0" eb="1">
      <t>an</t>
    </rPh>
    <rPh sb="1" eb="2">
      <t>huo'ji</t>
    </rPh>
    <rPh sb="3" eb="4">
      <t>shou'iy</t>
    </rPh>
    <phoneticPr fontId="3" type="noConversion"/>
  </si>
  <si>
    <t>按货基收益</t>
    <rPh sb="0" eb="1">
      <t>an</t>
    </rPh>
    <rPh sb="1" eb="2">
      <t>huo'ji</t>
    </rPh>
    <rPh sb="3" eb="4">
      <t>shou'yi</t>
    </rPh>
    <phoneticPr fontId="3" type="noConversion"/>
  </si>
  <si>
    <t>投资组合</t>
    <rPh sb="0" eb="1">
      <t>tou'zi'zh</t>
    </rPh>
    <phoneticPr fontId="3" type="noConversion"/>
  </si>
  <si>
    <t>预测矩阵</t>
    <rPh sb="0" eb="1">
      <t>yu'c</t>
    </rPh>
    <rPh sb="2" eb="3">
      <t>ju'zhen</t>
    </rPh>
    <phoneticPr fontId="3" type="noConversion"/>
  </si>
  <si>
    <t>货基收益</t>
    <rPh sb="0" eb="1">
      <t>huo'ji</t>
    </rPh>
    <rPh sb="2" eb="3">
      <t>shou'yi'l</t>
    </rPh>
    <phoneticPr fontId="3" type="noConversion"/>
  </si>
  <si>
    <t>时间单位</t>
    <phoneticPr fontId="3" type="noConversion"/>
  </si>
  <si>
    <t>年</t>
    <phoneticPr fontId="3" type="noConversion"/>
  </si>
  <si>
    <t>空间单位</t>
    <phoneticPr fontId="3" type="noConversion"/>
  </si>
  <si>
    <t>估值</t>
    <phoneticPr fontId="3" type="noConversion"/>
  </si>
  <si>
    <t>历史估值位</t>
    <phoneticPr fontId="3" type="noConversion"/>
  </si>
  <si>
    <t>公式：持有期估值变化率^(1/年限) + 品种 ROE</t>
    <phoneticPr fontId="3" type="noConversion"/>
  </si>
  <si>
    <t>中小盘</t>
    <phoneticPr fontId="3" type="noConversion"/>
  </si>
  <si>
    <t>行业</t>
    <phoneticPr fontId="3" type="noConversion"/>
  </si>
  <si>
    <t>大盘</t>
    <phoneticPr fontId="3" type="noConversion"/>
  </si>
  <si>
    <t>价值</t>
    <phoneticPr fontId="3" type="noConversion"/>
  </si>
  <si>
    <t>海外</t>
    <phoneticPr fontId="3" type="noConversion"/>
  </si>
  <si>
    <t>可转债</t>
    <phoneticPr fontId="3" type="noConversion"/>
  </si>
  <si>
    <t>商品</t>
    <phoneticPr fontId="3" type="noConversion"/>
  </si>
  <si>
    <t>货币基金</t>
    <phoneticPr fontId="3" type="noConversion"/>
  </si>
  <si>
    <t>实盘</t>
    <phoneticPr fontId="3" type="noConversion"/>
  </si>
  <si>
    <t>ETF计划</t>
    <phoneticPr fontId="3" type="noConversion"/>
  </si>
  <si>
    <t>差额</t>
    <phoneticPr fontId="3" type="noConversion"/>
  </si>
  <si>
    <t>高 ROE，估值变化范围小的品种，在估值长期处于低位，如 30% 时，随着年限的增长，年化收益稳步提高。</t>
    <phoneticPr fontId="3" type="noConversion"/>
  </si>
  <si>
    <t>低 ROE，估值变化范围大的品种，在 3 年还是 10 年达到高估，年化收益率变化极大。长期处于低估时，年化收益逐年微弱减少。</t>
    <phoneticPr fontId="3" type="noConversion"/>
  </si>
  <si>
    <t>结论是：估值为矛，ROE 为盾。高估大家都多赚，但中小盘赚得更多。低估大家都少赚，但高 ROE 品种赚得更多。</t>
    <phoneticPr fontId="3" type="noConversion"/>
  </si>
  <si>
    <t>对标15涨幅</t>
    <phoneticPr fontId="3" type="noConversion"/>
  </si>
  <si>
    <t>预计最大涨幅</t>
    <phoneticPr fontId="3" type="noConversion"/>
  </si>
  <si>
    <t>对标2015</t>
    <phoneticPr fontId="3" type="noConversion"/>
  </si>
  <si>
    <t>到达15大顶</t>
    <phoneticPr fontId="3" type="noConversion"/>
  </si>
  <si>
    <t>可预期值</t>
    <phoneticPr fontId="3" type="noConversion"/>
  </si>
  <si>
    <t>对标2008</t>
    <phoneticPr fontId="3" type="noConversion"/>
  </si>
  <si>
    <t>公式：PB = PE * ROE，ROE = PB / PE，ROE=净利润率 * 总资产周转率 * 财务杠杆率</t>
    <rPh sb="0" eb="1">
      <t>gong's</t>
    </rPh>
    <phoneticPr fontId="3" type="noConversion"/>
  </si>
  <si>
    <t>净利润率 = 净利润 / 营业收入，总资产周转率 = 营业收入 / 总资产，财务杠杆率 = 总资产 / 净资产</t>
    <phoneticPr fontId="3" type="noConversion"/>
  </si>
  <si>
    <t>当 PB = 1 时，ROE 等于 PE 的倒数 EP，即盈利收益率。所以 EP 就算是考虑了溢价（PB &gt; 1 时）的 ROE。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</si>
  <si>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</si>
  <si>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</si>
  <si>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</si>
  <si>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100038</t>
    <phoneticPr fontId="3" type="noConversion"/>
  </si>
  <si>
    <t>161017</t>
    <phoneticPr fontId="3" type="noConversion"/>
  </si>
  <si>
    <t>基金</t>
    <phoneticPr fontId="3" type="noConversion"/>
  </si>
  <si>
    <t>50ETF</t>
    <phoneticPr fontId="3" type="noConversion"/>
  </si>
  <si>
    <t>300ETF</t>
    <phoneticPr fontId="3" type="noConversion"/>
  </si>
  <si>
    <t>富国300</t>
    <phoneticPr fontId="3" type="noConversion"/>
  </si>
  <si>
    <t>富国500</t>
    <phoneticPr fontId="3" type="noConversion"/>
  </si>
  <si>
    <t>500ETF</t>
    <phoneticPr fontId="3" type="noConversion"/>
  </si>
  <si>
    <t>1000ETF</t>
    <phoneticPr fontId="3" type="noConversion"/>
  </si>
  <si>
    <t>创业板ETF</t>
    <phoneticPr fontId="3" type="noConversion"/>
  </si>
  <si>
    <t>医药ETF</t>
    <phoneticPr fontId="3" type="noConversion"/>
  </si>
  <si>
    <t>广发环保</t>
    <phoneticPr fontId="3" type="noConversion"/>
  </si>
  <si>
    <t>易方达消费</t>
    <phoneticPr fontId="3" type="noConversion"/>
  </si>
  <si>
    <t>广发金融地产</t>
    <phoneticPr fontId="3" type="noConversion"/>
  </si>
  <si>
    <t>证券ETF</t>
    <phoneticPr fontId="3" type="noConversion"/>
  </si>
  <si>
    <t>华夏恒生</t>
    <phoneticPr fontId="3" type="noConversion"/>
  </si>
  <si>
    <t>华安德国</t>
    <phoneticPr fontId="3" type="noConversion"/>
  </si>
  <si>
    <t>华宝油气</t>
    <phoneticPr fontId="3" type="noConversion"/>
  </si>
  <si>
    <t>黄金ETF</t>
    <phoneticPr fontId="3" type="noConversion"/>
  </si>
  <si>
    <t>纸白银</t>
    <phoneticPr fontId="3" type="noConversion"/>
  </si>
  <si>
    <t>华夏收益债</t>
    <phoneticPr fontId="3" type="noConversion"/>
  </si>
  <si>
    <t>南方天天利</t>
    <phoneticPr fontId="3" type="noConversion"/>
  </si>
  <si>
    <t>公积金</t>
    <phoneticPr fontId="3" type="noConversion"/>
  </si>
  <si>
    <t>000922</t>
    <phoneticPr fontId="3" type="noConversion"/>
  </si>
  <si>
    <t>广发传媒</t>
    <phoneticPr fontId="3" type="noConversion"/>
  </si>
  <si>
    <t>004752</t>
    <phoneticPr fontId="3" type="noConversion"/>
  </si>
  <si>
    <t>广发中证传媒ETF联接A</t>
    <phoneticPr fontId="3" type="noConversion"/>
  </si>
  <si>
    <t>传媒</t>
    <phoneticPr fontId="3" type="noConversion"/>
  </si>
  <si>
    <t>买入</t>
    <phoneticPr fontId="3" type="noConversion"/>
  </si>
  <si>
    <t>卖出获利</t>
    <phoneticPr fontId="3" type="noConversion"/>
  </si>
  <si>
    <t>卖出获利：不计算白银。多次买入+卖出，很难计算的，如果平仓，只计算最后一次平仓时的总收益。其他买入 6400 元整或有记录可查的，可以计算单次收益。</t>
    <phoneticPr fontId="3" type="noConversion"/>
  </si>
  <si>
    <t>注意：黄色填充区为需要人工补足数据的区域，其他为自动计算。</t>
    <rPh sb="0" eb="1">
      <t>zhu'yi</t>
    </rPh>
    <rPh sb="3" eb="4">
      <t>huang'se</t>
    </rPh>
    <rPh sb="5" eb="6">
      <t>tian'chong'qu</t>
    </rPh>
    <rPh sb="7" eb="8">
      <t>qu</t>
    </rPh>
    <rPh sb="8" eb="9">
      <t>wei</t>
    </rPh>
    <rPh sb="9" eb="10">
      <t>xu'y</t>
    </rPh>
    <rPh sb="11" eb="12">
      <t>ren'gong</t>
    </rPh>
    <rPh sb="13" eb="14">
      <t>bu'zu</t>
    </rPh>
    <rPh sb="15" eb="16">
      <t>shu'ju</t>
    </rPh>
    <rPh sb="17" eb="18">
      <t>d</t>
    </rPh>
    <rPh sb="18" eb="19">
      <t>qu'y</t>
    </rPh>
    <rPh sb="21" eb="22">
      <t>qi't</t>
    </rPh>
    <rPh sb="23" eb="24">
      <t>wei</t>
    </rPh>
    <rPh sb="24" eb="25">
      <t>zi'dong</t>
    </rPh>
    <rPh sb="26" eb="27">
      <t>ji's</t>
    </rPh>
    <phoneticPr fontId="3" type="noConversion"/>
  </si>
  <si>
    <t>权益类收益</t>
    <phoneticPr fontId="3" type="noConversion"/>
  </si>
  <si>
    <t>保本类收益</t>
    <phoneticPr fontId="3" type="noConversion"/>
  </si>
  <si>
    <t>现金总计</t>
    <phoneticPr fontId="3" type="noConversion"/>
  </si>
  <si>
    <t>利润总计</t>
    <phoneticPr fontId="3" type="noConversion"/>
  </si>
  <si>
    <t>证券代码</t>
  </si>
  <si>
    <t>证券名称</t>
  </si>
  <si>
    <t>证券数量</t>
  </si>
  <si>
    <t>可卖数量</t>
  </si>
  <si>
    <t>冻结数量</t>
  </si>
  <si>
    <t>在途数量</t>
  </si>
  <si>
    <t>成本价</t>
  </si>
  <si>
    <t>当前价</t>
  </si>
  <si>
    <t>最新市值</t>
  </si>
  <si>
    <t>浮动盈亏</t>
  </si>
  <si>
    <t>盈亏比例(%)</t>
  </si>
  <si>
    <t>交易所名称</t>
  </si>
  <si>
    <t>股东代码</t>
  </si>
  <si>
    <t>资金帐号</t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</si>
  <si>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</si>
  <si>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</si>
  <si>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</si>
  <si>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</si>
  <si>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</si>
  <si>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</si>
  <si>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</si>
  <si>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</si>
  <si>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鹏华添利宝货币</t>
  </si>
  <si>
    <t>货币型</t>
  </si>
  <si>
    <t>活期宝</t>
  </si>
  <si>
    <t>南方天天利货币Ｂ</t>
  </si>
  <si>
    <t>指数型</t>
  </si>
  <si>
    <t>指数宝</t>
  </si>
  <si>
    <t>易方达创业板ETF联接A</t>
  </si>
  <si>
    <t>交银中证海外中国互联网指数</t>
  </si>
  <si>
    <t>QDII</t>
  </si>
  <si>
    <t>华夏恒生ETF联接A</t>
  </si>
  <si>
    <t>招商银行 | 6292</t>
  </si>
  <si>
    <t>华夏收益债券(QDII)A</t>
  </si>
  <si>
    <t>广发中证环保ETF联接A</t>
  </si>
  <si>
    <t>广发中证全指金融地产联接A</t>
  </si>
  <si>
    <t>广发中证传媒ETF联接A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</si>
  <si>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</si>
  <si>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</si>
  <si>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</si>
  <si>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</si>
  <si>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</si>
  <si>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兴全可转债混合</t>
  </si>
  <si>
    <t>混合型</t>
  </si>
  <si>
    <t>长信可转债债券A</t>
  </si>
  <si>
    <t>账户市值</t>
    <rPh sb="0" eb="1">
      <t>gu'p</t>
    </rPh>
    <rPh sb="2" eb="3">
      <t>zhang'hu</t>
    </rPh>
    <phoneticPr fontId="3" type="noConversion"/>
  </si>
  <si>
    <t>富国300场外</t>
  </si>
  <si>
    <t>富国500场外</t>
  </si>
  <si>
    <t>易方达创业板场外</t>
  </si>
  <si>
    <t>广发传媒场外</t>
  </si>
  <si>
    <t>可转债</t>
  </si>
  <si>
    <t>长信可转债</t>
  </si>
  <si>
    <t>易方达安心回报债</t>
  </si>
  <si>
    <t>华宝油气</t>
  </si>
  <si>
    <t>中证红利</t>
  </si>
  <si>
    <t>上证50</t>
  </si>
  <si>
    <t>沪深300</t>
  </si>
  <si>
    <t>中证500</t>
  </si>
  <si>
    <t>中证1000</t>
  </si>
  <si>
    <t>创业板指</t>
  </si>
  <si>
    <t>全指医药</t>
  </si>
  <si>
    <t>养老产业</t>
  </si>
  <si>
    <t>证券公司</t>
  </si>
  <si>
    <t>中证环保</t>
  </si>
  <si>
    <t>中证传媒</t>
  </si>
  <si>
    <t>中证消费</t>
  </si>
  <si>
    <t>全指消费</t>
  </si>
  <si>
    <t>全指金融</t>
  </si>
  <si>
    <t>恒生指数</t>
  </si>
  <si>
    <t>HSI</t>
  </si>
  <si>
    <t>GDAXI_U</t>
  </si>
  <si>
    <t>上海Ａ</t>
  </si>
  <si>
    <t>A280737240</t>
  </si>
  <si>
    <t>深圳Ａ</t>
  </si>
  <si>
    <t>手续费总计</t>
    <phoneticPr fontId="3" type="noConversion"/>
  </si>
  <si>
    <t>南方天天利货币Ｂ</t>
    <phoneticPr fontId="3" type="noConversion"/>
  </si>
  <si>
    <t>广发养老指数A</t>
    <phoneticPr fontId="3" type="noConversion"/>
  </si>
  <si>
    <t>易方达创业板ETF联接A</t>
    <phoneticPr fontId="3" type="noConversion"/>
  </si>
  <si>
    <t>华夏恒生ETF联接A</t>
    <phoneticPr fontId="3" type="noConversion"/>
  </si>
  <si>
    <t>华安德国30(DAX)联接</t>
    <phoneticPr fontId="3" type="noConversion"/>
  </si>
  <si>
    <t>华夏收益债券(QDII)A</t>
    <phoneticPr fontId="3" type="noConversion"/>
  </si>
  <si>
    <t>广发中证环保ETF联接A</t>
    <phoneticPr fontId="3" type="noConversion"/>
  </si>
  <si>
    <t>广发医药卫生联接A</t>
    <phoneticPr fontId="3" type="noConversion"/>
  </si>
  <si>
    <t>富国中证红利指数增强</t>
    <phoneticPr fontId="3" type="noConversion"/>
  </si>
  <si>
    <t>富国沪深300指数增强</t>
    <phoneticPr fontId="3" type="noConversion"/>
  </si>
  <si>
    <t>富国中证500指数(LOF)</t>
    <phoneticPr fontId="3" type="noConversion"/>
  </si>
  <si>
    <t>华宝标普油气上游股票</t>
    <phoneticPr fontId="3" type="noConversion"/>
  </si>
  <si>
    <t>蛋卷</t>
  </si>
  <si>
    <t>投入市值</t>
    <phoneticPr fontId="3" type="noConversion"/>
  </si>
  <si>
    <t>盈亏额</t>
    <phoneticPr fontId="3" type="noConversion"/>
  </si>
  <si>
    <t>收益率</t>
    <phoneticPr fontId="3" type="noConversion"/>
  </si>
  <si>
    <t>整体</t>
    <phoneticPr fontId="3" type="noConversion"/>
  </si>
  <si>
    <t>总市值</t>
    <phoneticPr fontId="3" type="noConversion"/>
  </si>
  <si>
    <t>天天基金总额</t>
    <phoneticPr fontId="3" type="noConversion"/>
  </si>
  <si>
    <t>股票总额</t>
    <phoneticPr fontId="3" type="noConversion"/>
  </si>
  <si>
    <t>且慢总额</t>
    <phoneticPr fontId="3" type="noConversion"/>
  </si>
  <si>
    <t>蛋卷总额</t>
    <phoneticPr fontId="3" type="noConversion"/>
  </si>
  <si>
    <t>支付宝基金总额</t>
    <phoneticPr fontId="3" type="noConversion"/>
  </si>
  <si>
    <t>股票</t>
    <phoneticPr fontId="3" type="noConversion"/>
  </si>
  <si>
    <t>地产定期</t>
    <phoneticPr fontId="3" type="noConversion"/>
  </si>
  <si>
    <t>场外基金总额</t>
    <phoneticPr fontId="3" type="noConversion"/>
  </si>
  <si>
    <t>支付宝（指数基金）</t>
    <phoneticPr fontId="3" type="noConversion"/>
  </si>
  <si>
    <t>天天基金（指数基金）</t>
    <phoneticPr fontId="3" type="noConversion"/>
  </si>
  <si>
    <t>且慢（指数基金）</t>
    <phoneticPr fontId="3" type="noConversion"/>
  </si>
  <si>
    <t>510050</t>
  </si>
  <si>
    <t>0</t>
  </si>
  <si>
    <t>2.945</t>
  </si>
  <si>
    <t>26.02</t>
  </si>
  <si>
    <t>666624701961</t>
  </si>
  <si>
    <t>510300</t>
  </si>
  <si>
    <t>3.869</t>
  </si>
  <si>
    <t>12.24</t>
  </si>
  <si>
    <t>510500</t>
  </si>
  <si>
    <t>5.325</t>
  </si>
  <si>
    <t>-5.01</t>
  </si>
  <si>
    <t>512580</t>
  </si>
  <si>
    <t>0.728</t>
  </si>
  <si>
    <t>-16.99</t>
  </si>
  <si>
    <t>512880</t>
  </si>
  <si>
    <t>0.941</t>
  </si>
  <si>
    <t>20.18</t>
  </si>
  <si>
    <t>512980</t>
  </si>
  <si>
    <t>0.752</t>
  </si>
  <si>
    <t>-13.46</t>
  </si>
  <si>
    <t>518880</t>
  </si>
  <si>
    <t>3.396</t>
  </si>
  <si>
    <t>18.91</t>
  </si>
  <si>
    <t>159902</t>
  </si>
  <si>
    <t>中 小 板</t>
  </si>
  <si>
    <t>2.949</t>
  </si>
  <si>
    <t>-0.03</t>
  </si>
  <si>
    <t>0184500716</t>
  </si>
  <si>
    <t>159915</t>
  </si>
  <si>
    <t>1.570</t>
  </si>
  <si>
    <t>12.22</t>
  </si>
  <si>
    <t>159938</t>
  </si>
  <si>
    <t>1.311</t>
  </si>
  <si>
    <t>3.15</t>
  </si>
  <si>
    <t>创金合信中证1000指数增强C</t>
  </si>
  <si>
    <t>中国工商银行 | 4358</t>
  </si>
  <si>
    <t>广发中证500ETF联接C</t>
  </si>
  <si>
    <t>中 小 板</t>
    <phoneticPr fontId="3" type="noConversion"/>
  </si>
  <si>
    <t>创金合信中证1000指数增强C</t>
    <phoneticPr fontId="3" type="noConversion"/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</si>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</sst>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 &quot;¥&quot;* #,##0.00_ ;_ &quot;¥&quot;* \-#,##0.00_ ;_ &quot;¥&quot;* &quot;-&quot;??_ ;_ @_ "/>
    <numFmt numFmtId="176" formatCode="_(&quot;¥&quot;* #,##0.00_);_(&quot;¥&quot;* \(#,##0.00\);_(&quot;¥&quot;* &quot;-&quot;??_);_(@_)"/>
    <numFmt numFmtId="177" formatCode="_(* #,##0.00_);_(* \(#,##0.00\);_(* &quot;-&quot;??_);_(@_)"/>
    <numFmt numFmtId="178" formatCode="0.000"/>
    <numFmt numFmtId="179" formatCode="0.0000"/>
    <numFmt numFmtId="180" formatCode="0.0000_);[Red]\(0.0000\)"/>
    <numFmt numFmtId="181" formatCode="0.00_ "/>
    <numFmt numFmtId="182" formatCode="0.00_);[Red]\(0.00\)"/>
    <numFmt numFmtId="183" formatCode="0_);[Red]\(0\)"/>
    <numFmt numFmtId="184" formatCode="0.0_ "/>
    <numFmt numFmtId="185" formatCode="#000000"/>
  </numFmts>
  <fonts count="25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11"/>
      <color rgb="FFFF0000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1"/>
      <color theme="0"/>
      <name val="黑体"/>
      <family val="3"/>
      <charset val="134"/>
    </font>
    <font>
      <b/>
      <sz val="11"/>
      <color theme="1"/>
      <name val="DengXian"/>
      <family val="3"/>
      <charset val="134"/>
      <scheme val="minor"/>
    </font>
    <font>
      <b/>
      <sz val="11"/>
      <color rgb="FFFF0000"/>
      <name val="DengXian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indexed="81"/>
      <name val="ＭＳ Ｐゴシック"/>
      <family val="2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9"/>
      <color indexed="81"/>
      <name val="宋体"/>
      <family val="3"/>
      <charset val="134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rgb="FF000000"/>
      <name val="ＭＳ Ｐゴシック"/>
      <family val="2"/>
      <charset val="128"/>
    </font>
    <font>
      <sz val="9"/>
      <color rgb="FF000000"/>
      <name val="宋体"/>
      <family val="3"/>
      <charset val="134"/>
    </font>
    <font>
      <b/>
      <sz val="10"/>
      <color rgb="FF000000"/>
      <name val="Microsoft YaHei UI"/>
      <family val="2"/>
      <charset val="134"/>
    </font>
    <font>
      <b/>
      <sz val="9"/>
      <color rgb="FF000000"/>
      <name val="宋体"/>
      <family val="3"/>
      <charset val="134"/>
    </font>
    <font>
      <sz val="11"/>
      <color rgb="FF000000"/>
      <name val="DengXian"/>
      <family val="4"/>
      <charset val="134"/>
      <scheme val="minor"/>
    </font>
    <font>
      <sz val="10"/>
      <color rgb="FF000000"/>
      <name val="Microsoft YaHei UI"/>
      <family val="2"/>
      <charset val="134"/>
    </font>
    <font>
      <sz val="10"/>
      <color rgb="FF000000"/>
      <name val="DengXian"/>
      <family val="4"/>
      <charset val="134"/>
      <scheme val="minor"/>
    </font>
    <font>
      <b/>
      <sz val="11"/>
      <color theme="1"/>
      <name val="DengXian"/>
      <scheme val="minor"/>
    </font>
    <font>
      <b/>
      <sz val="11"/>
      <color rgb="FFFF0000"/>
      <name val="DengXian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</cellStyleXfs>
  <cellXfs count="186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14" fontId="4" fillId="3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0" fontId="6" fillId="0" borderId="0" xfId="1" applyNumberFormat="1" applyFont="1" applyAlignment="1">
      <alignment horizontal="center" vertical="center"/>
    </xf>
    <xf numFmtId="2" fontId="2" fillId="0" borderId="0" xfId="0" applyNumberFormat="1" applyFont="1" applyAlignment="1">
      <alignment horizontal="right" vertical="center"/>
    </xf>
    <xf numFmtId="14" fontId="2" fillId="0" borderId="0" xfId="0" applyNumberFormat="1" applyFont="1" applyAlignment="1">
      <alignment horizontal="center" vertical="center"/>
    </xf>
    <xf numFmtId="14" fontId="0" fillId="0" borderId="0" xfId="0" applyNumberFormat="1">
      <alignment vertical="center"/>
    </xf>
    <xf numFmtId="10" fontId="5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1" xfId="0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0" fontId="4" fillId="8" borderId="0" xfId="0" applyFont="1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left" vertical="center"/>
    </xf>
    <xf numFmtId="0" fontId="0" fillId="5" borderId="0" xfId="0" applyFill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2" fontId="0" fillId="7" borderId="0" xfId="0" applyNumberForma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82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79" fontId="0" fillId="0" borderId="0" xfId="0" applyNumberFormat="1" applyFill="1">
      <alignment vertical="center"/>
    </xf>
    <xf numFmtId="178" fontId="0" fillId="0" borderId="0" xfId="0" applyNumberFormat="1" applyFill="1">
      <alignment vertical="center"/>
    </xf>
    <xf numFmtId="0" fontId="0" fillId="0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9" borderId="0" xfId="0" applyNumberFormat="1" applyFill="1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10" fontId="12" fillId="0" borderId="0" xfId="1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Fill="1" applyBorder="1" applyAlignment="1">
      <alignment horizontal="center" vertical="center"/>
    </xf>
    <xf numFmtId="180" fontId="0" fillId="0" borderId="0" xfId="0" applyNumberFormat="1">
      <alignment vertical="center"/>
    </xf>
    <xf numFmtId="2" fontId="0" fillId="5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16" borderId="0" xfId="1" applyNumberFormat="1" applyFont="1" applyFill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0" fontId="0" fillId="6" borderId="0" xfId="1" applyNumberFormat="1" applyFont="1" applyFill="1" applyAlignment="1">
      <alignment horizontal="center" vertical="center"/>
    </xf>
    <xf numFmtId="10" fontId="0" fillId="2" borderId="0" xfId="1" applyNumberFormat="1" applyFon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9" fontId="0" fillId="0" borderId="0" xfId="1" applyFont="1" applyAlignment="1">
      <alignment vertical="center"/>
    </xf>
    <xf numFmtId="10" fontId="15" fillId="0" borderId="0" xfId="1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184" fontId="0" fillId="0" borderId="1" xfId="0" applyNumberFormat="1" applyFill="1" applyBorder="1" applyAlignment="1">
      <alignment horizontal="center" vertical="center"/>
    </xf>
    <xf numFmtId="181" fontId="0" fillId="0" borderId="1" xfId="0" applyNumberForma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182" fontId="0" fillId="0" borderId="1" xfId="50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58" fontId="0" fillId="0" borderId="0" xfId="0" applyNumberFormat="1">
      <alignment vertical="center"/>
    </xf>
    <xf numFmtId="185" fontId="0" fillId="0" borderId="0" xfId="0" applyNumberFormat="1">
      <alignment vertical="center"/>
    </xf>
    <xf numFmtId="2" fontId="0" fillId="2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185" fontId="0" fillId="2" borderId="0" xfId="0" applyNumberFormat="1" applyFill="1">
      <alignment vertical="center"/>
    </xf>
    <xf numFmtId="0" fontId="0" fillId="2" borderId="0" xfId="0" applyFill="1">
      <alignment vertical="center"/>
    </xf>
    <xf numFmtId="2" fontId="0" fillId="2" borderId="0" xfId="0" applyNumberFormat="1" applyFill="1">
      <alignment vertical="center"/>
    </xf>
    <xf numFmtId="185" fontId="0" fillId="4" borderId="0" xfId="0" applyNumberFormat="1" applyFill="1">
      <alignment vertical="center"/>
    </xf>
    <xf numFmtId="0" fontId="0" fillId="4" borderId="0" xfId="0" applyFill="1">
      <alignment vertical="center"/>
    </xf>
    <xf numFmtId="2" fontId="0" fillId="4" borderId="0" xfId="0" applyNumberFormat="1" applyFill="1">
      <alignment vertical="center"/>
    </xf>
    <xf numFmtId="0" fontId="0" fillId="0" borderId="0" xfId="0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179" fontId="0" fillId="5" borderId="0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82" fontId="0" fillId="0" borderId="0" xfId="501" applyNumberFormat="1" applyFont="1">
      <alignment vertical="center"/>
    </xf>
    <xf numFmtId="180" fontId="0" fillId="0" borderId="0" xfId="501" applyNumberFormat="1" applyFont="1">
      <alignment vertical="center"/>
    </xf>
    <xf numFmtId="177" fontId="0" fillId="0" borderId="1" xfId="50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501" applyNumberFormat="1" applyFont="1">
      <alignment vertical="center"/>
    </xf>
    <xf numFmtId="0" fontId="0" fillId="0" borderId="0" xfId="0" applyAlignment="1">
      <alignment horizontal="center" vertical="center"/>
    </xf>
    <xf numFmtId="177" fontId="0" fillId="0" borderId="0" xfId="501" applyFont="1" applyAlignment="1">
      <alignment horizontal="center" vertical="center"/>
    </xf>
    <xf numFmtId="10" fontId="0" fillId="0" borderId="0" xfId="1" applyNumberFormat="1" applyFont="1" applyAlignment="1">
      <alignment horizontal="right" vertical="center"/>
    </xf>
    <xf numFmtId="44" fontId="0" fillId="0" borderId="0" xfId="501" applyNumberFormat="1" applyFont="1" applyAlignment="1">
      <alignment horizontal="right" vertical="center"/>
    </xf>
    <xf numFmtId="177" fontId="23" fillId="0" borderId="0" xfId="501" applyFont="1" applyAlignment="1">
      <alignment horizontal="center" vertical="center"/>
    </xf>
    <xf numFmtId="44" fontId="23" fillId="0" borderId="0" xfId="501" applyNumberFormat="1" applyFont="1">
      <alignment vertical="center"/>
    </xf>
    <xf numFmtId="44" fontId="24" fillId="0" borderId="0" xfId="501" applyNumberFormat="1" applyFont="1">
      <alignment vertical="center"/>
    </xf>
    <xf numFmtId="10" fontId="24" fillId="0" borderId="0" xfId="1" applyNumberFormat="1" applyFont="1" applyAlignment="1">
      <alignment horizontal="right" vertical="center"/>
    </xf>
    <xf numFmtId="180" fontId="0" fillId="0" borderId="0" xfId="501" applyNumberFormat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9" borderId="0" xfId="0" applyFill="1">
      <alignment vertical="center"/>
    </xf>
    <xf numFmtId="58" fontId="0" fillId="9" borderId="0" xfId="0" applyNumberFormat="1" applyFill="1">
      <alignment vertical="center"/>
    </xf>
    <xf numFmtId="180" fontId="0" fillId="9" borderId="0" xfId="501" applyNumberFormat="1" applyFont="1" applyFill="1">
      <alignment vertical="center"/>
    </xf>
    <xf numFmtId="182" fontId="0" fillId="9" borderId="0" xfId="501" applyNumberFormat="1" applyFont="1" applyFill="1">
      <alignment vertical="center"/>
    </xf>
    <xf numFmtId="0" fontId="0" fillId="3" borderId="0" xfId="0" applyFill="1">
      <alignment vertical="center"/>
    </xf>
    <xf numFmtId="58" fontId="0" fillId="3" borderId="0" xfId="0" applyNumberFormat="1" applyFill="1">
      <alignment vertical="center"/>
    </xf>
    <xf numFmtId="180" fontId="0" fillId="3" borderId="0" xfId="501" applyNumberFormat="1" applyFont="1" applyFill="1">
      <alignment vertical="center"/>
    </xf>
    <xf numFmtId="182" fontId="0" fillId="3" borderId="0" xfId="501" applyNumberFormat="1" applyFont="1" applyFill="1">
      <alignment vertical="center"/>
    </xf>
  </cellXfs>
  <cellStyles count="502">
    <cellStyle name="百分比" xfId="1" builtinId="5"/>
    <cellStyle name="常规" xfId="0" builtinId="0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超链接" xfId="55" builtinId="8" hidden="1"/>
    <cellStyle name="超链接" xfId="57" builtinId="8" hidden="1"/>
    <cellStyle name="超链接" xfId="59" builtinId="8" hidden="1"/>
    <cellStyle name="超链接" xfId="61" builtinId="8" hidden="1"/>
    <cellStyle name="超链接" xfId="63" builtinId="8" hidden="1"/>
    <cellStyle name="超链接" xfId="65" builtinId="8" hidden="1"/>
    <cellStyle name="超链接" xfId="67" builtinId="8" hidden="1"/>
    <cellStyle name="超链接" xfId="69" builtinId="8" hidden="1"/>
    <cellStyle name="超链接" xfId="71" builtinId="8" hidden="1"/>
    <cellStyle name="超链接" xfId="73" builtinId="8" hidden="1"/>
    <cellStyle name="超链接" xfId="75" builtinId="8" hidden="1"/>
    <cellStyle name="超链接" xfId="77" builtinId="8" hidden="1"/>
    <cellStyle name="超链接" xfId="79" builtinId="8" hidden="1"/>
    <cellStyle name="超链接" xfId="81" builtinId="8" hidden="1"/>
    <cellStyle name="超链接" xfId="83" builtinId="8" hidden="1"/>
    <cellStyle name="超链接" xfId="85" builtinId="8" hidden="1"/>
    <cellStyle name="超链接" xfId="87" builtinId="8" hidden="1"/>
    <cellStyle name="超链接" xfId="89" builtinId="8" hidden="1"/>
    <cellStyle name="超链接" xfId="91" builtinId="8" hidden="1"/>
    <cellStyle name="超链接" xfId="93" builtinId="8" hidden="1"/>
    <cellStyle name="超链接" xfId="95" builtinId="8" hidden="1"/>
    <cellStyle name="超链接" xfId="97" builtinId="8" hidden="1"/>
    <cellStyle name="超链接" xfId="99" builtinId="8" hidden="1"/>
    <cellStyle name="超链接" xfId="101" builtinId="8" hidden="1"/>
    <cellStyle name="超链接" xfId="103" builtinId="8" hidden="1"/>
    <cellStyle name="超链接" xfId="105" builtinId="8" hidden="1"/>
    <cellStyle name="超链接" xfId="107" builtinId="8" hidden="1"/>
    <cellStyle name="超链接" xfId="109" builtinId="8" hidden="1"/>
    <cellStyle name="超链接" xfId="111" builtinId="8" hidden="1"/>
    <cellStyle name="超链接" xfId="113" builtinId="8" hidden="1"/>
    <cellStyle name="超链接" xfId="115" builtinId="8" hidden="1"/>
    <cellStyle name="超链接" xfId="117" builtinId="8" hidden="1"/>
    <cellStyle name="超链接" xfId="119" builtinId="8" hidden="1"/>
    <cellStyle name="超链接" xfId="121" builtinId="8" hidden="1"/>
    <cellStyle name="超链接" xfId="123" builtinId="8" hidden="1"/>
    <cellStyle name="超链接" xfId="125" builtinId="8" hidden="1"/>
    <cellStyle name="超链接" xfId="127" builtinId="8" hidden="1"/>
    <cellStyle name="超链接" xfId="129" builtinId="8" hidden="1"/>
    <cellStyle name="超链接" xfId="131" builtinId="8" hidden="1"/>
    <cellStyle name="超链接" xfId="133" builtinId="8" hidden="1"/>
    <cellStyle name="超链接" xfId="135" builtinId="8" hidden="1"/>
    <cellStyle name="超链接" xfId="137" builtinId="8" hidden="1"/>
    <cellStyle name="超链接" xfId="139" builtinId="8" hidden="1"/>
    <cellStyle name="超链接" xfId="141" builtinId="8" hidden="1"/>
    <cellStyle name="超链接" xfId="143" builtinId="8" hidden="1"/>
    <cellStyle name="超链接" xfId="145" builtinId="8" hidden="1"/>
    <cellStyle name="超链接" xfId="147" builtinId="8" hidden="1"/>
    <cellStyle name="超链接" xfId="149" builtinId="8" hidden="1"/>
    <cellStyle name="超链接" xfId="151" builtinId="8" hidden="1"/>
    <cellStyle name="超链接" xfId="153" builtinId="8" hidden="1"/>
    <cellStyle name="超链接" xfId="155" builtinId="8" hidden="1"/>
    <cellStyle name="超链接" xfId="157" builtinId="8" hidden="1"/>
    <cellStyle name="超链接" xfId="159" builtinId="8" hidden="1"/>
    <cellStyle name="超链接" xfId="161" builtinId="8" hidden="1"/>
    <cellStyle name="超链接" xfId="163" builtinId="8" hidden="1"/>
    <cellStyle name="超链接" xfId="165" builtinId="8" hidden="1"/>
    <cellStyle name="超链接" xfId="167" builtinId="8" hidden="1"/>
    <cellStyle name="超链接" xfId="169" builtinId="8" hidden="1"/>
    <cellStyle name="超链接" xfId="171" builtinId="8" hidden="1"/>
    <cellStyle name="超链接" xfId="173" builtinId="8" hidden="1"/>
    <cellStyle name="超链接" xfId="175" builtinId="8" hidden="1"/>
    <cellStyle name="超链接" xfId="177" builtinId="8" hidden="1"/>
    <cellStyle name="超链接" xfId="179" builtinId="8" hidden="1"/>
    <cellStyle name="超链接" xfId="181" builtinId="8" hidden="1"/>
    <cellStyle name="超链接" xfId="183" builtinId="8" hidden="1"/>
    <cellStyle name="超链接" xfId="185" builtinId="8" hidden="1"/>
    <cellStyle name="超链接" xfId="187" builtinId="8" hidden="1"/>
    <cellStyle name="超链接" xfId="189" builtinId="8" hidden="1"/>
    <cellStyle name="超链接" xfId="191" builtinId="8" hidden="1"/>
    <cellStyle name="超链接" xfId="193" builtinId="8" hidden="1"/>
    <cellStyle name="超链接" xfId="195" builtinId="8" hidden="1"/>
    <cellStyle name="超链接" xfId="197" builtinId="8" hidden="1"/>
    <cellStyle name="超链接" xfId="199" builtinId="8" hidden="1"/>
    <cellStyle name="超链接" xfId="201" builtinId="8" hidden="1"/>
    <cellStyle name="超链接" xfId="203" builtinId="8" hidden="1"/>
    <cellStyle name="超链接" xfId="205" builtinId="8" hidden="1"/>
    <cellStyle name="超链接" xfId="207" builtinId="8" hidden="1"/>
    <cellStyle name="超链接" xfId="209" builtinId="8" hidden="1"/>
    <cellStyle name="超链接" xfId="211" builtinId="8" hidden="1"/>
    <cellStyle name="超链接" xfId="213" builtinId="8" hidden="1"/>
    <cellStyle name="超链接" xfId="215" builtinId="8" hidden="1"/>
    <cellStyle name="超链接" xfId="217" builtinId="8" hidden="1"/>
    <cellStyle name="超链接" xfId="219" builtinId="8" hidden="1"/>
    <cellStyle name="超链接" xfId="221" builtinId="8" hidden="1"/>
    <cellStyle name="超链接" xfId="223" builtinId="8" hidden="1"/>
    <cellStyle name="超链接" xfId="225" builtinId="8" hidden="1"/>
    <cellStyle name="超链接" xfId="227" builtinId="8" hidden="1"/>
    <cellStyle name="超链接" xfId="229" builtinId="8" hidden="1"/>
    <cellStyle name="超链接" xfId="231" builtinId="8" hidden="1"/>
    <cellStyle name="超链接" xfId="233" builtinId="8" hidden="1"/>
    <cellStyle name="超链接" xfId="235" builtinId="8" hidden="1"/>
    <cellStyle name="超链接" xfId="237" builtinId="8" hidden="1"/>
    <cellStyle name="超链接" xfId="239" builtinId="8" hidden="1"/>
    <cellStyle name="超链接" xfId="241" builtinId="8" hidden="1"/>
    <cellStyle name="超链接" xfId="243" builtinId="8" hidden="1"/>
    <cellStyle name="超链接" xfId="245" builtinId="8" hidden="1"/>
    <cellStyle name="超链接" xfId="247" builtinId="8" hidden="1"/>
    <cellStyle name="超链接" xfId="249" builtinId="8" hidden="1"/>
    <cellStyle name="超链接" xfId="251" builtinId="8" hidden="1"/>
    <cellStyle name="超链接" xfId="253" builtinId="8" hidden="1"/>
    <cellStyle name="超链接" xfId="255" builtinId="8" hidden="1"/>
    <cellStyle name="超链接" xfId="257" builtinId="8" hidden="1"/>
    <cellStyle name="超链接" xfId="259" builtinId="8" hidden="1"/>
    <cellStyle name="超链接" xfId="261" builtinId="8" hidden="1"/>
    <cellStyle name="超链接" xfId="263" builtinId="8" hidden="1"/>
    <cellStyle name="超链接" xfId="265" builtinId="8" hidden="1"/>
    <cellStyle name="超链接" xfId="267" builtinId="8" hidden="1"/>
    <cellStyle name="超链接" xfId="269" builtinId="8" hidden="1"/>
    <cellStyle name="超链接" xfId="271" builtinId="8" hidden="1"/>
    <cellStyle name="超链接" xfId="273" builtinId="8" hidden="1"/>
    <cellStyle name="超链接" xfId="275" builtinId="8" hidden="1"/>
    <cellStyle name="超链接" xfId="277" builtinId="8" hidden="1"/>
    <cellStyle name="超链接" xfId="279" builtinId="8" hidden="1"/>
    <cellStyle name="超链接" xfId="281" builtinId="8" hidden="1"/>
    <cellStyle name="超链接" xfId="283" builtinId="8" hidden="1"/>
    <cellStyle name="超链接" xfId="285" builtinId="8" hidden="1"/>
    <cellStyle name="超链接" xfId="287" builtinId="8" hidden="1"/>
    <cellStyle name="超链接" xfId="289" builtinId="8" hidden="1"/>
    <cellStyle name="超链接" xfId="291" builtinId="8" hidden="1"/>
    <cellStyle name="超链接" xfId="293" builtinId="8" hidden="1"/>
    <cellStyle name="超链接" xfId="295" builtinId="8" hidden="1"/>
    <cellStyle name="超链接" xfId="297" builtinId="8" hidden="1"/>
    <cellStyle name="超链接" xfId="299" builtinId="8" hidden="1"/>
    <cellStyle name="超链接" xfId="301" builtinId="8" hidden="1"/>
    <cellStyle name="超链接" xfId="303" builtinId="8" hidden="1"/>
    <cellStyle name="超链接" xfId="305" builtinId="8" hidden="1"/>
    <cellStyle name="超链接" xfId="307" builtinId="8" hidden="1"/>
    <cellStyle name="超链接" xfId="309" builtinId="8" hidden="1"/>
    <cellStyle name="超链接" xfId="311" builtinId="8" hidden="1"/>
    <cellStyle name="超链接" xfId="313" builtinId="8" hidden="1"/>
    <cellStyle name="超链接" xfId="315" builtinId="8" hidden="1"/>
    <cellStyle name="超链接" xfId="317" builtinId="8" hidden="1"/>
    <cellStyle name="超链接" xfId="319" builtinId="8" hidden="1"/>
    <cellStyle name="超链接" xfId="321" builtinId="8" hidden="1"/>
    <cellStyle name="超链接" xfId="323" builtinId="8" hidden="1"/>
    <cellStyle name="超链接" xfId="325" builtinId="8" hidden="1"/>
    <cellStyle name="超链接" xfId="327" builtinId="8" hidden="1"/>
    <cellStyle name="超链接" xfId="329" builtinId="8" hidden="1"/>
    <cellStyle name="超链接" xfId="331" builtinId="8" hidden="1"/>
    <cellStyle name="超链接" xfId="333" builtinId="8" hidden="1"/>
    <cellStyle name="超链接" xfId="335" builtinId="8" hidden="1"/>
    <cellStyle name="超链接" xfId="337" builtinId="8" hidden="1"/>
    <cellStyle name="超链接" xfId="339" builtinId="8" hidden="1"/>
    <cellStyle name="超链接" xfId="341" builtinId="8" hidden="1"/>
    <cellStyle name="超链接" xfId="343" builtinId="8" hidden="1"/>
    <cellStyle name="超链接" xfId="345" builtinId="8" hidden="1"/>
    <cellStyle name="超链接" xfId="347" builtinId="8" hidden="1"/>
    <cellStyle name="超链接" xfId="349" builtinId="8" hidden="1"/>
    <cellStyle name="超链接" xfId="351" builtinId="8" hidden="1"/>
    <cellStyle name="超链接" xfId="353" builtinId="8" hidden="1"/>
    <cellStyle name="超链接" xfId="355" builtinId="8" hidden="1"/>
    <cellStyle name="超链接" xfId="357" builtinId="8" hidden="1"/>
    <cellStyle name="超链接" xfId="359" builtinId="8" hidden="1"/>
    <cellStyle name="超链接" xfId="361" builtinId="8" hidden="1"/>
    <cellStyle name="超链接" xfId="363" builtinId="8" hidden="1"/>
    <cellStyle name="超链接" xfId="365" builtinId="8" hidden="1"/>
    <cellStyle name="超链接" xfId="367" builtinId="8" hidden="1"/>
    <cellStyle name="超链接" xfId="369" builtinId="8" hidden="1"/>
    <cellStyle name="超链接" xfId="371" builtinId="8" hidden="1"/>
    <cellStyle name="超链接" xfId="373" builtinId="8" hidden="1"/>
    <cellStyle name="超链接" xfId="375" builtinId="8" hidden="1"/>
    <cellStyle name="超链接" xfId="377" builtinId="8" hidden="1"/>
    <cellStyle name="超链接" xfId="379" builtinId="8" hidden="1"/>
    <cellStyle name="超链接" xfId="381" builtinId="8" hidden="1"/>
    <cellStyle name="超链接" xfId="383" builtinId="8" hidden="1"/>
    <cellStyle name="超链接" xfId="385" builtinId="8" hidden="1"/>
    <cellStyle name="超链接" xfId="387" builtinId="8" hidden="1"/>
    <cellStyle name="超链接" xfId="389" builtinId="8" hidden="1"/>
    <cellStyle name="超链接" xfId="391" builtinId="8" hidden="1"/>
    <cellStyle name="超链接" xfId="393" builtinId="8" hidden="1"/>
    <cellStyle name="超链接" xfId="395" builtinId="8" hidden="1"/>
    <cellStyle name="超链接" xfId="397" builtinId="8" hidden="1"/>
    <cellStyle name="超链接" xfId="399" builtinId="8" hidden="1"/>
    <cellStyle name="超链接" xfId="401" builtinId="8" hidden="1"/>
    <cellStyle name="超链接" xfId="403" builtinId="8" hidden="1"/>
    <cellStyle name="超链接" xfId="405" builtinId="8" hidden="1"/>
    <cellStyle name="超链接" xfId="407" builtinId="8" hidden="1"/>
    <cellStyle name="超链接" xfId="409" builtinId="8" hidden="1"/>
    <cellStyle name="超链接" xfId="411" builtinId="8" hidden="1"/>
    <cellStyle name="超链接" xfId="413" builtinId="8" hidden="1"/>
    <cellStyle name="超链接" xfId="415" builtinId="8" hidden="1"/>
    <cellStyle name="超链接" xfId="417" builtinId="8" hidden="1"/>
    <cellStyle name="超链接" xfId="419" builtinId="8" hidden="1"/>
    <cellStyle name="超链接" xfId="421" builtinId="8" hidden="1"/>
    <cellStyle name="超链接" xfId="423" builtinId="8" hidden="1"/>
    <cellStyle name="超链接" xfId="425" builtinId="8" hidden="1"/>
    <cellStyle name="超链接" xfId="427" builtinId="8" hidden="1"/>
    <cellStyle name="超链接" xfId="429" builtinId="8" hidden="1"/>
    <cellStyle name="超链接" xfId="431" builtinId="8" hidden="1"/>
    <cellStyle name="超链接" xfId="433" builtinId="8" hidden="1"/>
    <cellStyle name="超链接" xfId="435" builtinId="8" hidden="1"/>
    <cellStyle name="超链接" xfId="437" builtinId="8" hidden="1"/>
    <cellStyle name="超链接" xfId="439" builtinId="8" hidden="1"/>
    <cellStyle name="超链接" xfId="441" builtinId="8" hidden="1"/>
    <cellStyle name="超链接" xfId="443" builtinId="8" hidden="1"/>
    <cellStyle name="超链接" xfId="445" builtinId="8" hidden="1"/>
    <cellStyle name="超链接" xfId="447" builtinId="8" hidden="1"/>
    <cellStyle name="超链接" xfId="449" builtinId="8" hidden="1"/>
    <cellStyle name="超链接" xfId="451" builtinId="8" hidden="1"/>
    <cellStyle name="超链接" xfId="453" builtinId="8" hidden="1"/>
    <cellStyle name="超链接" xfId="455" builtinId="8" hidden="1"/>
    <cellStyle name="超链接" xfId="457" builtinId="8" hidden="1"/>
    <cellStyle name="超链接" xfId="459" builtinId="8" hidden="1"/>
    <cellStyle name="超链接" xfId="461" builtinId="8" hidden="1"/>
    <cellStyle name="超链接" xfId="463" builtinId="8" hidden="1"/>
    <cellStyle name="超链接" xfId="465" builtinId="8" hidden="1"/>
    <cellStyle name="超链接" xfId="467" builtinId="8" hidden="1"/>
    <cellStyle name="超链接" xfId="469" builtinId="8" hidden="1"/>
    <cellStyle name="超链接" xfId="471" builtinId="8" hidden="1"/>
    <cellStyle name="超链接" xfId="473" builtinId="8" hidden="1"/>
    <cellStyle name="超链接" xfId="475" builtinId="8" hidden="1"/>
    <cellStyle name="超链接" xfId="477" builtinId="8" hidden="1"/>
    <cellStyle name="超链接" xfId="479" builtinId="8" hidden="1"/>
    <cellStyle name="超链接" xfId="481" builtinId="8" hidden="1"/>
    <cellStyle name="超链接" xfId="483" builtinId="8" hidden="1"/>
    <cellStyle name="超链接" xfId="485" builtinId="8" hidden="1"/>
    <cellStyle name="超链接" xfId="487" builtinId="8" hidden="1"/>
    <cellStyle name="超链接" xfId="489" builtinId="8" hidden="1"/>
    <cellStyle name="超链接" xfId="491" builtinId="8" hidden="1"/>
    <cellStyle name="超链接" xfId="493" builtinId="8" hidden="1"/>
    <cellStyle name="超链接" xfId="495" builtinId="8" hidden="1"/>
    <cellStyle name="超链接" xfId="497" builtinId="8" hidden="1"/>
    <cellStyle name="超链接" xfId="499" builtinId="8" hidden="1"/>
    <cellStyle name="货币" xfId="2" builtinId="4"/>
    <cellStyle name="千位分隔" xfId="501" builtinId="3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  <cellStyle name="已访问的超链接" xfId="56" builtinId="9" hidden="1"/>
    <cellStyle name="已访问的超链接" xfId="58" builtinId="9" hidden="1"/>
    <cellStyle name="已访问的超链接" xfId="60" builtinId="9" hidden="1"/>
    <cellStyle name="已访问的超链接" xfId="62" builtinId="9" hidden="1"/>
    <cellStyle name="已访问的超链接" xfId="64" builtinId="9" hidden="1"/>
    <cellStyle name="已访问的超链接" xfId="66" builtinId="9" hidden="1"/>
    <cellStyle name="已访问的超链接" xfId="68" builtinId="9" hidden="1"/>
    <cellStyle name="已访问的超链接" xfId="70" builtinId="9" hidden="1"/>
    <cellStyle name="已访问的超链接" xfId="72" builtinId="9" hidden="1"/>
    <cellStyle name="已访问的超链接" xfId="74" builtinId="9" hidden="1"/>
    <cellStyle name="已访问的超链接" xfId="76" builtinId="9" hidden="1"/>
    <cellStyle name="已访问的超链接" xfId="78" builtinId="9" hidden="1"/>
    <cellStyle name="已访问的超链接" xfId="80" builtinId="9" hidden="1"/>
    <cellStyle name="已访问的超链接" xfId="82" builtinId="9" hidden="1"/>
    <cellStyle name="已访问的超链接" xfId="84" builtinId="9" hidden="1"/>
    <cellStyle name="已访问的超链接" xfId="86" builtinId="9" hidden="1"/>
    <cellStyle name="已访问的超链接" xfId="88" builtinId="9" hidden="1"/>
    <cellStyle name="已访问的超链接" xfId="90" builtinId="9" hidden="1"/>
    <cellStyle name="已访问的超链接" xfId="92" builtinId="9" hidden="1"/>
    <cellStyle name="已访问的超链接" xfId="94" builtinId="9" hidden="1"/>
    <cellStyle name="已访问的超链接" xfId="96" builtinId="9" hidden="1"/>
    <cellStyle name="已访问的超链接" xfId="98" builtinId="9" hidden="1"/>
    <cellStyle name="已访问的超链接" xfId="100" builtinId="9" hidden="1"/>
    <cellStyle name="已访问的超链接" xfId="102" builtinId="9" hidden="1"/>
    <cellStyle name="已访问的超链接" xfId="104" builtinId="9" hidden="1"/>
    <cellStyle name="已访问的超链接" xfId="106" builtinId="9" hidden="1"/>
    <cellStyle name="已访问的超链接" xfId="108" builtinId="9" hidden="1"/>
    <cellStyle name="已访问的超链接" xfId="110" builtinId="9" hidden="1"/>
    <cellStyle name="已访问的超链接" xfId="112" builtinId="9" hidden="1"/>
    <cellStyle name="已访问的超链接" xfId="114" builtinId="9" hidden="1"/>
    <cellStyle name="已访问的超链接" xfId="116" builtinId="9" hidden="1"/>
    <cellStyle name="已访问的超链接" xfId="118" builtinId="9" hidden="1"/>
    <cellStyle name="已访问的超链接" xfId="120" builtinId="9" hidden="1"/>
    <cellStyle name="已访问的超链接" xfId="122" builtinId="9" hidden="1"/>
    <cellStyle name="已访问的超链接" xfId="124" builtinId="9" hidden="1"/>
    <cellStyle name="已访问的超链接" xfId="126" builtinId="9" hidden="1"/>
    <cellStyle name="已访问的超链接" xfId="128" builtinId="9" hidden="1"/>
    <cellStyle name="已访问的超链接" xfId="130" builtinId="9" hidden="1"/>
    <cellStyle name="已访问的超链接" xfId="132" builtinId="9" hidden="1"/>
    <cellStyle name="已访问的超链接" xfId="134" builtinId="9" hidden="1"/>
    <cellStyle name="已访问的超链接" xfId="136" builtinId="9" hidden="1"/>
    <cellStyle name="已访问的超链接" xfId="138" builtinId="9" hidden="1"/>
    <cellStyle name="已访问的超链接" xfId="140" builtinId="9" hidden="1"/>
    <cellStyle name="已访问的超链接" xfId="142" builtinId="9" hidden="1"/>
    <cellStyle name="已访问的超链接" xfId="144" builtinId="9" hidden="1"/>
    <cellStyle name="已访问的超链接" xfId="146" builtinId="9" hidden="1"/>
    <cellStyle name="已访问的超链接" xfId="148" builtinId="9" hidden="1"/>
    <cellStyle name="已访问的超链接" xfId="150" builtinId="9" hidden="1"/>
    <cellStyle name="已访问的超链接" xfId="152" builtinId="9" hidden="1"/>
    <cellStyle name="已访问的超链接" xfId="154" builtinId="9" hidden="1"/>
    <cellStyle name="已访问的超链接" xfId="156" builtinId="9" hidden="1"/>
    <cellStyle name="已访问的超链接" xfId="158" builtinId="9" hidden="1"/>
    <cellStyle name="已访问的超链接" xfId="160" builtinId="9" hidden="1"/>
    <cellStyle name="已访问的超链接" xfId="162" builtinId="9" hidden="1"/>
    <cellStyle name="已访问的超链接" xfId="164" builtinId="9" hidden="1"/>
    <cellStyle name="已访问的超链接" xfId="166" builtinId="9" hidden="1"/>
    <cellStyle name="已访问的超链接" xfId="168" builtinId="9" hidden="1"/>
    <cellStyle name="已访问的超链接" xfId="170" builtinId="9" hidden="1"/>
    <cellStyle name="已访问的超链接" xfId="172" builtinId="9" hidden="1"/>
    <cellStyle name="已访问的超链接" xfId="174" builtinId="9" hidden="1"/>
    <cellStyle name="已访问的超链接" xfId="176" builtinId="9" hidden="1"/>
    <cellStyle name="已访问的超链接" xfId="178" builtinId="9" hidden="1"/>
    <cellStyle name="已访问的超链接" xfId="180" builtinId="9" hidden="1"/>
    <cellStyle name="已访问的超链接" xfId="182" builtinId="9" hidden="1"/>
    <cellStyle name="已访问的超链接" xfId="184" builtinId="9" hidden="1"/>
    <cellStyle name="已访问的超链接" xfId="186" builtinId="9" hidden="1"/>
    <cellStyle name="已访问的超链接" xfId="188" builtinId="9" hidden="1"/>
    <cellStyle name="已访问的超链接" xfId="190" builtinId="9" hidden="1"/>
    <cellStyle name="已访问的超链接" xfId="192" builtinId="9" hidden="1"/>
    <cellStyle name="已访问的超链接" xfId="194" builtinId="9" hidden="1"/>
    <cellStyle name="已访问的超链接" xfId="196" builtinId="9" hidden="1"/>
    <cellStyle name="已访问的超链接" xfId="198" builtinId="9" hidden="1"/>
    <cellStyle name="已访问的超链接" xfId="200" builtinId="9" hidden="1"/>
    <cellStyle name="已访问的超链接" xfId="202" builtinId="9" hidden="1"/>
    <cellStyle name="已访问的超链接" xfId="204" builtinId="9" hidden="1"/>
    <cellStyle name="已访问的超链接" xfId="206" builtinId="9" hidden="1"/>
    <cellStyle name="已访问的超链接" xfId="208" builtinId="9" hidden="1"/>
    <cellStyle name="已访问的超链接" xfId="210" builtinId="9" hidden="1"/>
    <cellStyle name="已访问的超链接" xfId="212" builtinId="9" hidden="1"/>
    <cellStyle name="已访问的超链接" xfId="214" builtinId="9" hidden="1"/>
    <cellStyle name="已访问的超链接" xfId="216" builtinId="9" hidden="1"/>
    <cellStyle name="已访问的超链接" xfId="218" builtinId="9" hidden="1"/>
    <cellStyle name="已访问的超链接" xfId="220" builtinId="9" hidden="1"/>
    <cellStyle name="已访问的超链接" xfId="222" builtinId="9" hidden="1"/>
    <cellStyle name="已访问的超链接" xfId="224" builtinId="9" hidden="1"/>
    <cellStyle name="已访问的超链接" xfId="226" builtinId="9" hidden="1"/>
    <cellStyle name="已访问的超链接" xfId="228" builtinId="9" hidden="1"/>
    <cellStyle name="已访问的超链接" xfId="230" builtinId="9" hidden="1"/>
    <cellStyle name="已访问的超链接" xfId="232" builtinId="9" hidden="1"/>
    <cellStyle name="已访问的超链接" xfId="234" builtinId="9" hidden="1"/>
    <cellStyle name="已访问的超链接" xfId="236" builtinId="9" hidden="1"/>
    <cellStyle name="已访问的超链接" xfId="238" builtinId="9" hidden="1"/>
    <cellStyle name="已访问的超链接" xfId="240" builtinId="9" hidden="1"/>
    <cellStyle name="已访问的超链接" xfId="242" builtinId="9" hidden="1"/>
    <cellStyle name="已访问的超链接" xfId="244" builtinId="9" hidden="1"/>
    <cellStyle name="已访问的超链接" xfId="246" builtinId="9" hidden="1"/>
    <cellStyle name="已访问的超链接" xfId="248" builtinId="9" hidden="1"/>
    <cellStyle name="已访问的超链接" xfId="250" builtinId="9" hidden="1"/>
    <cellStyle name="已访问的超链接" xfId="252" builtinId="9" hidden="1"/>
    <cellStyle name="已访问的超链接" xfId="254" builtinId="9" hidden="1"/>
    <cellStyle name="已访问的超链接" xfId="256" builtinId="9" hidden="1"/>
    <cellStyle name="已访问的超链接" xfId="258" builtinId="9" hidden="1"/>
    <cellStyle name="已访问的超链接" xfId="260" builtinId="9" hidden="1"/>
    <cellStyle name="已访问的超链接" xfId="262" builtinId="9" hidden="1"/>
    <cellStyle name="已访问的超链接" xfId="264" builtinId="9" hidden="1"/>
    <cellStyle name="已访问的超链接" xfId="266" builtinId="9" hidden="1"/>
    <cellStyle name="已访问的超链接" xfId="268" builtinId="9" hidden="1"/>
    <cellStyle name="已访问的超链接" xfId="270" builtinId="9" hidden="1"/>
    <cellStyle name="已访问的超链接" xfId="272" builtinId="9" hidden="1"/>
    <cellStyle name="已访问的超链接" xfId="274" builtinId="9" hidden="1"/>
    <cellStyle name="已访问的超链接" xfId="276" builtinId="9" hidden="1"/>
    <cellStyle name="已访问的超链接" xfId="278" builtinId="9" hidden="1"/>
    <cellStyle name="已访问的超链接" xfId="280" builtinId="9" hidden="1"/>
    <cellStyle name="已访问的超链接" xfId="282" builtinId="9" hidden="1"/>
    <cellStyle name="已访问的超链接" xfId="284" builtinId="9" hidden="1"/>
    <cellStyle name="已访问的超链接" xfId="286" builtinId="9" hidden="1"/>
    <cellStyle name="已访问的超链接" xfId="288" builtinId="9" hidden="1"/>
    <cellStyle name="已访问的超链接" xfId="290" builtinId="9" hidden="1"/>
    <cellStyle name="已访问的超链接" xfId="292" builtinId="9" hidden="1"/>
    <cellStyle name="已访问的超链接" xfId="294" builtinId="9" hidden="1"/>
    <cellStyle name="已访问的超链接" xfId="296" builtinId="9" hidden="1"/>
    <cellStyle name="已访问的超链接" xfId="298" builtinId="9" hidden="1"/>
    <cellStyle name="已访问的超链接" xfId="300" builtinId="9" hidden="1"/>
    <cellStyle name="已访问的超链接" xfId="302" builtinId="9" hidden="1"/>
    <cellStyle name="已访问的超链接" xfId="304" builtinId="9" hidden="1"/>
    <cellStyle name="已访问的超链接" xfId="306" builtinId="9" hidden="1"/>
    <cellStyle name="已访问的超链接" xfId="308" builtinId="9" hidden="1"/>
    <cellStyle name="已访问的超链接" xfId="310" builtinId="9" hidden="1"/>
    <cellStyle name="已访问的超链接" xfId="312" builtinId="9" hidden="1"/>
    <cellStyle name="已访问的超链接" xfId="314" builtinId="9" hidden="1"/>
    <cellStyle name="已访问的超链接" xfId="316" builtinId="9" hidden="1"/>
    <cellStyle name="已访问的超链接" xfId="318" builtinId="9" hidden="1"/>
    <cellStyle name="已访问的超链接" xfId="320" builtinId="9" hidden="1"/>
    <cellStyle name="已访问的超链接" xfId="322" builtinId="9" hidden="1"/>
    <cellStyle name="已访问的超链接" xfId="324" builtinId="9" hidden="1"/>
    <cellStyle name="已访问的超链接" xfId="326" builtinId="9" hidden="1"/>
    <cellStyle name="已访问的超链接" xfId="328" builtinId="9" hidden="1"/>
    <cellStyle name="已访问的超链接" xfId="330" builtinId="9" hidden="1"/>
    <cellStyle name="已访问的超链接" xfId="332" builtinId="9" hidden="1"/>
    <cellStyle name="已访问的超链接" xfId="334" builtinId="9" hidden="1"/>
    <cellStyle name="已访问的超链接" xfId="336" builtinId="9" hidden="1"/>
    <cellStyle name="已访问的超链接" xfId="338" builtinId="9" hidden="1"/>
    <cellStyle name="已访问的超链接" xfId="340" builtinId="9" hidden="1"/>
    <cellStyle name="已访问的超链接" xfId="342" builtinId="9" hidden="1"/>
    <cellStyle name="已访问的超链接" xfId="344" builtinId="9" hidden="1"/>
    <cellStyle name="已访问的超链接" xfId="346" builtinId="9" hidden="1"/>
    <cellStyle name="已访问的超链接" xfId="348" builtinId="9" hidden="1"/>
    <cellStyle name="已访问的超链接" xfId="350" builtinId="9" hidden="1"/>
    <cellStyle name="已访问的超链接" xfId="352" builtinId="9" hidden="1"/>
    <cellStyle name="已访问的超链接" xfId="354" builtinId="9" hidden="1"/>
    <cellStyle name="已访问的超链接" xfId="356" builtinId="9" hidden="1"/>
    <cellStyle name="已访问的超链接" xfId="358" builtinId="9" hidden="1"/>
    <cellStyle name="已访问的超链接" xfId="360" builtinId="9" hidden="1"/>
    <cellStyle name="已访问的超链接" xfId="362" builtinId="9" hidden="1"/>
    <cellStyle name="已访问的超链接" xfId="364" builtinId="9" hidden="1"/>
    <cellStyle name="已访问的超链接" xfId="366" builtinId="9" hidden="1"/>
    <cellStyle name="已访问的超链接" xfId="368" builtinId="9" hidden="1"/>
    <cellStyle name="已访问的超链接" xfId="370" builtinId="9" hidden="1"/>
    <cellStyle name="已访问的超链接" xfId="372" builtinId="9" hidden="1"/>
    <cellStyle name="已访问的超链接" xfId="374" builtinId="9" hidden="1"/>
    <cellStyle name="已访问的超链接" xfId="376" builtinId="9" hidden="1"/>
    <cellStyle name="已访问的超链接" xfId="378" builtinId="9" hidden="1"/>
    <cellStyle name="已访问的超链接" xfId="380" builtinId="9" hidden="1"/>
    <cellStyle name="已访问的超链接" xfId="382" builtinId="9" hidden="1"/>
    <cellStyle name="已访问的超链接" xfId="384" builtinId="9" hidden="1"/>
    <cellStyle name="已访问的超链接" xfId="386" builtinId="9" hidden="1"/>
    <cellStyle name="已访问的超链接" xfId="388" builtinId="9" hidden="1"/>
    <cellStyle name="已访问的超链接" xfId="390" builtinId="9" hidden="1"/>
    <cellStyle name="已访问的超链接" xfId="392" builtinId="9" hidden="1"/>
    <cellStyle name="已访问的超链接" xfId="394" builtinId="9" hidden="1"/>
    <cellStyle name="已访问的超链接" xfId="396" builtinId="9" hidden="1"/>
    <cellStyle name="已访问的超链接" xfId="398" builtinId="9" hidden="1"/>
    <cellStyle name="已访问的超链接" xfId="400" builtinId="9" hidden="1"/>
    <cellStyle name="已访问的超链接" xfId="402" builtinId="9" hidden="1"/>
    <cellStyle name="已访问的超链接" xfId="404" builtinId="9" hidden="1"/>
    <cellStyle name="已访问的超链接" xfId="406" builtinId="9" hidden="1"/>
    <cellStyle name="已访问的超链接" xfId="408" builtinId="9" hidden="1"/>
    <cellStyle name="已访问的超链接" xfId="410" builtinId="9" hidden="1"/>
    <cellStyle name="已访问的超链接" xfId="412" builtinId="9" hidden="1"/>
    <cellStyle name="已访问的超链接" xfId="414" builtinId="9" hidden="1"/>
    <cellStyle name="已访问的超链接" xfId="416" builtinId="9" hidden="1"/>
    <cellStyle name="已访问的超链接" xfId="418" builtinId="9" hidden="1"/>
    <cellStyle name="已访问的超链接" xfId="420" builtinId="9" hidden="1"/>
    <cellStyle name="已访问的超链接" xfId="422" builtinId="9" hidden="1"/>
    <cellStyle name="已访问的超链接" xfId="424" builtinId="9" hidden="1"/>
    <cellStyle name="已访问的超链接" xfId="426" builtinId="9" hidden="1"/>
    <cellStyle name="已访问的超链接" xfId="428" builtinId="9" hidden="1"/>
    <cellStyle name="已访问的超链接" xfId="430" builtinId="9" hidden="1"/>
    <cellStyle name="已访问的超链接" xfId="432" builtinId="9" hidden="1"/>
    <cellStyle name="已访问的超链接" xfId="434" builtinId="9" hidden="1"/>
    <cellStyle name="已访问的超链接" xfId="436" builtinId="9" hidden="1"/>
    <cellStyle name="已访问的超链接" xfId="438" builtinId="9" hidden="1"/>
    <cellStyle name="已访问的超链接" xfId="440" builtinId="9" hidden="1"/>
    <cellStyle name="已访问的超链接" xfId="442" builtinId="9" hidden="1"/>
    <cellStyle name="已访问的超链接" xfId="444" builtinId="9" hidden="1"/>
    <cellStyle name="已访问的超链接" xfId="446" builtinId="9" hidden="1"/>
    <cellStyle name="已访问的超链接" xfId="448" builtinId="9" hidden="1"/>
    <cellStyle name="已访问的超链接" xfId="450" builtinId="9" hidden="1"/>
    <cellStyle name="已访问的超链接" xfId="452" builtinId="9" hidden="1"/>
    <cellStyle name="已访问的超链接" xfId="454" builtinId="9" hidden="1"/>
    <cellStyle name="已访问的超链接" xfId="456" builtinId="9" hidden="1"/>
    <cellStyle name="已访问的超链接" xfId="458" builtinId="9" hidden="1"/>
    <cellStyle name="已访问的超链接" xfId="460" builtinId="9" hidden="1"/>
    <cellStyle name="已访问的超链接" xfId="462" builtinId="9" hidden="1"/>
    <cellStyle name="已访问的超链接" xfId="464" builtinId="9" hidden="1"/>
    <cellStyle name="已访问的超链接" xfId="466" builtinId="9" hidden="1"/>
    <cellStyle name="已访问的超链接" xfId="468" builtinId="9" hidden="1"/>
    <cellStyle name="已访问的超链接" xfId="470" builtinId="9" hidden="1"/>
    <cellStyle name="已访问的超链接" xfId="472" builtinId="9" hidden="1"/>
    <cellStyle name="已访问的超链接" xfId="474" builtinId="9" hidden="1"/>
    <cellStyle name="已访问的超链接" xfId="476" builtinId="9" hidden="1"/>
    <cellStyle name="已访问的超链接" xfId="478" builtinId="9" hidden="1"/>
    <cellStyle name="已访问的超链接" xfId="480" builtinId="9" hidden="1"/>
    <cellStyle name="已访问的超链接" xfId="482" builtinId="9" hidden="1"/>
    <cellStyle name="已访问的超链接" xfId="484" builtinId="9" hidden="1"/>
    <cellStyle name="已访问的超链接" xfId="486" builtinId="9" hidden="1"/>
    <cellStyle name="已访问的超链接" xfId="488" builtinId="9" hidden="1"/>
    <cellStyle name="已访问的超链接" xfId="490" builtinId="9" hidden="1"/>
    <cellStyle name="已访问的超链接" xfId="492" builtinId="9" hidden="1"/>
    <cellStyle name="已访问的超链接" xfId="494" builtinId="9" hidden="1"/>
    <cellStyle name="已访问的超链接" xfId="496" builtinId="9" hidden="1"/>
    <cellStyle name="已访问的超链接" xfId="498" builtinId="9" hidden="1"/>
    <cellStyle name="已访问的超链接" xfId="500" builtinId="9" hidden="1"/>
  </cellStyles>
  <dxfs count="9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指数行业占比!$F$1</c:f>
              <c:strCache>
                <c:ptCount val="1"/>
                <c:pt idx="0">
                  <c:v>投资组合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指数行业占比!$E$2:$E$11</c:f>
              <c:strCache>
                <c:ptCount val="10"/>
                <c:pt idx="0">
                  <c:v>能源</c:v>
                </c:pt>
                <c:pt idx="1">
                  <c:v>原材料</c:v>
                </c:pt>
                <c:pt idx="2">
                  <c:v>工业</c:v>
                </c:pt>
                <c:pt idx="3">
                  <c:v>可选消费</c:v>
                </c:pt>
                <c:pt idx="4">
                  <c:v>主要消费</c:v>
                </c:pt>
                <c:pt idx="5">
                  <c:v>医药卫生</c:v>
                </c:pt>
                <c:pt idx="6">
                  <c:v>金融地产</c:v>
                </c:pt>
                <c:pt idx="7">
                  <c:v>信息技术</c:v>
                </c:pt>
                <c:pt idx="8">
                  <c:v>电信业务</c:v>
                </c:pt>
                <c:pt idx="9">
                  <c:v>公用事业</c:v>
                </c:pt>
              </c:strCache>
            </c:strRef>
          </c:cat>
          <c:val>
            <c:numRef>
              <c:f>指数行业占比!$F$2:$F$11</c:f>
              <c:numCache>
                <c:formatCode>0.00%</c:formatCode>
                <c:ptCount val="10"/>
                <c:pt idx="0">
                  <c:v>1.2459343301249998E-2</c:v>
                </c:pt>
                <c:pt idx="1">
                  <c:v>6.9322917899999989E-2</c:v>
                </c:pt>
                <c:pt idx="2">
                  <c:v>0.11851927324749999</c:v>
                </c:pt>
                <c:pt idx="3">
                  <c:v>9.1015713901250003E-2</c:v>
                </c:pt>
                <c:pt idx="4">
                  <c:v>5.1450161417499994E-2</c:v>
                </c:pt>
                <c:pt idx="5">
                  <c:v>0.11578882864250001</c:v>
                </c:pt>
                <c:pt idx="6">
                  <c:v>0.18018517281250002</c:v>
                </c:pt>
                <c:pt idx="7">
                  <c:v>9.5477935946250009E-2</c:v>
                </c:pt>
                <c:pt idx="8">
                  <c:v>1.38701446875E-3</c:v>
                </c:pt>
                <c:pt idx="9">
                  <c:v>2.7574535291250001E-2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9-4117-AD4E-C3CA040A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资产配置图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zh-CN" altLang="en-US" sz="1600" b="1" i="0" u="none" strike="noStrike" baseline="0">
              <a:solidFill>
                <a:srgbClr val="1F497D"/>
              </a:solidFill>
              <a:latin typeface="DengXian"/>
              <a:ea typeface="DengXian" panose="02010600030101010101" pitchFamily="2" charset="-122"/>
            </a:rPr>
            <a:t>资产配置图</a:t>
          </a:r>
        </a:p>
      </cx:txPr>
    </cx:title>
    <cx:plotArea>
      <cx:plotAreaRegion>
        <cx:series layoutId="sunburst" uniqueId="{4D22BEF1-F50B-5B4F-AF8D-D9DC57505CA6}">
          <cx:dataLabels pos="ctr">
            <cx:spPr>
              <a:noFill/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zh-CN" altLang="en-US" sz="900" b="0" i="0" u="none" strike="noStrike" baseline="0">
                  <a:solidFill>
                    <a:schemeClr val="bg1"/>
                  </a:solidFill>
                  <a:latin typeface="DengXian"/>
                  <a:ea typeface="DengXian" panose="02010600030101010101" pitchFamily="2" charset="-122"/>
                </a:endParaRPr>
              </a:p>
            </cx:txPr>
            <cx:visibility seriesName="0" categoryName="1" value="1"/>
          </cx:dataLabels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400" baseline="0"/>
          </a:pPr>
          <a:endParaRPr lang="zh-CN" altLang="en-US" sz="1400" b="0" i="0" u="none" strike="noStrike" baseline="0">
            <a:solidFill>
              <a:srgbClr val="1F497D"/>
            </a:solidFill>
            <a:latin typeface="DengXian"/>
            <a:ea typeface="DengXian" panose="02010600030101010101" pitchFamily="2" charset="-122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5">
  <cs:axisTitle>
    <cs:lnRef idx="0"/>
    <cs:fillRef idx="0"/>
    <cs:effectRef idx="0"/>
    <cs:fontRef idx="minor">
      <a:schemeClr val="tx2"/>
    </cs:fontRef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2"/>
    </cs:fontRef>
    <cs:defRPr sz="9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2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107950</xdr:colOff>
      <xdr:row>1</xdr:row>
      <xdr:rowOff>76200</xdr:rowOff>
    </xdr:from>
    <xdr:to>
      <xdr:col>16</xdr:col>
      <xdr:colOff>101600</xdr:colOff>
      <xdr:row>74</xdr:row>
      <xdr:rowOff>63500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图表 2">
              <a:extLst>
                <a:ext uri="{FF2B5EF4-FFF2-40B4-BE49-F238E27FC236}">
                  <a16:creationId xmlns:a16="http://schemas.microsoft.com/office/drawing/2014/main" id="{8832CE2D-0105-D84D-9618-5E32FEF71E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950" y="257175"/>
              <a:ext cx="13404850" cy="13198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14</xdr:row>
      <xdr:rowOff>14287</xdr:rowOff>
    </xdr:from>
    <xdr:to>
      <xdr:col>10</xdr:col>
      <xdr:colOff>257175</xdr:colOff>
      <xdr:row>30</xdr:row>
      <xdr:rowOff>14287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2825;&#22825;&#22522;&#37329;&#23545;&#36134;&#21333;&#35760;&#2440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shuyun\Desktop\&#36164;&#20135;&#37197;&#32622;&#24773;&#20917;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账户净资产"/>
      <sheetName val="账户操作"/>
      <sheetName val="分红信息"/>
    </sheetNames>
    <sheetDataSet>
      <sheetData sheetId="0" refreshError="1"/>
      <sheetData sheetId="1" refreshError="1"/>
      <sheetData sheetId="2">
        <row r="1">
          <cell r="Q1">
            <v>5115.3999999999942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交易明细"/>
      <sheetName val="资产配置情况"/>
      <sheetName val="基金成本"/>
      <sheetName val="权益类资产估值"/>
      <sheetName val="ETF计划成本计算"/>
      <sheetName val="空间压力测试"/>
      <sheetName val="时间压力测试"/>
      <sheetName val="指数行业占比"/>
      <sheetName val="聚宽行业分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 t="str">
            <v>能源</v>
          </cell>
          <cell r="L1" t="str">
            <v>原材料</v>
          </cell>
          <cell r="M1" t="str">
            <v>工业</v>
          </cell>
          <cell r="N1" t="str">
            <v>可选消费</v>
          </cell>
          <cell r="O1" t="str">
            <v>主要消费</v>
          </cell>
          <cell r="P1" t="str">
            <v>医药卫生</v>
          </cell>
          <cell r="Q1" t="str">
            <v>金融地产</v>
          </cell>
          <cell r="R1" t="str">
            <v>信息技术</v>
          </cell>
          <cell r="S1" t="str">
            <v>电信业务</v>
          </cell>
          <cell r="T1" t="str">
            <v>公用事业</v>
          </cell>
        </row>
        <row r="2">
          <cell r="K2">
            <v>4.82E-2</v>
          </cell>
          <cell r="L2">
            <v>0.1021</v>
          </cell>
          <cell r="M2">
            <v>0.19900000000000001</v>
          </cell>
          <cell r="N2">
            <v>0.1852</v>
          </cell>
          <cell r="O2">
            <v>6.5600000000000006E-2</v>
          </cell>
          <cell r="P2">
            <v>3.0599999999999999E-2</v>
          </cell>
          <cell r="Q2">
            <v>0.26369999999999999</v>
          </cell>
          <cell r="R2">
            <v>2.9399999999999999E-2</v>
          </cell>
          <cell r="S2">
            <v>0</v>
          </cell>
          <cell r="T2">
            <v>7.6300000000000007E-2</v>
          </cell>
        </row>
        <row r="4">
          <cell r="K4">
            <v>3.6400000000000002E-2</v>
          </cell>
          <cell r="L4">
            <v>4.9099999999999998E-2</v>
          </cell>
          <cell r="M4">
            <v>0.1038</v>
          </cell>
          <cell r="N4">
            <v>4.7199999999999999E-2</v>
          </cell>
          <cell r="O4">
            <v>0.1013</v>
          </cell>
          <cell r="P4">
            <v>3.44E-2</v>
          </cell>
          <cell r="Q4">
            <v>0.60509999999999997</v>
          </cell>
          <cell r="R4">
            <v>1.15E-2</v>
          </cell>
          <cell r="S4">
            <v>1.12E-2</v>
          </cell>
          <cell r="T4">
            <v>0</v>
          </cell>
        </row>
        <row r="5">
          <cell r="K5">
            <v>2.69E-2</v>
          </cell>
          <cell r="L5">
            <v>7.0300000000000001E-2</v>
          </cell>
          <cell r="M5">
            <v>0.1308</v>
          </cell>
          <cell r="N5">
            <v>0.1053</v>
          </cell>
          <cell r="O5">
            <v>9.1200000000000003E-2</v>
          </cell>
          <cell r="P5">
            <v>6.1199999999999997E-2</v>
          </cell>
          <cell r="Q5">
            <v>0.39539999999999997</v>
          </cell>
          <cell r="R5">
            <v>8.3000000000000004E-2</v>
          </cell>
          <cell r="S5">
            <v>5.1000000000000004E-3</v>
          </cell>
          <cell r="T5">
            <v>3.0700000000000002E-2</v>
          </cell>
        </row>
        <row r="6">
          <cell r="K6">
            <v>2.2200000000000001E-2</v>
          </cell>
          <cell r="L6">
            <v>0.1716</v>
          </cell>
          <cell r="M6">
            <v>0.2006</v>
          </cell>
          <cell r="N6">
            <v>0.13100000000000001</v>
          </cell>
          <cell r="O6">
            <v>8.3000000000000004E-2</v>
          </cell>
          <cell r="P6">
            <v>8.5999999999999993E-2</v>
          </cell>
          <cell r="Q6">
            <v>9.5500000000000002E-2</v>
          </cell>
          <cell r="R6">
            <v>0.17219999999999999</v>
          </cell>
          <cell r="S6">
            <v>3.3999999999999998E-3</v>
          </cell>
          <cell r="T6">
            <v>3.2000000000000001E-2</v>
          </cell>
        </row>
        <row r="7">
          <cell r="K7">
            <v>2.41E-2</v>
          </cell>
          <cell r="L7">
            <v>0.16450000000000001</v>
          </cell>
          <cell r="M7">
            <v>0.2233</v>
          </cell>
          <cell r="N7">
            <v>0.13270000000000001</v>
          </cell>
          <cell r="O7">
            <v>6.5699999999999995E-2</v>
          </cell>
          <cell r="P7">
            <v>9.8000000000000004E-2</v>
          </cell>
          <cell r="Q7">
            <v>4.2900000000000001E-2</v>
          </cell>
          <cell r="R7">
            <v>0.22270000000000001</v>
          </cell>
          <cell r="S7">
            <v>1.1000000000000001E-3</v>
          </cell>
          <cell r="T7">
            <v>2.52E-2</v>
          </cell>
        </row>
        <row r="8">
          <cell r="K8">
            <v>0</v>
          </cell>
          <cell r="L8">
            <v>0</v>
          </cell>
          <cell r="M8">
            <v>0</v>
          </cell>
          <cell r="N8">
            <v>7.7000000000000002E-3</v>
          </cell>
          <cell r="O8">
            <v>0</v>
          </cell>
          <cell r="P8">
            <v>6.9999999999999999E-4</v>
          </cell>
          <cell r="Q8">
            <v>0.99070000000000003</v>
          </cell>
          <cell r="R8">
            <v>8.0000000000000004E-4</v>
          </cell>
          <cell r="S8">
            <v>0</v>
          </cell>
          <cell r="T8">
            <v>0</v>
          </cell>
        </row>
        <row r="9"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1</v>
          </cell>
          <cell r="R9">
            <v>0</v>
          </cell>
          <cell r="S9">
            <v>0</v>
          </cell>
          <cell r="T9">
            <v>0</v>
          </cell>
        </row>
        <row r="10">
          <cell r="K10">
            <v>0</v>
          </cell>
          <cell r="L10">
            <v>0</v>
          </cell>
          <cell r="M10">
            <v>0</v>
          </cell>
          <cell r="N10">
            <v>0.48649999999999999</v>
          </cell>
          <cell r="O10">
            <v>0</v>
          </cell>
          <cell r="P10">
            <v>0</v>
          </cell>
          <cell r="Q10">
            <v>9.9299999999999999E-2</v>
          </cell>
          <cell r="R10">
            <v>0.41420000000000001</v>
          </cell>
          <cell r="S10">
            <v>0</v>
          </cell>
          <cell r="T10">
            <v>0</v>
          </cell>
        </row>
        <row r="11">
          <cell r="K11">
            <v>0</v>
          </cell>
          <cell r="L11">
            <v>1.2999999999999999E-3</v>
          </cell>
          <cell r="M11">
            <v>1E-3</v>
          </cell>
          <cell r="N11">
            <v>5.5999999999999999E-3</v>
          </cell>
          <cell r="O11">
            <v>8.0699999999999994E-2</v>
          </cell>
          <cell r="P11">
            <v>0.89590000000000003</v>
          </cell>
          <cell r="Q11">
            <v>0</v>
          </cell>
          <cell r="R11">
            <v>1.54E-2</v>
          </cell>
          <cell r="S11">
            <v>0</v>
          </cell>
          <cell r="T11">
            <v>0</v>
          </cell>
        </row>
        <row r="12">
          <cell r="K12">
            <v>0</v>
          </cell>
          <cell r="L12">
            <v>0</v>
          </cell>
          <cell r="M12">
            <v>0</v>
          </cell>
          <cell r="N12">
            <v>0.2949</v>
          </cell>
          <cell r="O12">
            <v>0.14000000000000001</v>
          </cell>
          <cell r="P12">
            <v>0.3276</v>
          </cell>
          <cell r="Q12">
            <v>0.104</v>
          </cell>
          <cell r="R12">
            <v>0.1336</v>
          </cell>
          <cell r="S12">
            <v>0</v>
          </cell>
          <cell r="T12">
            <v>0</v>
          </cell>
        </row>
        <row r="13">
          <cell r="K13">
            <v>0</v>
          </cell>
          <cell r="L13">
            <v>8.7800000000000003E-2</v>
          </cell>
          <cell r="M13">
            <v>0.49399999999999999</v>
          </cell>
          <cell r="N13">
            <v>5.1499999999999997E-2</v>
          </cell>
          <cell r="O13">
            <v>0</v>
          </cell>
          <cell r="P13">
            <v>0</v>
          </cell>
          <cell r="Q13">
            <v>0</v>
          </cell>
          <cell r="R13">
            <v>0.1993</v>
          </cell>
          <cell r="S13">
            <v>0</v>
          </cell>
          <cell r="T13">
            <v>0.1673</v>
          </cell>
        </row>
        <row r="14">
          <cell r="K14">
            <v>0</v>
          </cell>
          <cell r="L14">
            <v>3.56E-2</v>
          </cell>
          <cell r="M14">
            <v>0.19650000000000001</v>
          </cell>
          <cell r="N14">
            <v>6.7000000000000004E-2</v>
          </cell>
          <cell r="O14">
            <v>0.13420000000000001</v>
          </cell>
          <cell r="P14">
            <v>0.16880000000000001</v>
          </cell>
          <cell r="Q14">
            <v>5.5300000000000002E-2</v>
          </cell>
          <cell r="R14">
            <v>0.34260000000000002</v>
          </cell>
          <cell r="S14">
            <v>0</v>
          </cell>
          <cell r="T14">
            <v>0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79"/>
  <sheetViews>
    <sheetView tabSelected="1" topLeftCell="N1" zoomScaleNormal="100" workbookViewId="0">
      <pane ySplit="1" topLeftCell="A2" activePane="bottomLeft" state="frozen"/>
      <selection pane="bottomLeft" activeCell="S5" sqref="S5"/>
    </sheetView>
  </sheetViews>
  <sheetFormatPr defaultColWidth="8.875" defaultRowHeight="14.25"/>
  <cols>
    <col min="1" max="1" width="11.625" bestFit="1" customWidth="1"/>
    <col min="2" max="2" width="24.875" customWidth="1"/>
    <col min="3" max="3" width="13.125" bestFit="1" customWidth="1"/>
    <col min="4" max="4" width="5.125" customWidth="1"/>
    <col min="5" max="5" width="7.5" customWidth="1"/>
    <col min="6" max="6" width="7.875" customWidth="1"/>
    <col min="7" max="7" width="10.5" customWidth="1"/>
    <col min="8" max="9" width="9" customWidth="1"/>
    <col min="10" max="11" width="13.625" customWidth="1"/>
    <col min="12" max="12" width="14.125" bestFit="1" customWidth="1"/>
    <col min="13" max="13" width="14" customWidth="1"/>
    <col min="14" max="14" width="11" customWidth="1"/>
    <col min="15" max="15" width="7.875" customWidth="1"/>
    <col min="16" max="16" width="10.5" customWidth="1"/>
    <col min="17" max="18" width="11.5" customWidth="1"/>
    <col min="19" max="19" width="12.625" bestFit="1" customWidth="1"/>
    <col min="20" max="23" width="11.5" customWidth="1"/>
    <col min="24" max="24" width="9.625" bestFit="1" customWidth="1"/>
    <col min="25" max="25" width="10.5" bestFit="1" customWidth="1"/>
    <col min="26" max="26" width="11.125" bestFit="1" customWidth="1"/>
    <col min="27" max="31" width="9.5" bestFit="1" customWidth="1"/>
  </cols>
  <sheetData>
    <row r="1" spans="1:28">
      <c r="A1" s="2" t="s">
        <v>0</v>
      </c>
      <c r="B1" s="2" t="s">
        <v>1</v>
      </c>
      <c r="C1" s="2" t="s">
        <v>71</v>
      </c>
      <c r="D1" s="2" t="s">
        <v>8</v>
      </c>
      <c r="E1" s="2" t="s">
        <v>55</v>
      </c>
      <c r="F1" s="2" t="s">
        <v>54</v>
      </c>
      <c r="G1" s="2" t="s">
        <v>40</v>
      </c>
      <c r="H1" s="2" t="s">
        <v>137</v>
      </c>
      <c r="I1" s="41" t="s">
        <v>138</v>
      </c>
      <c r="J1" s="2" t="s">
        <v>135</v>
      </c>
      <c r="K1" s="41" t="s">
        <v>136</v>
      </c>
      <c r="L1" s="2" t="s">
        <v>9</v>
      </c>
      <c r="M1" s="2" t="s">
        <v>30</v>
      </c>
      <c r="N1" s="128" t="s">
        <v>7567</v>
      </c>
      <c r="O1" s="2" t="s">
        <v>29</v>
      </c>
      <c r="P1" s="2"/>
    </row>
    <row r="2" spans="1:28">
      <c r="A2" s="3">
        <v>42627</v>
      </c>
      <c r="B2" s="3" t="s">
        <v>3</v>
      </c>
      <c r="C2" s="3" t="s">
        <v>70</v>
      </c>
      <c r="D2" s="3" t="s">
        <v>11</v>
      </c>
      <c r="E2" s="21">
        <v>1.006</v>
      </c>
      <c r="F2" s="21">
        <v>1.006</v>
      </c>
      <c r="G2" s="20">
        <v>3375.67</v>
      </c>
      <c r="H2" s="21">
        <f>$F2*$U$34</f>
        <v>17.857830687830688</v>
      </c>
      <c r="I2" s="21">
        <f>$F2*$W$34</f>
        <v>1.4371428571428575</v>
      </c>
      <c r="J2" s="21">
        <f t="shared" ref="J2:J33" si="0">H2*(-$M2)</f>
        <v>60716.624338624337</v>
      </c>
      <c r="K2" s="21">
        <f t="shared" ref="K2:K33" si="1">I2*(-$M2)</f>
        <v>4886.2857142857156</v>
      </c>
      <c r="L2" s="7" t="s">
        <v>10</v>
      </c>
      <c r="M2" s="4">
        <v>-3400</v>
      </c>
      <c r="N2" s="4"/>
      <c r="O2" s="4">
        <v>4.08</v>
      </c>
      <c r="P2" s="4"/>
      <c r="Q2" s="72" t="s">
        <v>45</v>
      </c>
      <c r="R2">
        <v>800000</v>
      </c>
      <c r="S2" t="s">
        <v>139</v>
      </c>
      <c r="T2" s="18">
        <f>((SUM(T4:T6) +T8)- (SUM(R4:R6)+Q8))/$R$2</f>
        <v>3.5555612499999986E-2</v>
      </c>
      <c r="U2" s="18" t="s">
        <v>140</v>
      </c>
      <c r="V2" s="18">
        <f>((SUM(T4:T6)+S8) - SUM(R4:R6))/SUM(R4:R6)</f>
        <v>3.1002405059205103E-2</v>
      </c>
    </row>
    <row r="3" spans="1:28">
      <c r="A3" s="3">
        <v>42748</v>
      </c>
      <c r="B3" s="3" t="s">
        <v>2</v>
      </c>
      <c r="C3" s="3" t="s">
        <v>72</v>
      </c>
      <c r="D3" s="3" t="s">
        <v>11</v>
      </c>
      <c r="E3" s="21">
        <v>0.78149999999999997</v>
      </c>
      <c r="F3" s="21">
        <v>0.78149999999999997</v>
      </c>
      <c r="G3" s="20">
        <v>9457.64</v>
      </c>
      <c r="H3" s="21">
        <f>$F3*$U$25</f>
        <v>28.711858309962199</v>
      </c>
      <c r="I3" s="21">
        <f>$F3*$W$25</f>
        <v>3.5449091574198266</v>
      </c>
      <c r="J3" s="21">
        <f t="shared" si="0"/>
        <v>212467.75149372028</v>
      </c>
      <c r="K3" s="21">
        <f t="shared" si="1"/>
        <v>26232.327764906717</v>
      </c>
      <c r="L3" s="7" t="s">
        <v>10</v>
      </c>
      <c r="M3" s="4">
        <v>-7400</v>
      </c>
      <c r="N3" s="4"/>
      <c r="O3" s="4">
        <f>4.43*2</f>
        <v>8.86</v>
      </c>
      <c r="P3" s="4"/>
      <c r="Q3" s="9" t="s">
        <v>13</v>
      </c>
      <c r="R3" s="9" t="s">
        <v>41</v>
      </c>
      <c r="S3" s="9" t="s">
        <v>69</v>
      </c>
      <c r="T3" s="9" t="s">
        <v>42</v>
      </c>
      <c r="U3" s="24" t="s">
        <v>43</v>
      </c>
      <c r="V3" s="24" t="s">
        <v>7648</v>
      </c>
    </row>
    <row r="4" spans="1:28">
      <c r="A4" s="3">
        <v>42760</v>
      </c>
      <c r="B4" s="3" t="s">
        <v>4</v>
      </c>
      <c r="C4" s="3" t="s">
        <v>73</v>
      </c>
      <c r="D4" s="3" t="s">
        <v>11</v>
      </c>
      <c r="E4" s="21">
        <v>1.107</v>
      </c>
      <c r="F4" s="21">
        <v>2.492</v>
      </c>
      <c r="G4" s="20">
        <v>3571.88</v>
      </c>
      <c r="H4" s="21">
        <f>F4*$U$15</f>
        <v>9.0829039463886811</v>
      </c>
      <c r="I4" s="21">
        <f>F4*$W$15</f>
        <v>0.94632911392405072</v>
      </c>
      <c r="J4" s="21">
        <f t="shared" si="0"/>
        <v>35968.299627699176</v>
      </c>
      <c r="K4" s="21">
        <f t="shared" si="1"/>
        <v>3747.4632911392409</v>
      </c>
      <c r="L4" s="7" t="s">
        <v>10</v>
      </c>
      <c r="M4" s="4">
        <v>-3960</v>
      </c>
      <c r="N4" s="4"/>
      <c r="O4" s="4">
        <v>5.93</v>
      </c>
      <c r="P4" s="4"/>
      <c r="Q4" s="10" t="s">
        <v>10</v>
      </c>
      <c r="R4" s="129">
        <f>$T4-$S4</f>
        <v>356145.35999999993</v>
      </c>
      <c r="S4" s="29">
        <v>27356.02</v>
      </c>
      <c r="T4" s="131">
        <f>SUM(天天基金网!F6:F40)</f>
        <v>383501.37999999995</v>
      </c>
      <c r="U4" s="26">
        <f>T4/R4-1</f>
        <v>7.6811389596652457E-2</v>
      </c>
      <c r="V4" s="160">
        <f>SUM(O:O)</f>
        <v>649.2200000000023</v>
      </c>
    </row>
    <row r="5" spans="1:28">
      <c r="A5" s="3">
        <v>42760</v>
      </c>
      <c r="B5" s="3" t="s">
        <v>5</v>
      </c>
      <c r="C5" s="3" t="s">
        <v>74</v>
      </c>
      <c r="D5" s="3" t="s">
        <v>11</v>
      </c>
      <c r="E5" s="21">
        <v>0.95950000000000002</v>
      </c>
      <c r="F5" s="21">
        <v>0.95950000000000002</v>
      </c>
      <c r="G5" s="20">
        <v>4122.2</v>
      </c>
      <c r="H5" s="21">
        <f>E5*$U$26</f>
        <v>23.669363395225464</v>
      </c>
      <c r="I5" s="21">
        <f>E5*$W$26</f>
        <v>3.1253740053050398</v>
      </c>
      <c r="J5" s="21">
        <f t="shared" si="0"/>
        <v>93730.679045092838</v>
      </c>
      <c r="K5" s="21">
        <f t="shared" si="1"/>
        <v>12376.481061007958</v>
      </c>
      <c r="L5" s="7" t="s">
        <v>10</v>
      </c>
      <c r="M5" s="4">
        <v>-3960</v>
      </c>
      <c r="N5" s="4"/>
      <c r="O5" s="4">
        <v>4.75</v>
      </c>
      <c r="P5" s="4"/>
      <c r="Q5" s="10" t="s">
        <v>14</v>
      </c>
      <c r="R5" s="129">
        <v>12000</v>
      </c>
      <c r="S5" s="29">
        <v>-2842.64</v>
      </c>
      <c r="T5" s="131">
        <f>R5+S5</f>
        <v>9157.36</v>
      </c>
      <c r="U5" s="26">
        <f>T5/R5-1</f>
        <v>-0.23688666666666658</v>
      </c>
    </row>
    <row r="6" spans="1:28">
      <c r="A6" s="3">
        <v>42781</v>
      </c>
      <c r="B6" s="3" t="s">
        <v>6</v>
      </c>
      <c r="C6" s="3" t="s">
        <v>75</v>
      </c>
      <c r="D6" s="3" t="s">
        <v>11</v>
      </c>
      <c r="E6" s="21">
        <v>0.95040000000000002</v>
      </c>
      <c r="F6" s="21">
        <v>0.95040000000000002</v>
      </c>
      <c r="G6" s="20">
        <v>4164.58</v>
      </c>
      <c r="H6" s="21"/>
      <c r="I6" s="21"/>
      <c r="J6" s="21">
        <f t="shared" si="0"/>
        <v>0</v>
      </c>
      <c r="K6" s="21">
        <f t="shared" si="1"/>
        <v>0</v>
      </c>
      <c r="L6" s="7" t="s">
        <v>10</v>
      </c>
      <c r="M6" s="4">
        <v>-3960</v>
      </c>
      <c r="N6" s="4"/>
      <c r="O6" s="4">
        <v>1.98</v>
      </c>
      <c r="P6" s="4"/>
      <c r="Q6" s="10" t="s">
        <v>25</v>
      </c>
      <c r="R6" s="129">
        <f t="shared" ref="R6" si="2">$T6-$S6</f>
        <v>384347.55000000005</v>
      </c>
      <c r="S6" s="29">
        <v>-4609.6499999999996</v>
      </c>
      <c r="T6" s="130">
        <f>SUM(涨乐财富通!I2:I40)</f>
        <v>379737.9</v>
      </c>
      <c r="U6" s="26">
        <f>T6/R6-1</f>
        <v>-1.1993441873117239E-2</v>
      </c>
      <c r="X6" s="40"/>
    </row>
    <row r="7" spans="1:28">
      <c r="A7" s="3">
        <v>42825</v>
      </c>
      <c r="B7" s="3" t="s">
        <v>2</v>
      </c>
      <c r="C7" s="3" t="s">
        <v>76</v>
      </c>
      <c r="D7" s="3" t="s">
        <v>11</v>
      </c>
      <c r="E7" s="21">
        <v>0.81530000000000002</v>
      </c>
      <c r="F7" s="21">
        <v>0.81530000000000002</v>
      </c>
      <c r="G7" s="20">
        <v>4851.28</v>
      </c>
      <c r="H7" s="21">
        <f>F7*$U$25</f>
        <v>29.953650774295816</v>
      </c>
      <c r="I7" s="21">
        <f>F7*$W$25</f>
        <v>3.6982270454822581</v>
      </c>
      <c r="J7" s="21">
        <f t="shared" si="0"/>
        <v>118616.45706621143</v>
      </c>
      <c r="K7" s="21">
        <f t="shared" si="1"/>
        <v>14644.979100109742</v>
      </c>
      <c r="L7" s="7" t="s">
        <v>10</v>
      </c>
      <c r="M7" s="4">
        <v>-3960</v>
      </c>
      <c r="N7" s="4"/>
      <c r="O7" s="4">
        <v>4.75</v>
      </c>
      <c r="P7" s="4"/>
      <c r="Q7" s="10" t="s">
        <v>7519</v>
      </c>
      <c r="R7" s="129" t="s">
        <v>7571</v>
      </c>
      <c r="S7" s="129" t="s">
        <v>7570</v>
      </c>
      <c r="T7" s="130" t="s">
        <v>7572</v>
      </c>
      <c r="U7" s="26" t="s">
        <v>7573</v>
      </c>
    </row>
    <row r="8" spans="1:28">
      <c r="A8" s="3">
        <v>42839</v>
      </c>
      <c r="B8" s="3" t="s">
        <v>5</v>
      </c>
      <c r="C8" s="3" t="s">
        <v>77</v>
      </c>
      <c r="D8" s="3" t="s">
        <v>11</v>
      </c>
      <c r="E8" s="21">
        <v>0.99770000000000003</v>
      </c>
      <c r="F8" s="21">
        <v>0.99770000000000003</v>
      </c>
      <c r="G8" s="20">
        <v>3964.37</v>
      </c>
      <c r="H8" s="21">
        <f>F8*$U$26</f>
        <v>24.611697612732094</v>
      </c>
      <c r="I8" s="21">
        <f>E8*$W$26</f>
        <v>3.249802652519894</v>
      </c>
      <c r="J8" s="21">
        <f t="shared" si="0"/>
        <v>97462.322546419091</v>
      </c>
      <c r="K8" s="21">
        <f t="shared" si="1"/>
        <v>12869.21850397878</v>
      </c>
      <c r="L8" s="7" t="s">
        <v>10</v>
      </c>
      <c r="M8" s="4">
        <v>-3960</v>
      </c>
      <c r="N8" s="4"/>
      <c r="O8" s="4">
        <v>4.75</v>
      </c>
      <c r="P8" s="4"/>
      <c r="Q8" s="11">
        <f>9*6400</f>
        <v>57600</v>
      </c>
      <c r="R8" s="11">
        <f>[1]分红信息!$Q$1</f>
        <v>5115.3999999999942</v>
      </c>
      <c r="S8" s="11">
        <f>SUM(N:N)</f>
        <v>3425.3599999999997</v>
      </c>
      <c r="T8" s="11">
        <f>Q8+R8+S8</f>
        <v>66140.759999999995</v>
      </c>
      <c r="U8" s="134">
        <f>SUM(S4:S6)+$S$8+$R$8-$V$4</f>
        <v>27795.269999999997</v>
      </c>
    </row>
    <row r="9" spans="1:28">
      <c r="A9" s="3">
        <v>42850</v>
      </c>
      <c r="B9" s="3" t="s">
        <v>6</v>
      </c>
      <c r="C9" s="3" t="s">
        <v>75</v>
      </c>
      <c r="D9" s="3" t="s">
        <v>11</v>
      </c>
      <c r="E9" s="21">
        <v>0.9456</v>
      </c>
      <c r="F9" s="21">
        <v>0.9456</v>
      </c>
      <c r="G9" s="20">
        <v>4185.72</v>
      </c>
      <c r="H9" s="21"/>
      <c r="I9" s="21"/>
      <c r="J9" s="21">
        <f t="shared" si="0"/>
        <v>0</v>
      </c>
      <c r="K9" s="21">
        <f t="shared" si="1"/>
        <v>0</v>
      </c>
      <c r="L9" s="7" t="s">
        <v>10</v>
      </c>
      <c r="M9" s="4">
        <v>-3960</v>
      </c>
      <c r="N9" s="4"/>
      <c r="O9" s="4">
        <v>1.98</v>
      </c>
      <c r="P9" s="4"/>
      <c r="Q9" s="132"/>
      <c r="R9" s="132"/>
      <c r="S9" s="132"/>
      <c r="T9" s="132"/>
      <c r="U9" s="133"/>
    </row>
    <row r="10" spans="1:28">
      <c r="A10" s="3">
        <v>42850</v>
      </c>
      <c r="B10" s="3" t="s">
        <v>5</v>
      </c>
      <c r="C10" s="3" t="s">
        <v>77</v>
      </c>
      <c r="D10" s="3" t="s">
        <v>11</v>
      </c>
      <c r="E10" s="21">
        <v>0.99329999999999996</v>
      </c>
      <c r="F10" s="21">
        <v>0.99329999999999996</v>
      </c>
      <c r="G10" s="20">
        <v>3981.93</v>
      </c>
      <c r="H10" s="21">
        <f>F10*$U$26</f>
        <v>24.503156498673739</v>
      </c>
      <c r="I10" s="21">
        <f>E10*$W$26</f>
        <v>3.2354705570291773</v>
      </c>
      <c r="J10" s="21">
        <f t="shared" si="0"/>
        <v>97032.499734748009</v>
      </c>
      <c r="K10" s="21">
        <f t="shared" si="1"/>
        <v>12812.463405835542</v>
      </c>
      <c r="L10" s="7" t="s">
        <v>10</v>
      </c>
      <c r="M10" s="4">
        <v>-3960</v>
      </c>
      <c r="N10" s="4"/>
      <c r="O10" s="4">
        <v>4.75</v>
      </c>
      <c r="P10" s="4"/>
      <c r="Q10" s="30" t="s">
        <v>7569</v>
      </c>
      <c r="S10" s="72"/>
    </row>
    <row r="11" spans="1:28">
      <c r="A11" s="3">
        <v>42850</v>
      </c>
      <c r="B11" s="2" t="s">
        <v>17</v>
      </c>
      <c r="C11" s="2" t="s">
        <v>76</v>
      </c>
      <c r="D11" s="3" t="s">
        <v>11</v>
      </c>
      <c r="E11" s="21">
        <v>1.288</v>
      </c>
      <c r="F11" s="21">
        <v>1.288</v>
      </c>
      <c r="G11" s="20">
        <v>3100</v>
      </c>
      <c r="H11" s="21">
        <f>F11*$U$24</f>
        <v>29.536068193926475</v>
      </c>
      <c r="I11" s="21">
        <f>F11*$W$24</f>
        <v>3.646670218433671</v>
      </c>
      <c r="J11" s="21">
        <f t="shared" si="0"/>
        <v>117955.24193926477</v>
      </c>
      <c r="K11" s="21">
        <f t="shared" si="1"/>
        <v>14563.342184336709</v>
      </c>
      <c r="L11" s="5" t="s">
        <v>24</v>
      </c>
      <c r="M11" s="4">
        <v>-3993.6</v>
      </c>
      <c r="N11" s="4"/>
      <c r="O11" s="4">
        <v>0.79999999999972715</v>
      </c>
      <c r="P11" s="4"/>
      <c r="Q11" t="s">
        <v>7568</v>
      </c>
    </row>
    <row r="12" spans="1:28">
      <c r="A12" s="3">
        <v>42853</v>
      </c>
      <c r="B12" s="2" t="s">
        <v>18</v>
      </c>
      <c r="C12" s="2" t="s">
        <v>78</v>
      </c>
      <c r="D12" s="3" t="s">
        <v>11</v>
      </c>
      <c r="E12" s="21">
        <v>6.4779999999999998</v>
      </c>
      <c r="F12" s="21">
        <v>6.4779999999999998</v>
      </c>
      <c r="G12" s="20">
        <v>600</v>
      </c>
      <c r="H12" s="21">
        <f>F12*$U$19</f>
        <v>27.899408284023671</v>
      </c>
      <c r="I12" s="21">
        <f>F12*$W$19</f>
        <v>2.1955621301775148</v>
      </c>
      <c r="J12" s="21">
        <f t="shared" si="0"/>
        <v>108461.18165680474</v>
      </c>
      <c r="K12" s="21">
        <f t="shared" si="1"/>
        <v>8535.4234260355024</v>
      </c>
      <c r="L12" s="5" t="s">
        <v>24</v>
      </c>
      <c r="M12" s="4">
        <v>-3887.58</v>
      </c>
      <c r="N12" s="4"/>
      <c r="O12" s="4">
        <v>0.77999999999974534</v>
      </c>
      <c r="P12" s="4"/>
      <c r="AB12" s="2"/>
    </row>
    <row r="13" spans="1:28">
      <c r="A13" s="3">
        <v>42853</v>
      </c>
      <c r="B13" s="72" t="s">
        <v>17</v>
      </c>
      <c r="C13" s="72" t="s">
        <v>76</v>
      </c>
      <c r="D13" s="3" t="s">
        <v>11</v>
      </c>
      <c r="E13" s="21">
        <v>1.2889999999999999</v>
      </c>
      <c r="F13" s="21">
        <v>1.2889999999999999</v>
      </c>
      <c r="G13" s="20">
        <v>3100</v>
      </c>
      <c r="H13" s="21">
        <f>F13*$U$24</f>
        <v>29.558999923890703</v>
      </c>
      <c r="I13" s="21">
        <f>F13*$W$24</f>
        <v>3.6495014841312123</v>
      </c>
      <c r="J13" s="21">
        <f t="shared" si="0"/>
        <v>118138.45499581397</v>
      </c>
      <c r="K13" s="21">
        <f t="shared" si="1"/>
        <v>14585.962581627216</v>
      </c>
      <c r="L13" s="5" t="s">
        <v>24</v>
      </c>
      <c r="M13" s="4">
        <v>-3996.7</v>
      </c>
      <c r="N13" s="4"/>
      <c r="O13" s="4">
        <v>0.79999999999972715</v>
      </c>
      <c r="P13" s="4"/>
      <c r="Q13" s="72"/>
      <c r="R13" s="72"/>
      <c r="S13" s="72" t="s">
        <v>47</v>
      </c>
      <c r="T13" s="15">
        <v>43430</v>
      </c>
      <c r="U13" s="72"/>
      <c r="V13" s="2"/>
      <c r="W13" s="41"/>
      <c r="X13" s="2"/>
      <c r="AB13" s="2"/>
    </row>
    <row r="14" spans="1:28">
      <c r="A14" s="3">
        <v>42878</v>
      </c>
      <c r="B14" s="2" t="s">
        <v>18</v>
      </c>
      <c r="C14" s="2" t="s">
        <v>79</v>
      </c>
      <c r="D14" s="3" t="s">
        <v>11</v>
      </c>
      <c r="E14" s="21">
        <v>6.0780000000000003</v>
      </c>
      <c r="F14" s="21">
        <v>6.0780000000000003</v>
      </c>
      <c r="G14" s="20">
        <v>600</v>
      </c>
      <c r="H14" s="21">
        <f>F14*$U$19</f>
        <v>26.176690884577937</v>
      </c>
      <c r="I14" s="21">
        <f>F14*$W$19</f>
        <v>2.0599917609167853</v>
      </c>
      <c r="J14" s="21">
        <f t="shared" si="0"/>
        <v>95461.15631787882</v>
      </c>
      <c r="K14" s="21">
        <f t="shared" si="1"/>
        <v>7512.3779537113332</v>
      </c>
      <c r="L14" s="5" t="s">
        <v>24</v>
      </c>
      <c r="M14" s="4">
        <v>-3646.8</v>
      </c>
      <c r="N14" s="4"/>
      <c r="O14" s="4">
        <v>0</v>
      </c>
      <c r="P14" s="4"/>
      <c r="Q14" s="25" t="s">
        <v>46</v>
      </c>
      <c r="R14" s="25" t="s">
        <v>110</v>
      </c>
      <c r="S14" s="72" t="s">
        <v>53</v>
      </c>
      <c r="T14" s="25" t="s">
        <v>131</v>
      </c>
      <c r="U14" s="72" t="s">
        <v>132</v>
      </c>
      <c r="V14" s="72" t="s">
        <v>133</v>
      </c>
      <c r="W14" s="72" t="s">
        <v>134</v>
      </c>
      <c r="X14" s="72" t="s">
        <v>7275</v>
      </c>
      <c r="Y14" s="2" t="s">
        <v>129</v>
      </c>
      <c r="Z14" s="41" t="s">
        <v>130</v>
      </c>
      <c r="AA14" s="2" t="s">
        <v>56</v>
      </c>
      <c r="AB14" s="2"/>
    </row>
    <row r="15" spans="1:28">
      <c r="A15" s="3">
        <v>42878</v>
      </c>
      <c r="B15" s="3" t="s">
        <v>5</v>
      </c>
      <c r="C15" s="3" t="s">
        <v>77</v>
      </c>
      <c r="D15" s="3" t="s">
        <v>11</v>
      </c>
      <c r="E15" s="21">
        <v>0.99590000000000001</v>
      </c>
      <c r="F15" s="21">
        <v>0.99590000000000001</v>
      </c>
      <c r="G15" s="20">
        <v>7943.08</v>
      </c>
      <c r="H15" s="21">
        <f>F15*$U$26</f>
        <v>24.567294429708223</v>
      </c>
      <c r="I15" s="21">
        <f>E15*$W$26</f>
        <v>3.2439395225464192</v>
      </c>
      <c r="J15" s="21">
        <f t="shared" si="0"/>
        <v>194572.97188328914</v>
      </c>
      <c r="K15" s="21">
        <f t="shared" si="1"/>
        <v>25692.00101856764</v>
      </c>
      <c r="L15" s="7" t="s">
        <v>10</v>
      </c>
      <c r="M15" s="4">
        <v>-7920</v>
      </c>
      <c r="N15" s="4"/>
      <c r="O15" s="4">
        <v>9.49</v>
      </c>
      <c r="P15" s="4"/>
      <c r="Q15" s="25" t="s">
        <v>111</v>
      </c>
      <c r="R15" s="36">
        <v>100032</v>
      </c>
      <c r="S15" s="149">
        <v>2.6859999999999999</v>
      </c>
      <c r="T15" s="86">
        <v>9.7899999999999991</v>
      </c>
      <c r="U15" s="32">
        <f t="shared" ref="U15:U35" si="3">T15/S15</f>
        <v>3.6448250186150406</v>
      </c>
      <c r="V15" s="86">
        <v>1.02</v>
      </c>
      <c r="W15" s="32">
        <f t="shared" ref="W15:W35" si="4">V15/S15</f>
        <v>0.379746835443038</v>
      </c>
      <c r="X15" s="51">
        <v>0.13339999999999999</v>
      </c>
      <c r="Y15" s="42">
        <f>SUMIF(C:C,"=红利",J:J)/SUMIFS(M:M,C:C,"=红利",M:M,"&lt;0")*-1</f>
        <v>9.4805218206902246</v>
      </c>
      <c r="Z15" s="42">
        <f>SUMIF(C:C,"=红利",K:K)/SUMIFS(M:M,C:C,"=红利",M:M,"&lt;0")*-1</f>
        <v>0.98775610389213786</v>
      </c>
      <c r="AA15" s="33">
        <f>(SUMIF(C:C,"=红利",M:M)*-1)/$R$2</f>
        <v>8.2900000000000001E-2</v>
      </c>
      <c r="AB15" s="2"/>
    </row>
    <row r="16" spans="1:28">
      <c r="A16" s="3">
        <v>42878</v>
      </c>
      <c r="B16" s="72" t="s">
        <v>17</v>
      </c>
      <c r="C16" s="72" t="s">
        <v>76</v>
      </c>
      <c r="D16" s="3" t="s">
        <v>11</v>
      </c>
      <c r="E16" s="21">
        <v>1.256</v>
      </c>
      <c r="F16" s="21">
        <v>1.256</v>
      </c>
      <c r="G16" s="20">
        <v>3100</v>
      </c>
      <c r="H16" s="21">
        <f>F16*$U$24</f>
        <v>28.802252835071158</v>
      </c>
      <c r="I16" s="21">
        <f>F16*$W$24</f>
        <v>3.5560697161123374</v>
      </c>
      <c r="J16" s="21">
        <f t="shared" si="0"/>
        <v>112144.45163863307</v>
      </c>
      <c r="K16" s="21">
        <f t="shared" si="1"/>
        <v>13845.913046654996</v>
      </c>
      <c r="L16" s="5" t="s">
        <v>24</v>
      </c>
      <c r="M16" s="1">
        <v>-3893.6</v>
      </c>
      <c r="N16" s="1"/>
      <c r="O16" s="4">
        <v>0</v>
      </c>
      <c r="P16" s="4"/>
      <c r="Q16" s="25" t="s">
        <v>112</v>
      </c>
      <c r="R16" s="36">
        <v>510050</v>
      </c>
      <c r="S16" s="149">
        <v>2.948</v>
      </c>
      <c r="T16" s="86">
        <v>10.24</v>
      </c>
      <c r="U16" s="32">
        <f t="shared" si="3"/>
        <v>3.4735413839891454</v>
      </c>
      <c r="V16" s="86">
        <v>1.2</v>
      </c>
      <c r="W16" s="32">
        <f t="shared" si="4"/>
        <v>0.40705563093622793</v>
      </c>
      <c r="X16" s="51">
        <v>0.12559999999999999</v>
      </c>
      <c r="Y16" s="42">
        <f>SUMIF(C:C,"=50ETF",J:J)/SUMIFS(M:M,C:C,"=50ETF",M:M,"&lt;0")*-1</f>
        <v>8.2878697421981009</v>
      </c>
      <c r="Z16" s="42">
        <f>SUMIF(C:C,"=50ETF",K:K)/SUMIFS(M:M,C:C,"=50ETF",M:M,"&lt;0")*-1</f>
        <v>0.97123473541383998</v>
      </c>
      <c r="AA16" s="33">
        <f>(SUMIF(C:C,"=50ETF",M:M)*-1)/$R$2</f>
        <v>8.0543625000000004E-3</v>
      </c>
      <c r="AB16" s="2"/>
    </row>
    <row r="17" spans="1:28">
      <c r="A17" s="3">
        <v>42878</v>
      </c>
      <c r="B17" s="3" t="s">
        <v>6</v>
      </c>
      <c r="C17" s="3" t="s">
        <v>75</v>
      </c>
      <c r="D17" s="3" t="s">
        <v>11</v>
      </c>
      <c r="E17" s="21">
        <v>0.93540000000000001</v>
      </c>
      <c r="F17" s="21">
        <v>0.93540000000000001</v>
      </c>
      <c r="G17" s="20">
        <v>4231.37</v>
      </c>
      <c r="H17" s="21"/>
      <c r="I17" s="21"/>
      <c r="J17" s="21">
        <f t="shared" si="0"/>
        <v>0</v>
      </c>
      <c r="K17" s="21">
        <f t="shared" si="1"/>
        <v>0</v>
      </c>
      <c r="L17" s="7" t="s">
        <v>10</v>
      </c>
      <c r="M17" s="4">
        <v>-3960</v>
      </c>
      <c r="N17" s="4"/>
      <c r="O17" s="4">
        <v>1.98</v>
      </c>
      <c r="P17" s="4"/>
      <c r="Q17" s="25" t="s">
        <v>113</v>
      </c>
      <c r="R17" s="36">
        <v>510300</v>
      </c>
      <c r="S17" s="149">
        <v>3.8797999999999999</v>
      </c>
      <c r="T17" s="86">
        <v>12.85</v>
      </c>
      <c r="U17" s="32">
        <f t="shared" si="3"/>
        <v>3.3120263931130469</v>
      </c>
      <c r="V17" s="86">
        <v>1.45</v>
      </c>
      <c r="W17" s="32">
        <f t="shared" si="4"/>
        <v>0.3737306046703438</v>
      </c>
      <c r="X17" s="51">
        <v>0.1222</v>
      </c>
      <c r="Y17" s="42">
        <f>SUMIF(C:C,"=300ETF",J:J)/SUMIFS(M:M,C:C,"=300ETF",M:M,"&lt;0")*-1</f>
        <v>11.276089921961278</v>
      </c>
      <c r="Z17" s="42">
        <f>SUMIF(C:C,"=300ETF",K:K)/SUMIFS(M:M,C:C,"=300ETF",M:M,"&lt;0")*-1</f>
        <v>1.2723992518944633</v>
      </c>
      <c r="AA17" s="173">
        <f>(SUMIF(C:C,"=300ETF",M:M)*-1)/$R$2</f>
        <v>6.3755074999999994E-2</v>
      </c>
      <c r="AB17" s="2"/>
    </row>
    <row r="18" spans="1:28">
      <c r="A18" s="3">
        <v>42878</v>
      </c>
      <c r="B18" s="3" t="s">
        <v>4</v>
      </c>
      <c r="C18" s="3" t="s">
        <v>80</v>
      </c>
      <c r="D18" s="3" t="s">
        <v>11</v>
      </c>
      <c r="E18" s="21">
        <v>1.149</v>
      </c>
      <c r="F18" s="21">
        <v>2.5390000000000001</v>
      </c>
      <c r="G18" s="20">
        <v>3441.31</v>
      </c>
      <c r="H18" s="21">
        <f>F18*$U$15</f>
        <v>9.2542107222635881</v>
      </c>
      <c r="I18" s="21">
        <f>F18*$W$15</f>
        <v>0.96417721518987354</v>
      </c>
      <c r="J18" s="21">
        <f t="shared" si="0"/>
        <v>36646.674460163806</v>
      </c>
      <c r="K18" s="21">
        <f t="shared" si="1"/>
        <v>3818.1417721518992</v>
      </c>
      <c r="L18" s="7" t="s">
        <v>10</v>
      </c>
      <c r="M18" s="4">
        <v>-3960</v>
      </c>
      <c r="N18" s="4"/>
      <c r="O18" s="4">
        <v>5.93</v>
      </c>
      <c r="P18" s="4"/>
      <c r="Q18" s="25" t="s">
        <v>7535</v>
      </c>
      <c r="R18" s="36" t="s">
        <v>7538</v>
      </c>
      <c r="S18" s="149">
        <v>1.952</v>
      </c>
      <c r="T18" s="86">
        <v>12.85</v>
      </c>
      <c r="U18" s="32">
        <f t="shared" si="3"/>
        <v>6.5829918032786887</v>
      </c>
      <c r="V18" s="86">
        <v>1.45</v>
      </c>
      <c r="W18" s="32">
        <f t="shared" si="4"/>
        <v>0.74282786885245899</v>
      </c>
      <c r="X18" s="112">
        <v>0.1222</v>
      </c>
      <c r="Y18" s="42">
        <f>SUMIF(C:C,"=300ETF",J:J)/SUMIFS(M:M,C:C,"=300ETF",M:M,"&lt;0")*-1</f>
        <v>11.276089921961278</v>
      </c>
      <c r="Z18" s="42">
        <f>SUMIF(C:C,"=300ETF",K:K)/SUMIFS(M:M,C:C,"=300ETF",M:M,"&lt;0")*-1</f>
        <v>1.2723992518944633</v>
      </c>
      <c r="AA18" s="174"/>
      <c r="AB18" s="2"/>
    </row>
    <row r="19" spans="1:28">
      <c r="A19" s="3">
        <v>43054</v>
      </c>
      <c r="B19" s="3" t="s">
        <v>6</v>
      </c>
      <c r="C19" s="3" t="s">
        <v>81</v>
      </c>
      <c r="D19" s="3" t="s">
        <v>11</v>
      </c>
      <c r="E19" s="21">
        <v>0.93340000000000001</v>
      </c>
      <c r="F19" s="21">
        <v>0.93340000000000001</v>
      </c>
      <c r="G19" s="20">
        <v>4240.43</v>
      </c>
      <c r="H19" s="21"/>
      <c r="I19" s="21"/>
      <c r="J19" s="21">
        <f t="shared" si="0"/>
        <v>0</v>
      </c>
      <c r="K19" s="21">
        <f t="shared" si="1"/>
        <v>0</v>
      </c>
      <c r="L19" s="7" t="s">
        <v>10</v>
      </c>
      <c r="M19" s="4">
        <v>-3960</v>
      </c>
      <c r="N19" s="4"/>
      <c r="O19" s="4">
        <v>1.98</v>
      </c>
      <c r="P19" s="4"/>
      <c r="Q19" s="25" t="s">
        <v>18</v>
      </c>
      <c r="R19" s="36">
        <v>510500</v>
      </c>
      <c r="S19" s="149">
        <v>5.3403999999999998</v>
      </c>
      <c r="T19" s="86">
        <v>23</v>
      </c>
      <c r="U19" s="32">
        <f t="shared" si="3"/>
        <v>4.3067934986143364</v>
      </c>
      <c r="V19" s="86">
        <v>1.81</v>
      </c>
      <c r="W19" s="32">
        <f t="shared" si="4"/>
        <v>0.33892592315182385</v>
      </c>
      <c r="X19" s="112">
        <v>7.4200000000000002E-2</v>
      </c>
      <c r="Y19" s="42">
        <f>SUMIF(C:C,"=500ETF",J:J)/SUMIFS(M:M,C:C,"=500ETF",M:M,"&lt;0")*-1</f>
        <v>24.041508911288606</v>
      </c>
      <c r="Z19" s="42">
        <f>SUMIF(C:C,"=500ETF",K:K)/SUMIFS(M:M,C:C,"=500ETF",M:M,"&lt;0")*-1</f>
        <v>1.8919622230187982</v>
      </c>
      <c r="AA19" s="173">
        <f>(SUMIF(C:C,"=500ETF",M:M)*-1)/$R$2</f>
        <v>0.28365731249999998</v>
      </c>
      <c r="AB19" s="2"/>
    </row>
    <row r="20" spans="1:28">
      <c r="A20" s="3">
        <v>43063</v>
      </c>
      <c r="B20" s="2" t="s">
        <v>18</v>
      </c>
      <c r="C20" s="2" t="s">
        <v>82</v>
      </c>
      <c r="D20" s="3" t="s">
        <v>11</v>
      </c>
      <c r="E20" s="21">
        <v>6.585</v>
      </c>
      <c r="F20" s="21">
        <v>6.585</v>
      </c>
      <c r="G20" s="20">
        <v>1200</v>
      </c>
      <c r="H20" s="21">
        <f>F20*$U$19</f>
        <v>28.360235188375405</v>
      </c>
      <c r="I20" s="21">
        <f>F20*$W$19</f>
        <v>2.2318272039547602</v>
      </c>
      <c r="J20" s="21">
        <f t="shared" si="0"/>
        <v>224147.38763014009</v>
      </c>
      <c r="K20" s="21">
        <f t="shared" si="1"/>
        <v>17639.424852632765</v>
      </c>
      <c r="L20" s="5" t="s">
        <v>24</v>
      </c>
      <c r="M20" s="1">
        <v>-7903.58</v>
      </c>
      <c r="N20" s="1"/>
      <c r="O20" s="4">
        <v>1.5799999999999272</v>
      </c>
      <c r="P20" s="4"/>
      <c r="Q20" s="25" t="s">
        <v>7536</v>
      </c>
      <c r="R20" s="36" t="s">
        <v>7539</v>
      </c>
      <c r="S20" s="149">
        <v>1.9630000000000001</v>
      </c>
      <c r="T20" s="86">
        <v>23</v>
      </c>
      <c r="U20" s="32">
        <f t="shared" si="3"/>
        <v>11.716760061130921</v>
      </c>
      <c r="V20" s="86">
        <v>1.81</v>
      </c>
      <c r="W20" s="32">
        <f t="shared" si="4"/>
        <v>0.92205807437595511</v>
      </c>
      <c r="X20" s="112">
        <v>7.4200000000000002E-2</v>
      </c>
      <c r="Y20" s="42">
        <f>SUMIF(C:C,"=500ETF",J:J)/SUMIFS(M:M,C:C,"=500ETF",M:M,"&lt;0")*-1</f>
        <v>24.041508911288606</v>
      </c>
      <c r="Z20" s="42">
        <f>SUMIF(C:C,"=500ETF",K:K)/SUMIFS(M:M,C:C,"=500ETF",M:M,"&lt;0")*-1</f>
        <v>1.8919622230187982</v>
      </c>
      <c r="AA20" s="174"/>
      <c r="AB20" s="2"/>
    </row>
    <row r="21" spans="1:28">
      <c r="A21" s="3">
        <v>43069</v>
      </c>
      <c r="B21" s="3" t="s">
        <v>15</v>
      </c>
      <c r="C21" s="3" t="s">
        <v>83</v>
      </c>
      <c r="D21" s="3" t="s">
        <v>11</v>
      </c>
      <c r="E21" s="21">
        <v>0.76829999999999998</v>
      </c>
      <c r="F21" s="21">
        <v>0.76829999999999998</v>
      </c>
      <c r="G21" s="20">
        <v>5200.07</v>
      </c>
      <c r="H21" s="21">
        <f>F21*$U$29</f>
        <v>37.088408551068881</v>
      </c>
      <c r="I21" s="21">
        <f>F21*$W$29</f>
        <v>3.0181710213776718</v>
      </c>
      <c r="J21" s="21">
        <f t="shared" si="0"/>
        <v>148353.63420427553</v>
      </c>
      <c r="K21" s="21">
        <f t="shared" si="1"/>
        <v>12072.684085510688</v>
      </c>
      <c r="L21" s="6" t="s">
        <v>16</v>
      </c>
      <c r="M21" s="4">
        <v>-4000</v>
      </c>
      <c r="N21" s="4"/>
      <c r="O21" s="4">
        <v>4.79</v>
      </c>
      <c r="P21" s="4"/>
      <c r="Q21" s="25" t="s">
        <v>19</v>
      </c>
      <c r="R21" s="36">
        <v>512100</v>
      </c>
      <c r="S21" s="149">
        <v>0.66520000000000001</v>
      </c>
      <c r="T21" s="86">
        <v>32.43</v>
      </c>
      <c r="U21" s="32">
        <f t="shared" si="3"/>
        <v>48.752254960914009</v>
      </c>
      <c r="V21" s="86">
        <v>2.13</v>
      </c>
      <c r="W21" s="32">
        <f t="shared" si="4"/>
        <v>3.2020444978953697</v>
      </c>
      <c r="X21" s="112">
        <v>5.5100000000000003E-2</v>
      </c>
      <c r="Y21" s="42">
        <f>SUMIF(C:C,"=1000ETF",J:J)/SUMIFS(M:M,C:C,"=1000ETF",M:M,"&lt;0")*-1</f>
        <v>7.8282298561430403</v>
      </c>
      <c r="Z21" s="42">
        <f>SUMIF(C:C,"=1000ETF",K:K)/SUMIFS(M:M,C:C,"=1000ETF",M:M,"&lt;0")*-1</f>
        <v>0.51415755761901527</v>
      </c>
      <c r="AA21" s="33">
        <f>(SUMIF(C:C,"=1000ETF",M:M)*-1)/$R$2</f>
        <v>6.5635124999999968E-3</v>
      </c>
      <c r="AB21" s="2"/>
    </row>
    <row r="22" spans="1:28">
      <c r="A22" s="3">
        <v>43074</v>
      </c>
      <c r="B22" s="2" t="s">
        <v>18</v>
      </c>
      <c r="C22" s="2" t="s">
        <v>84</v>
      </c>
      <c r="D22" s="3" t="s">
        <v>11</v>
      </c>
      <c r="E22" s="21">
        <v>6.44</v>
      </c>
      <c r="F22" s="21">
        <v>6.44</v>
      </c>
      <c r="G22" s="20">
        <v>600</v>
      </c>
      <c r="H22" s="21">
        <f>F22*$U$19</f>
        <v>27.735750131076326</v>
      </c>
      <c r="I22" s="21">
        <f>F22*$W$19</f>
        <v>2.1826829450977456</v>
      </c>
      <c r="J22" s="21">
        <f t="shared" si="0"/>
        <v>107192.29503407986</v>
      </c>
      <c r="K22" s="21">
        <f t="shared" si="1"/>
        <v>8435.5675657254142</v>
      </c>
      <c r="L22" s="5" t="s">
        <v>24</v>
      </c>
      <c r="M22" s="1">
        <v>-3864.77</v>
      </c>
      <c r="N22" s="1"/>
      <c r="O22" s="4">
        <v>0.76999999999998181</v>
      </c>
      <c r="P22" s="4"/>
      <c r="Q22" s="25" t="s">
        <v>114</v>
      </c>
      <c r="R22" s="36">
        <v>159915</v>
      </c>
      <c r="S22" s="149">
        <v>1.5669</v>
      </c>
      <c r="T22" s="86">
        <v>55.5</v>
      </c>
      <c r="U22" s="32">
        <f>T22/S22</f>
        <v>35.420256557533982</v>
      </c>
      <c r="V22" s="86">
        <v>4.6900000000000004</v>
      </c>
      <c r="W22" s="32">
        <f t="shared" si="4"/>
        <v>2.993171229816836</v>
      </c>
      <c r="X22" s="112">
        <v>8.9099999999999999E-2</v>
      </c>
      <c r="Y22" s="42">
        <f>SUMIF(C:C,"=创业板",J:J)/SUMIFS(M:M,C:C,"=创业板",M:M,"&lt;0")*-1</f>
        <v>47.721410253660913</v>
      </c>
      <c r="Z22" s="42">
        <f>SUMIF(C:C,"=创业板",K:K)/SUMIFS(M:M,C:C,"=创业板",M:M,"&lt;0")*-1</f>
        <v>4.0326741277417959</v>
      </c>
      <c r="AA22" s="173">
        <f>(SUMIF(C:C,"=创业板",M:M)*-1)/$R$2</f>
        <v>2.4085612499999999E-2</v>
      </c>
      <c r="AB22" s="2"/>
    </row>
    <row r="23" spans="1:28">
      <c r="A23" s="3">
        <v>43115</v>
      </c>
      <c r="B23" s="2" t="s">
        <v>18</v>
      </c>
      <c r="C23" s="2" t="s">
        <v>85</v>
      </c>
      <c r="D23" s="3" t="s">
        <v>11</v>
      </c>
      <c r="E23" s="21">
        <v>6.5739999999999998</v>
      </c>
      <c r="F23" s="21">
        <v>6.5739999999999998</v>
      </c>
      <c r="G23" s="20">
        <v>600</v>
      </c>
      <c r="H23" s="21">
        <f>F23*$U$19</f>
        <v>28.312860459890647</v>
      </c>
      <c r="I23" s="21">
        <f>F23*$W$19</f>
        <v>2.2280990188000898</v>
      </c>
      <c r="J23" s="21">
        <f t="shared" si="0"/>
        <v>111699.61395775598</v>
      </c>
      <c r="K23" s="21">
        <f t="shared" si="1"/>
        <v>8790.273967979927</v>
      </c>
      <c r="L23" s="5" t="s">
        <v>24</v>
      </c>
      <c r="M23" s="1">
        <v>-3945.19</v>
      </c>
      <c r="N23" s="1"/>
      <c r="O23" s="4">
        <v>0.78999999999996362</v>
      </c>
      <c r="P23" s="4"/>
      <c r="Q23" s="25" t="s">
        <v>7537</v>
      </c>
      <c r="R23" s="36">
        <v>110026</v>
      </c>
      <c r="S23" s="149">
        <v>1.6890000000000001</v>
      </c>
      <c r="T23" s="86">
        <v>55.5</v>
      </c>
      <c r="U23" s="32">
        <f>T23/S23</f>
        <v>32.859680284191832</v>
      </c>
      <c r="V23" s="86">
        <v>4.6900000000000004</v>
      </c>
      <c r="W23" s="32">
        <f t="shared" si="4"/>
        <v>2.7767910005920666</v>
      </c>
      <c r="X23" s="112">
        <v>8.9099999999999999E-2</v>
      </c>
      <c r="Y23" s="42">
        <f>SUMIF(C:C,"=创业板",J:J)/SUMIFS(M:M,C:C,"=创业板",M:M,"&lt;0")*-1</f>
        <v>47.721410253660913</v>
      </c>
      <c r="Z23" s="42">
        <f>SUMIF(C:C,"=创业板",K:K)/SUMIFS(M:M,C:C,"=创业板",M:M,"&lt;0")*-1</f>
        <v>4.0326741277417959</v>
      </c>
      <c r="AA23" s="175"/>
      <c r="AB23" s="2"/>
    </row>
    <row r="24" spans="1:28">
      <c r="A24" s="3">
        <v>43119</v>
      </c>
      <c r="B24" s="3" t="s">
        <v>4</v>
      </c>
      <c r="C24" s="3" t="s">
        <v>80</v>
      </c>
      <c r="D24" s="14" t="s">
        <v>44</v>
      </c>
      <c r="E24" s="22">
        <v>1.2150000000000001</v>
      </c>
      <c r="F24" s="22">
        <v>2.8250000000000002</v>
      </c>
      <c r="G24" s="23">
        <v>1085.17</v>
      </c>
      <c r="H24" s="21">
        <f>F24*$U$15</f>
        <v>10.296630677587491</v>
      </c>
      <c r="I24" s="21">
        <f>F24*$W$15</f>
        <v>1.0727848101265824</v>
      </c>
      <c r="J24" s="21">
        <f t="shared" si="0"/>
        <v>0</v>
      </c>
      <c r="K24" s="21">
        <f t="shared" si="1"/>
        <v>0</v>
      </c>
      <c r="L24" s="7" t="s">
        <v>10</v>
      </c>
      <c r="M24" s="13">
        <v>0</v>
      </c>
      <c r="N24" s="13"/>
      <c r="O24" s="4">
        <v>0</v>
      </c>
      <c r="P24" s="4"/>
      <c r="Q24" s="25" t="s">
        <v>115</v>
      </c>
      <c r="R24" s="36">
        <v>159938</v>
      </c>
      <c r="S24" s="149">
        <v>1.3139000000000001</v>
      </c>
      <c r="T24" s="86">
        <v>30.13</v>
      </c>
      <c r="U24" s="32">
        <f t="shared" si="3"/>
        <v>22.93172996422863</v>
      </c>
      <c r="V24" s="86">
        <v>3.72</v>
      </c>
      <c r="W24" s="32">
        <f t="shared" si="4"/>
        <v>2.8312656975416699</v>
      </c>
      <c r="X24" s="112">
        <v>9.8199999999999996E-2</v>
      </c>
      <c r="Y24" s="42">
        <f>SUMIF(C:C,"=医药",J:J)/SUMIFS(M:M,C:C,"=医药",M:M,"&lt;0")*-1</f>
        <v>28.161466699412337</v>
      </c>
      <c r="Z24" s="42">
        <f>SUMIF(C:C,"=医药",K:K)/SUMIFS(M:M,C:C,"=医药",M:M,"&lt;0")*-1</f>
        <v>3.4769550654435406</v>
      </c>
      <c r="AA24" s="173">
        <f>(SUMIF(C:C,"=医药",M:M)*-1)/$R$2</f>
        <v>6.1076224999999998E-2</v>
      </c>
      <c r="AB24" s="2"/>
    </row>
    <row r="25" spans="1:28">
      <c r="A25" s="3">
        <v>43119</v>
      </c>
      <c r="B25" s="2" t="s">
        <v>23</v>
      </c>
      <c r="C25" s="2" t="s">
        <v>86</v>
      </c>
      <c r="D25" s="3" t="s">
        <v>11</v>
      </c>
      <c r="E25" s="21">
        <v>1</v>
      </c>
      <c r="F25" s="21">
        <v>1</v>
      </c>
      <c r="G25" s="20">
        <v>4000</v>
      </c>
      <c r="H25" s="21">
        <f>F25*$U$30</f>
        <v>44.349680170575695</v>
      </c>
      <c r="I25" s="21">
        <f>F25*$W$30</f>
        <v>3.5714285714285721</v>
      </c>
      <c r="J25" s="21">
        <f t="shared" si="0"/>
        <v>177434.20042643926</v>
      </c>
      <c r="K25" s="21">
        <f t="shared" si="1"/>
        <v>14288.571428571431</v>
      </c>
      <c r="L25" s="5" t="s">
        <v>24</v>
      </c>
      <c r="M25" s="1">
        <v>-4000.8</v>
      </c>
      <c r="N25" s="1"/>
      <c r="O25" s="4">
        <v>0.8</v>
      </c>
      <c r="P25" s="4"/>
      <c r="Q25" s="25" t="s">
        <v>116</v>
      </c>
      <c r="R25" s="36" t="s">
        <v>124</v>
      </c>
      <c r="S25" s="149">
        <v>0.82010000000000005</v>
      </c>
      <c r="T25" s="86">
        <v>30.13</v>
      </c>
      <c r="U25" s="32">
        <f t="shared" si="3"/>
        <v>36.739422021704669</v>
      </c>
      <c r="V25" s="86">
        <v>3.72</v>
      </c>
      <c r="W25" s="32">
        <f t="shared" si="4"/>
        <v>4.5360321911961954</v>
      </c>
      <c r="X25" s="112">
        <v>9.8199999999999996E-2</v>
      </c>
      <c r="Y25" s="42">
        <f>SUMIF(C:C,"=医药",J:J)/SUMIFS(M:M,C:C,"=医药",M:M,"&lt;0")*-1</f>
        <v>28.161466699412337</v>
      </c>
      <c r="Z25" s="42">
        <f>SUMIF(C:C,"=医药",K:K)/SUMIFS(M:M,C:C,"=医药",M:M,"&lt;0")*-1</f>
        <v>3.4769550654435406</v>
      </c>
      <c r="AA25" s="174"/>
      <c r="AB25" s="2"/>
    </row>
    <row r="26" spans="1:28">
      <c r="A26" s="3">
        <v>43132</v>
      </c>
      <c r="B26" s="2" t="s">
        <v>18</v>
      </c>
      <c r="C26" s="2" t="s">
        <v>87</v>
      </c>
      <c r="D26" s="3" t="s">
        <v>11</v>
      </c>
      <c r="E26" s="21">
        <v>6.45</v>
      </c>
      <c r="F26" s="21">
        <v>6.45</v>
      </c>
      <c r="G26" s="20">
        <v>600</v>
      </c>
      <c r="H26" s="21">
        <f>F26*$U$19</f>
        <v>27.77881806606247</v>
      </c>
      <c r="I26" s="21">
        <f>F26*$W$19</f>
        <v>2.186072204329264</v>
      </c>
      <c r="J26" s="21">
        <f t="shared" si="0"/>
        <v>107525.41560557263</v>
      </c>
      <c r="K26" s="21">
        <f t="shared" si="1"/>
        <v>8461.7827063515851</v>
      </c>
      <c r="L26" s="5" t="s">
        <v>24</v>
      </c>
      <c r="M26" s="1">
        <v>-3870.77</v>
      </c>
      <c r="N26" s="1"/>
      <c r="O26" s="4">
        <v>0.76999999999998181</v>
      </c>
      <c r="P26" s="4"/>
      <c r="Q26" s="25" t="s">
        <v>117</v>
      </c>
      <c r="R26" s="36" t="s">
        <v>64</v>
      </c>
      <c r="S26" s="149">
        <v>0.9425</v>
      </c>
      <c r="T26" s="86">
        <v>23.25</v>
      </c>
      <c r="U26" s="32">
        <f t="shared" si="3"/>
        <v>24.668435013262599</v>
      </c>
      <c r="V26" s="86">
        <v>3.07</v>
      </c>
      <c r="W26" s="32">
        <f t="shared" si="4"/>
        <v>3.2572944297082227</v>
      </c>
      <c r="X26" s="112">
        <v>0.15459999999999999</v>
      </c>
      <c r="Y26" s="42">
        <f>SUMIF(C:C,"=养老",J:J)/SUMIFS(M:M,C:C,"=养老",M:M,"&lt;0")*-1</f>
        <v>23.010711094096092</v>
      </c>
      <c r="Z26" s="42">
        <f>SUMIF(C:C,"=养老",K:K)/SUMIFS(M:M,C:C,"=养老",M:M,"&lt;0")*-1</f>
        <v>3.0015457748366106</v>
      </c>
      <c r="AA26" s="33">
        <f>(SUMIF(C:C,"=养老",M:M)*-1)/$R$2</f>
        <v>7.2749999999999995E-2</v>
      </c>
      <c r="AB26" s="2"/>
    </row>
    <row r="27" spans="1:28">
      <c r="A27" s="3">
        <v>43133</v>
      </c>
      <c r="B27" s="3" t="s">
        <v>15</v>
      </c>
      <c r="C27" s="3" t="s">
        <v>88</v>
      </c>
      <c r="D27" s="3" t="s">
        <v>11</v>
      </c>
      <c r="E27" s="21">
        <v>0.69869999999999999</v>
      </c>
      <c r="F27" s="21">
        <v>0.69869999999999999</v>
      </c>
      <c r="G27" s="20">
        <v>5718.06</v>
      </c>
      <c r="H27" s="21">
        <f>F27*$U$29</f>
        <v>33.728583957610084</v>
      </c>
      <c r="I27" s="21">
        <f>F27*$W$29</f>
        <v>2.7447560752786404</v>
      </c>
      <c r="J27" s="21">
        <f t="shared" si="0"/>
        <v>134914.33583044034</v>
      </c>
      <c r="K27" s="21">
        <f t="shared" si="1"/>
        <v>10979.024301114561</v>
      </c>
      <c r="L27" s="6" t="s">
        <v>16</v>
      </c>
      <c r="M27" s="4">
        <v>-4000</v>
      </c>
      <c r="N27" s="4"/>
      <c r="O27" s="4">
        <v>4.79</v>
      </c>
      <c r="P27" s="4"/>
      <c r="Q27" s="25" t="s">
        <v>22</v>
      </c>
      <c r="R27" s="36">
        <v>512880</v>
      </c>
      <c r="S27" s="149">
        <v>0.93979999999999997</v>
      </c>
      <c r="T27" s="86">
        <v>29.65</v>
      </c>
      <c r="U27" s="32">
        <f t="shared" si="3"/>
        <v>31.549265801234306</v>
      </c>
      <c r="V27" s="86">
        <v>1.64</v>
      </c>
      <c r="W27" s="32">
        <f t="shared" si="4"/>
        <v>1.7450521387529261</v>
      </c>
      <c r="X27" s="112">
        <v>5.5300000000000002E-2</v>
      </c>
      <c r="Y27" s="42">
        <f>SUMIF(C:C,"=证券",J:J)/SUMIFS(M:M,C:C,"=证券",M:M,"&lt;0")*-1</f>
        <v>25.140997529529791</v>
      </c>
      <c r="Z27" s="42">
        <f>SUMIF(C:C,"=证券",K:K)/SUMIFS(M:M,C:C,"=证券",M:M,"&lt;0")*-1</f>
        <v>1.3905981770127775</v>
      </c>
      <c r="AA27" s="33">
        <f>(SUMIF(C:C,"=证券",M:M)*-1)/$R$2</f>
        <v>3.1965149999999998E-2</v>
      </c>
      <c r="AB27" s="2"/>
    </row>
    <row r="28" spans="1:28">
      <c r="A28" s="3">
        <v>43137</v>
      </c>
      <c r="B28" s="2" t="s">
        <v>18</v>
      </c>
      <c r="C28" s="2" t="s">
        <v>85</v>
      </c>
      <c r="D28" s="3" t="s">
        <v>11</v>
      </c>
      <c r="E28" s="21">
        <v>6.0430000000000001</v>
      </c>
      <c r="F28" s="21">
        <v>6.0430000000000001</v>
      </c>
      <c r="G28" s="20">
        <v>1300</v>
      </c>
      <c r="H28" s="21">
        <f>F28*$U$19</f>
        <v>26.025953112126434</v>
      </c>
      <c r="I28" s="21">
        <f>F28*$W$19</f>
        <v>2.0481293536064715</v>
      </c>
      <c r="J28" s="21">
        <f t="shared" si="0"/>
        <v>204498.1457999401</v>
      </c>
      <c r="K28" s="21">
        <f t="shared" si="1"/>
        <v>16093.114952082242</v>
      </c>
      <c r="L28" s="5" t="s">
        <v>24</v>
      </c>
      <c r="M28" s="1">
        <v>-7857.47</v>
      </c>
      <c r="N28" s="1"/>
      <c r="O28" s="4">
        <v>1.5700000000006185</v>
      </c>
      <c r="P28" s="4"/>
      <c r="Q28" s="25" t="s">
        <v>20</v>
      </c>
      <c r="R28" s="36">
        <v>512580</v>
      </c>
      <c r="S28" s="149">
        <v>0.72850000000000004</v>
      </c>
      <c r="T28" s="86">
        <v>26.42</v>
      </c>
      <c r="U28" s="32">
        <f t="shared" si="3"/>
        <v>36.266300617707621</v>
      </c>
      <c r="V28" s="86">
        <v>2.15</v>
      </c>
      <c r="W28" s="32">
        <f t="shared" si="4"/>
        <v>2.9512697323266983</v>
      </c>
      <c r="X28" s="112">
        <v>9.7900000000000001E-2</v>
      </c>
      <c r="Y28" s="42">
        <f>SUMIF(C:C,"=环保",J:J)/SUMIFS(M:M,C:C,"=环保",M:M,"&lt;0")*-1</f>
        <v>31.462916967736909</v>
      </c>
      <c r="Z28" s="42">
        <f>SUMIF(C:C,"=环保",K:K)/SUMIFS(M:M,C:C,"=环保",M:M,"&lt;0")*-1</f>
        <v>2.5603812066856304</v>
      </c>
      <c r="AA28" s="173">
        <f>(SUMIF(C:C,"=环保",M:M)*-1)/$R$2</f>
        <v>6.0069037499999992E-2</v>
      </c>
      <c r="AB28" s="2"/>
    </row>
    <row r="29" spans="1:28">
      <c r="A29" s="3">
        <v>43138</v>
      </c>
      <c r="B29" s="2" t="s">
        <v>18</v>
      </c>
      <c r="C29" s="2" t="s">
        <v>85</v>
      </c>
      <c r="D29" s="3" t="s">
        <v>11</v>
      </c>
      <c r="E29" s="21">
        <v>6.0149999999999997</v>
      </c>
      <c r="F29" s="21">
        <v>6.0149999999999997</v>
      </c>
      <c r="G29" s="20">
        <v>8300</v>
      </c>
      <c r="H29" s="21">
        <f>F29*$U$19</f>
        <v>25.905362894165233</v>
      </c>
      <c r="I29" s="21">
        <f>F29*$W$19</f>
        <v>2.0386394277582203</v>
      </c>
      <c r="J29" s="21">
        <f t="shared" si="0"/>
        <v>1293570.825331436</v>
      </c>
      <c r="K29" s="21">
        <f t="shared" si="1"/>
        <v>101798.3997326043</v>
      </c>
      <c r="L29" s="5" t="s">
        <v>24</v>
      </c>
      <c r="M29" s="1">
        <v>-49934.48</v>
      </c>
      <c r="N29" s="1"/>
      <c r="O29" s="4">
        <v>9.9800000000032014</v>
      </c>
      <c r="P29" s="4"/>
      <c r="Q29" s="25" t="s">
        <v>118</v>
      </c>
      <c r="R29" s="36" t="s">
        <v>65</v>
      </c>
      <c r="S29" s="149">
        <v>0.54730000000000001</v>
      </c>
      <c r="T29" s="86">
        <v>26.42</v>
      </c>
      <c r="U29" s="32">
        <f t="shared" si="3"/>
        <v>48.273341860040198</v>
      </c>
      <c r="V29" s="86">
        <v>2.15</v>
      </c>
      <c r="W29" s="32">
        <f t="shared" si="4"/>
        <v>3.928375662342408</v>
      </c>
      <c r="X29" s="112">
        <v>9.7900000000000001E-2</v>
      </c>
      <c r="Y29" s="42">
        <f>SUMIF(C:C,"=环保",J:J)/SUMIFS(M:M,C:C,"=环保",M:M,"&lt;0")*-1</f>
        <v>31.462916967736909</v>
      </c>
      <c r="Z29" s="42">
        <f>SUMIF(C:C,"=环保",K:K)/SUMIFS(M:M,C:C,"=环保",M:M,"&lt;0")*-1</f>
        <v>2.5603812066856304</v>
      </c>
      <c r="AA29" s="174"/>
      <c r="AB29" s="2"/>
    </row>
    <row r="30" spans="1:28">
      <c r="A30" s="3">
        <v>43208</v>
      </c>
      <c r="B30" s="3" t="s">
        <v>4</v>
      </c>
      <c r="C30" s="3" t="s">
        <v>80</v>
      </c>
      <c r="D30" s="3" t="s">
        <v>11</v>
      </c>
      <c r="E30" s="21">
        <v>1.0920000000000001</v>
      </c>
      <c r="F30" s="21">
        <v>2.6869999999999998</v>
      </c>
      <c r="G30" s="20">
        <v>18287.580000000002</v>
      </c>
      <c r="H30" s="21">
        <f>F30*$U$15</f>
        <v>9.7936448250186139</v>
      </c>
      <c r="I30" s="21">
        <f>F30*$W$15</f>
        <v>1.020379746835443</v>
      </c>
      <c r="J30" s="21">
        <f t="shared" si="0"/>
        <v>195872.89650037227</v>
      </c>
      <c r="K30" s="21">
        <f t="shared" si="1"/>
        <v>20407.594936708858</v>
      </c>
      <c r="L30" s="7" t="s">
        <v>10</v>
      </c>
      <c r="M30" s="4">
        <v>-20000</v>
      </c>
      <c r="N30" s="4"/>
      <c r="O30" s="4">
        <v>29.96</v>
      </c>
      <c r="P30" s="4"/>
      <c r="Q30" s="25" t="s">
        <v>23</v>
      </c>
      <c r="R30" s="36">
        <v>512980</v>
      </c>
      <c r="S30" s="149">
        <v>0.75039999999999996</v>
      </c>
      <c r="T30" s="86">
        <v>33.28</v>
      </c>
      <c r="U30" s="32">
        <f t="shared" si="3"/>
        <v>44.349680170575695</v>
      </c>
      <c r="V30" s="86">
        <v>2.68</v>
      </c>
      <c r="W30" s="32">
        <f t="shared" si="4"/>
        <v>3.5714285714285721</v>
      </c>
      <c r="X30" s="71">
        <v>7.7600000000000002E-2</v>
      </c>
      <c r="Y30" s="42">
        <f>SUMIF(C:C,"=传媒",J:J)/SUMIFS(M:M,C:C,"=传媒",M:M,"&lt;0")*-1</f>
        <v>38.461731281406671</v>
      </c>
      <c r="Z30" s="42">
        <f>SUMIF(C:C,"=传媒",K:K)/SUMIFS(M:M,C:C,"=传媒",M:M,"&lt;0")*-1</f>
        <v>3.0972788411709704</v>
      </c>
      <c r="AA30" s="173">
        <f>(SUMIF(C:C,"=传媒",M:M)*-1)/$R$2</f>
        <v>4.5025412500000001E-2</v>
      </c>
      <c r="AB30" s="2"/>
    </row>
    <row r="31" spans="1:28">
      <c r="A31" s="3">
        <v>43210</v>
      </c>
      <c r="B31" s="2" t="s">
        <v>19</v>
      </c>
      <c r="C31" s="2" t="s">
        <v>89</v>
      </c>
      <c r="D31" s="3" t="s">
        <v>11</v>
      </c>
      <c r="E31" s="21">
        <v>0.77600000000000002</v>
      </c>
      <c r="F31" s="21">
        <v>0.77600000000000002</v>
      </c>
      <c r="G31" s="20">
        <v>25800</v>
      </c>
      <c r="H31" s="21">
        <f>F31*$U$21</f>
        <v>37.831749849669272</v>
      </c>
      <c r="I31" s="21">
        <f>F31*$W$21</f>
        <v>2.4847865303668071</v>
      </c>
      <c r="J31" s="21">
        <f t="shared" si="0"/>
        <v>757573.22438965726</v>
      </c>
      <c r="K31" s="21">
        <f t="shared" si="1"/>
        <v>49757.353313289233</v>
      </c>
      <c r="L31" s="5" t="s">
        <v>24</v>
      </c>
      <c r="M31" s="1">
        <v>-20024.8</v>
      </c>
      <c r="N31" s="1"/>
      <c r="O31" s="4">
        <v>4</v>
      </c>
      <c r="P31" s="4"/>
      <c r="Q31" s="25" t="s">
        <v>7562</v>
      </c>
      <c r="R31" s="36" t="s">
        <v>7563</v>
      </c>
      <c r="S31" s="149">
        <v>0.75449999999999995</v>
      </c>
      <c r="T31" s="86">
        <v>33.28</v>
      </c>
      <c r="U31" s="32">
        <f t="shared" si="3"/>
        <v>44.108681245858186</v>
      </c>
      <c r="V31" s="86">
        <v>2.68</v>
      </c>
      <c r="W31" s="32">
        <f t="shared" si="4"/>
        <v>3.5520212060967533</v>
      </c>
      <c r="X31" s="124">
        <v>7.7600000000000002E-2</v>
      </c>
      <c r="Y31" s="42">
        <f>SUMIF(C:C,"=传媒",J:J)/SUMIFS(M:M,C:C,"=传媒",M:M,"&lt;0")*-1</f>
        <v>38.461731281406671</v>
      </c>
      <c r="Z31" s="42">
        <f>SUMIF(C:C,"=传媒",K:K)/SUMIFS(M:M,C:C,"=传媒",M:M,"&lt;0")*-1</f>
        <v>3.0972788411709704</v>
      </c>
      <c r="AA31" s="173"/>
      <c r="AB31" s="2"/>
    </row>
    <row r="32" spans="1:28">
      <c r="A32" s="3">
        <v>43213</v>
      </c>
      <c r="B32" s="2" t="s">
        <v>19</v>
      </c>
      <c r="C32" s="2" t="s">
        <v>90</v>
      </c>
      <c r="D32" s="3" t="s">
        <v>11</v>
      </c>
      <c r="E32" s="21">
        <v>0.76</v>
      </c>
      <c r="F32" s="21">
        <v>0.76</v>
      </c>
      <c r="G32" s="20">
        <v>13200</v>
      </c>
      <c r="H32" s="21">
        <f>F32*$U$21</f>
        <v>37.051713770294647</v>
      </c>
      <c r="I32" s="21">
        <f>F32*$W$21</f>
        <v>2.433553818400481</v>
      </c>
      <c r="J32" s="21">
        <f t="shared" si="0"/>
        <v>371777.26648827421</v>
      </c>
      <c r="K32" s="21">
        <f t="shared" si="1"/>
        <v>24418.303349368613</v>
      </c>
      <c r="L32" s="5" t="s">
        <v>24</v>
      </c>
      <c r="M32" s="1">
        <v>-10034.01</v>
      </c>
      <c r="N32" s="1"/>
      <c r="O32" s="4">
        <v>2.0100000000002183</v>
      </c>
      <c r="P32" s="4"/>
      <c r="Q32" s="25" t="s">
        <v>7288</v>
      </c>
      <c r="R32" s="36">
        <v>110022</v>
      </c>
      <c r="S32" s="149">
        <v>2.8860000000000001</v>
      </c>
      <c r="T32" s="86">
        <v>33.979999999999997</v>
      </c>
      <c r="U32" s="32">
        <f t="shared" si="3"/>
        <v>11.774081774081772</v>
      </c>
      <c r="V32" s="86">
        <v>6.34</v>
      </c>
      <c r="W32" s="32">
        <f t="shared" si="4"/>
        <v>2.1968121968121967</v>
      </c>
      <c r="X32" s="71">
        <v>0.20069999999999999</v>
      </c>
      <c r="Y32" s="42">
        <f>SUMIF(C:C,"=消费",J:J)/SUMIF(C:C,"=消费",M:M)*-1</f>
        <v>52.069887014290053</v>
      </c>
      <c r="Z32" s="42">
        <f>SUMIF(C:C,"=消费",K:K)/SUMIFS(M:M,C:C,"=消费",M:M,"&lt;0")*-1</f>
        <v>-5.3743974872661138</v>
      </c>
      <c r="AA32" s="57">
        <f>(SUMIF(C:C,"=消费",M:M)*-1)/$R$2</f>
        <v>-4.4255500000000003E-3</v>
      </c>
      <c r="AB32" s="2"/>
    </row>
    <row r="33" spans="1:28">
      <c r="A33" s="3">
        <v>43216</v>
      </c>
      <c r="B33" s="3" t="s">
        <v>6</v>
      </c>
      <c r="C33" s="3" t="s">
        <v>75</v>
      </c>
      <c r="D33" s="14" t="s">
        <v>12</v>
      </c>
      <c r="E33" s="22">
        <v>0.96879999999999999</v>
      </c>
      <c r="F33" s="22">
        <v>0.96879999999999999</v>
      </c>
      <c r="G33" s="23">
        <v>4205.5</v>
      </c>
      <c r="H33" s="21"/>
      <c r="I33" s="21"/>
      <c r="J33" s="21">
        <f t="shared" si="0"/>
        <v>0</v>
      </c>
      <c r="K33" s="21">
        <f t="shared" si="1"/>
        <v>0</v>
      </c>
      <c r="L33" s="7" t="s">
        <v>10</v>
      </c>
      <c r="M33" s="13">
        <v>4072.25</v>
      </c>
      <c r="N33" s="13"/>
      <c r="O33" s="4">
        <v>2.04</v>
      </c>
      <c r="P33" s="4"/>
      <c r="Q33" s="25" t="s">
        <v>119</v>
      </c>
      <c r="R33" s="36" t="s">
        <v>125</v>
      </c>
      <c r="S33" s="149">
        <v>1.0722</v>
      </c>
      <c r="T33" s="70">
        <v>8.48</v>
      </c>
      <c r="U33" s="32">
        <f t="shared" si="3"/>
        <v>7.9089722066778583</v>
      </c>
      <c r="V33" s="70">
        <v>1.1399999999999999</v>
      </c>
      <c r="W33" s="32">
        <f t="shared" si="4"/>
        <v>1.0632344711807498</v>
      </c>
      <c r="X33" s="71">
        <f>V33/T33</f>
        <v>0.13443396226415091</v>
      </c>
      <c r="Y33" s="42">
        <f>SUMIF(C:C,"=金融地产",J:J)/SUMIFS(M:M,C:C,"=金融地产",M:M,"&lt;0")*-1</f>
        <v>7.1818740284772744</v>
      </c>
      <c r="Z33" s="42">
        <f>SUMIF(C:C,"=金融地产",K:K)/SUMIFS(M:M,C:C,"=金融地产",M:M,"&lt;0")*-1</f>
        <v>0.96548778213019948</v>
      </c>
      <c r="AA33" s="33">
        <f>(SUMIF(C:C,"=海外互联网",M:M)*-1)/$R$2</f>
        <v>2.4E-2</v>
      </c>
      <c r="AB33" s="2"/>
    </row>
    <row r="34" spans="1:28">
      <c r="A34" s="3">
        <v>43216</v>
      </c>
      <c r="B34" s="3" t="s">
        <v>15</v>
      </c>
      <c r="C34" s="3" t="s">
        <v>91</v>
      </c>
      <c r="D34" s="3" t="s">
        <v>11</v>
      </c>
      <c r="E34" s="21">
        <v>0.68720000000000003</v>
      </c>
      <c r="F34" s="21">
        <v>0.68720000000000003</v>
      </c>
      <c r="G34" s="20">
        <v>5813.75</v>
      </c>
      <c r="H34" s="21">
        <f>F34*$U$29</f>
        <v>33.173440526219622</v>
      </c>
      <c r="I34" s="21">
        <f>F34*$W$29</f>
        <v>2.6995797551617029</v>
      </c>
      <c r="J34" s="21">
        <f t="shared" ref="J34:J65" si="5">H34*(-$M34)</f>
        <v>132693.76210487849</v>
      </c>
      <c r="K34" s="21">
        <f t="shared" ref="K34:K65" si="6">I34*(-$M34)</f>
        <v>10798.319020646812</v>
      </c>
      <c r="L34" s="6" t="s">
        <v>16</v>
      </c>
      <c r="M34" s="4">
        <v>-4000</v>
      </c>
      <c r="N34" s="4"/>
      <c r="O34" s="4">
        <v>4.79</v>
      </c>
      <c r="P34" s="4"/>
      <c r="Q34" s="25" t="s">
        <v>120</v>
      </c>
      <c r="R34" s="36" t="s">
        <v>126</v>
      </c>
      <c r="S34" s="149">
        <v>1.1339999999999999</v>
      </c>
      <c r="T34" s="75">
        <v>20.13</v>
      </c>
      <c r="U34" s="76">
        <f t="shared" si="3"/>
        <v>17.751322751322753</v>
      </c>
      <c r="V34" s="70">
        <v>1.62</v>
      </c>
      <c r="W34" s="32">
        <f t="shared" si="4"/>
        <v>1.4285714285714288</v>
      </c>
      <c r="X34" s="112">
        <f>V34/T34</f>
        <v>8.0476900149031305E-2</v>
      </c>
      <c r="Y34" s="42">
        <f>SUMIF(C:C,"=德国30",J:J)/SUMIFS(M:M,C:C,"=德国30",M:M,"&lt;0")*-1</f>
        <v>19.416176897504332</v>
      </c>
      <c r="Z34" s="42">
        <f>SUMIF(C:C,"=德国30",K:K)/SUMIFS(M:M,C:C,"=德国30",M:M,"&lt;0")*-1</f>
        <v>1.5625537294563845</v>
      </c>
      <c r="AA34" s="33">
        <f>(SUMIF(C:C,"=德国30",M:M)*-1)/$R$2</f>
        <v>2.8250000000000001E-2</v>
      </c>
      <c r="AB34" s="2"/>
    </row>
    <row r="35" spans="1:28">
      <c r="A35" s="3">
        <v>43216</v>
      </c>
      <c r="B35" s="2" t="s">
        <v>20</v>
      </c>
      <c r="C35" s="2" t="s">
        <v>91</v>
      </c>
      <c r="D35" s="3" t="s">
        <v>11</v>
      </c>
      <c r="E35" s="21">
        <v>0.89900000000000002</v>
      </c>
      <c r="F35" s="21">
        <v>0.89900000000000002</v>
      </c>
      <c r="G35" s="20">
        <v>4500</v>
      </c>
      <c r="H35" s="21">
        <f>F35*$U$28</f>
        <v>32.603404255319155</v>
      </c>
      <c r="I35" s="21">
        <f>F35*$W$28</f>
        <v>2.6531914893617019</v>
      </c>
      <c r="J35" s="21">
        <f t="shared" si="5"/>
        <v>131923.48067234046</v>
      </c>
      <c r="K35" s="21">
        <f t="shared" si="6"/>
        <v>10735.635255319148</v>
      </c>
      <c r="L35" s="5" t="s">
        <v>24</v>
      </c>
      <c r="M35" s="1">
        <v>-4046.31</v>
      </c>
      <c r="N35" s="1"/>
      <c r="O35" s="4">
        <v>0.80999999999994543</v>
      </c>
      <c r="P35" s="4"/>
      <c r="Q35" s="25" t="s">
        <v>121</v>
      </c>
      <c r="R35" s="36" t="s">
        <v>66</v>
      </c>
      <c r="S35" s="149">
        <v>1.4693000000000001</v>
      </c>
      <c r="T35" s="70">
        <v>9.31</v>
      </c>
      <c r="U35" s="32">
        <f t="shared" si="3"/>
        <v>6.3363506431634109</v>
      </c>
      <c r="V35" s="70">
        <v>1.02</v>
      </c>
      <c r="W35" s="32">
        <f t="shared" si="4"/>
        <v>0.69420812631865514</v>
      </c>
      <c r="X35" s="112">
        <f>V35/T35</f>
        <v>0.10955961331901182</v>
      </c>
      <c r="Y35" s="42">
        <f>SUMIF(C:C,"=恒生",J:J)/SUMIFS(M:M,C:C,"=恒生",M:M,"&lt;0")*-1</f>
        <v>9.1889757027155774</v>
      </c>
      <c r="Z35" s="42">
        <f>SUMIF(C:C,"=恒生",K:K)/SUMIFS(M:M,C:C,"=恒生",M:M,"&lt;0")*-1</f>
        <v>1.0067406247873136</v>
      </c>
      <c r="AA35" s="33">
        <f>(SUMIF(C:C,"=恒生",M:M)*-1)/$R$2</f>
        <v>8.0000000000000002E-3</v>
      </c>
    </row>
    <row r="36" spans="1:28">
      <c r="A36" s="3">
        <v>43234</v>
      </c>
      <c r="B36" s="3" t="s">
        <v>7</v>
      </c>
      <c r="C36" s="3" t="s">
        <v>92</v>
      </c>
      <c r="D36" s="3" t="s">
        <v>11</v>
      </c>
      <c r="E36" s="21">
        <v>1.173</v>
      </c>
      <c r="F36" s="21">
        <v>1.337</v>
      </c>
      <c r="G36" s="20">
        <v>21806.94</v>
      </c>
      <c r="H36" s="21"/>
      <c r="I36" s="21"/>
      <c r="J36" s="21">
        <f t="shared" si="5"/>
        <v>0</v>
      </c>
      <c r="K36" s="21">
        <f t="shared" si="6"/>
        <v>0</v>
      </c>
      <c r="L36" s="7" t="s">
        <v>10</v>
      </c>
      <c r="M36" s="4">
        <v>-25600</v>
      </c>
      <c r="N36" s="4"/>
      <c r="O36" s="4">
        <f>10.23*2</f>
        <v>20.46</v>
      </c>
      <c r="P36" s="4"/>
      <c r="Q36" s="25" t="s">
        <v>7297</v>
      </c>
      <c r="R36" s="36" t="s">
        <v>7299</v>
      </c>
      <c r="S36" s="149">
        <v>1.1619999999999999</v>
      </c>
      <c r="T36" s="31"/>
      <c r="U36" s="32"/>
      <c r="V36" s="31"/>
      <c r="W36" s="32"/>
      <c r="X36" s="32"/>
      <c r="Y36" s="64"/>
      <c r="Z36" s="64"/>
      <c r="AA36" s="63">
        <f>(SUMIF(C:C,"=海外互联网",M:M)*-1)/$R$2</f>
        <v>2.4E-2</v>
      </c>
    </row>
    <row r="37" spans="1:28">
      <c r="A37" s="3">
        <v>43235</v>
      </c>
      <c r="B37" s="72" t="s">
        <v>23</v>
      </c>
      <c r="C37" s="72" t="s">
        <v>93</v>
      </c>
      <c r="D37" s="3" t="s">
        <v>11</v>
      </c>
      <c r="E37" s="21">
        <v>0.94599999999999995</v>
      </c>
      <c r="F37" s="21">
        <v>0.94599999999999995</v>
      </c>
      <c r="G37" s="20">
        <v>6800</v>
      </c>
      <c r="H37" s="21">
        <f>F37*$U$30</f>
        <v>41.954797441364605</v>
      </c>
      <c r="I37" s="21">
        <f>F37*$W$30</f>
        <v>3.378571428571429</v>
      </c>
      <c r="J37" s="21">
        <f t="shared" si="5"/>
        <v>269940.94266950962</v>
      </c>
      <c r="K37" s="21">
        <f t="shared" si="6"/>
        <v>21738.032642857146</v>
      </c>
      <c r="L37" s="5" t="s">
        <v>24</v>
      </c>
      <c r="M37" s="1">
        <v>-6434.09</v>
      </c>
      <c r="N37" s="1"/>
      <c r="O37" s="4">
        <v>1.2899999999999636</v>
      </c>
      <c r="P37" s="4"/>
      <c r="Q37" s="25" t="s">
        <v>122</v>
      </c>
      <c r="R37" s="36" t="s">
        <v>127</v>
      </c>
      <c r="S37" s="149">
        <v>1.0754999999999999</v>
      </c>
      <c r="T37" s="72"/>
      <c r="U37" s="72"/>
      <c r="V37" s="72"/>
      <c r="W37" s="72"/>
      <c r="X37" s="72"/>
      <c r="Y37" s="2"/>
      <c r="Z37" s="41"/>
      <c r="AA37" s="63">
        <f>(SUMIF(C:C,"=国债",M:M)*-1)/$R$2</f>
        <v>-1.1850999999999999E-3</v>
      </c>
    </row>
    <row r="38" spans="1:28">
      <c r="A38" s="3">
        <v>43235</v>
      </c>
      <c r="B38" s="72" t="s">
        <v>20</v>
      </c>
      <c r="C38" s="72" t="s">
        <v>91</v>
      </c>
      <c r="D38" s="3" t="s">
        <v>11</v>
      </c>
      <c r="E38" s="21">
        <v>0.91800000000000004</v>
      </c>
      <c r="F38" s="21">
        <v>0.91800000000000004</v>
      </c>
      <c r="G38" s="20">
        <v>20900</v>
      </c>
      <c r="H38" s="21">
        <f>F38*$U$28</f>
        <v>33.292463967055596</v>
      </c>
      <c r="I38" s="21">
        <f>F38*$W$28</f>
        <v>2.7092656142759091</v>
      </c>
      <c r="J38" s="21">
        <f t="shared" si="5"/>
        <v>638883.71522635559</v>
      </c>
      <c r="K38" s="21">
        <f t="shared" si="6"/>
        <v>51990.915508579266</v>
      </c>
      <c r="L38" s="5" t="s">
        <v>24</v>
      </c>
      <c r="M38" s="1">
        <v>-19190.04</v>
      </c>
      <c r="N38" s="1"/>
      <c r="O38" s="4">
        <v>3.8400000000001455</v>
      </c>
      <c r="P38" s="4"/>
      <c r="Q38" s="25" t="s">
        <v>123</v>
      </c>
      <c r="R38" s="36" t="s">
        <v>7308</v>
      </c>
      <c r="S38" s="149">
        <v>1.538</v>
      </c>
      <c r="T38" s="72"/>
      <c r="U38" s="72"/>
      <c r="V38" s="72"/>
      <c r="W38" s="72"/>
      <c r="X38" s="72"/>
      <c r="Y38" s="2"/>
      <c r="Z38" s="41"/>
      <c r="AA38" s="33">
        <f>(SUMIF(C:C,"=海外债",M:M)*-1)/$R$2</f>
        <v>6.4313999999999994E-3</v>
      </c>
    </row>
    <row r="39" spans="1:28">
      <c r="A39" s="3">
        <v>43235</v>
      </c>
      <c r="B39" s="72" t="s">
        <v>21</v>
      </c>
      <c r="C39" s="72" t="s">
        <v>94</v>
      </c>
      <c r="D39" s="3" t="s">
        <v>11</v>
      </c>
      <c r="E39" s="21">
        <v>2.6840000000000002</v>
      </c>
      <c r="F39" s="21">
        <v>2.6840000000000002</v>
      </c>
      <c r="G39" s="20">
        <v>2400</v>
      </c>
      <c r="H39" s="21"/>
      <c r="I39" s="21"/>
      <c r="J39" s="21">
        <f t="shared" si="5"/>
        <v>0</v>
      </c>
      <c r="K39" s="21">
        <f t="shared" si="6"/>
        <v>0</v>
      </c>
      <c r="L39" s="5" t="s">
        <v>24</v>
      </c>
      <c r="M39" s="1">
        <v>-6442.89</v>
      </c>
      <c r="N39" s="1"/>
      <c r="O39" s="4">
        <v>1.2899999999999636</v>
      </c>
      <c r="P39" s="4"/>
      <c r="Q39" s="25" t="s">
        <v>7310</v>
      </c>
      <c r="R39" s="36">
        <v>340001</v>
      </c>
      <c r="S39" s="149">
        <v>3.7810999999999999</v>
      </c>
      <c r="T39" s="72"/>
      <c r="U39" s="72"/>
      <c r="V39" s="72"/>
      <c r="W39" s="72"/>
      <c r="X39" s="72"/>
      <c r="Y39" s="2"/>
      <c r="Z39" s="41"/>
      <c r="AA39" s="173">
        <f>(SUMIF(C:C,"=可转债",M:M)*-1)/$R$2</f>
        <v>8.7999999999999995E-2</v>
      </c>
    </row>
    <row r="40" spans="1:28">
      <c r="A40" s="3">
        <v>43235</v>
      </c>
      <c r="B40" s="72" t="s">
        <v>22</v>
      </c>
      <c r="C40" s="72" t="s">
        <v>95</v>
      </c>
      <c r="D40" s="3" t="s">
        <v>11</v>
      </c>
      <c r="E40" s="21">
        <v>0.88900000000000001</v>
      </c>
      <c r="F40" s="21">
        <v>0.88900000000000001</v>
      </c>
      <c r="G40" s="20">
        <v>14400</v>
      </c>
      <c r="H40" s="21">
        <f>F40*$U$27</f>
        <v>28.047297297297298</v>
      </c>
      <c r="I40" s="21">
        <f>F40*$W$27</f>
        <v>1.5513513513513513</v>
      </c>
      <c r="J40" s="21">
        <f t="shared" si="5"/>
        <v>359122.08216216217</v>
      </c>
      <c r="K40" s="21">
        <f t="shared" si="6"/>
        <v>19863.750918918919</v>
      </c>
      <c r="L40" s="5" t="s">
        <v>24</v>
      </c>
      <c r="M40" s="1">
        <v>-12804.16</v>
      </c>
      <c r="N40" s="1"/>
      <c r="O40" s="4">
        <v>2.5599999999994907</v>
      </c>
      <c r="P40" s="4"/>
      <c r="Q40" s="25" t="s">
        <v>7309</v>
      </c>
      <c r="R40" s="36" t="s">
        <v>7311</v>
      </c>
      <c r="S40" s="149">
        <v>2.2978999999999998</v>
      </c>
      <c r="T40" s="72"/>
      <c r="U40" s="72"/>
      <c r="V40" s="72"/>
      <c r="W40" s="72"/>
      <c r="X40" s="72"/>
      <c r="Y40" s="68"/>
      <c r="Z40" s="68"/>
      <c r="AA40" s="174"/>
    </row>
    <row r="41" spans="1:28">
      <c r="A41" s="3">
        <v>43245</v>
      </c>
      <c r="B41" s="72" t="s">
        <v>23</v>
      </c>
      <c r="C41" s="72" t="s">
        <v>93</v>
      </c>
      <c r="D41" s="3" t="s">
        <v>11</v>
      </c>
      <c r="E41" s="21">
        <v>0.94599999999999995</v>
      </c>
      <c r="F41" s="21">
        <v>0.94599999999999995</v>
      </c>
      <c r="G41" s="20">
        <v>6800</v>
      </c>
      <c r="H41" s="21">
        <f>F41*$U$30</f>
        <v>41.954797441364605</v>
      </c>
      <c r="I41" s="21">
        <f>F41*$W$30</f>
        <v>3.378571428571429</v>
      </c>
      <c r="J41" s="21">
        <f t="shared" si="5"/>
        <v>269940.94266950962</v>
      </c>
      <c r="K41" s="21">
        <f t="shared" si="6"/>
        <v>21738.032642857146</v>
      </c>
      <c r="L41" s="5" t="s">
        <v>24</v>
      </c>
      <c r="M41" s="1">
        <v>-6434.09</v>
      </c>
      <c r="N41" s="1"/>
      <c r="O41" s="4">
        <v>1.29</v>
      </c>
      <c r="P41" s="4"/>
      <c r="Q41" s="25" t="s">
        <v>7306</v>
      </c>
      <c r="R41" s="36" t="s">
        <v>7307</v>
      </c>
      <c r="S41" s="149">
        <v>2.581</v>
      </c>
      <c r="T41" s="72"/>
      <c r="U41" s="72"/>
      <c r="V41" s="72"/>
      <c r="W41" s="72"/>
      <c r="X41" s="72"/>
      <c r="Y41" s="68"/>
      <c r="Z41" s="68"/>
      <c r="AA41" s="174"/>
    </row>
    <row r="42" spans="1:28">
      <c r="A42" s="3">
        <v>43250</v>
      </c>
      <c r="B42" s="72" t="s">
        <v>18</v>
      </c>
      <c r="C42" s="72" t="s">
        <v>85</v>
      </c>
      <c r="D42" s="3" t="s">
        <v>11</v>
      </c>
      <c r="E42" s="21">
        <v>6.0039999999999996</v>
      </c>
      <c r="F42" s="21">
        <v>6.0039999999999996</v>
      </c>
      <c r="G42" s="20">
        <v>1100</v>
      </c>
      <c r="H42" s="21">
        <f>F42*$U$19</f>
        <v>25.857988165680474</v>
      </c>
      <c r="I42" s="21">
        <f>F42*$W$19</f>
        <v>2.0349112426035503</v>
      </c>
      <c r="J42" s="21">
        <f t="shared" si="5"/>
        <v>170810.62958579883</v>
      </c>
      <c r="K42" s="21">
        <f t="shared" si="6"/>
        <v>13442.053893491124</v>
      </c>
      <c r="L42" s="5" t="s">
        <v>24</v>
      </c>
      <c r="M42" s="1">
        <v>-6605.72</v>
      </c>
      <c r="N42" s="1"/>
      <c r="O42" s="4">
        <v>1.32</v>
      </c>
      <c r="P42" s="4"/>
      <c r="Q42" s="25" t="s">
        <v>7304</v>
      </c>
      <c r="R42" s="36" t="s">
        <v>7305</v>
      </c>
      <c r="S42" s="150">
        <v>0.40300000000000002</v>
      </c>
      <c r="T42" s="74"/>
      <c r="U42" s="74"/>
      <c r="V42" s="72"/>
      <c r="W42" s="72"/>
      <c r="X42" s="72"/>
      <c r="Y42" s="66"/>
      <c r="Z42" s="66"/>
      <c r="AA42" s="65">
        <f>(SUMIF(C:C,"=原油",M:M)*-1)/$R$2</f>
        <v>2.4E-2</v>
      </c>
    </row>
    <row r="43" spans="1:28">
      <c r="A43" s="3">
        <v>43251</v>
      </c>
      <c r="B43" s="72" t="s">
        <v>31</v>
      </c>
      <c r="C43" s="72" t="s">
        <v>96</v>
      </c>
      <c r="D43" s="3" t="s">
        <v>11</v>
      </c>
      <c r="E43" s="21">
        <v>1.0365</v>
      </c>
      <c r="F43" s="21">
        <v>3.6615000000000002</v>
      </c>
      <c r="G43" s="20">
        <v>6168.46</v>
      </c>
      <c r="H43" s="21"/>
      <c r="I43" s="21"/>
      <c r="J43" s="21">
        <f t="shared" si="5"/>
        <v>0</v>
      </c>
      <c r="K43" s="21">
        <f t="shared" si="6"/>
        <v>0</v>
      </c>
      <c r="L43" s="7" t="s">
        <v>10</v>
      </c>
      <c r="M43" s="1">
        <v>-6400</v>
      </c>
      <c r="N43" s="1"/>
      <c r="O43" s="4">
        <v>6.39</v>
      </c>
      <c r="P43" s="4"/>
      <c r="Q43" s="25" t="s">
        <v>21</v>
      </c>
      <c r="R43" s="36">
        <v>518880</v>
      </c>
      <c r="S43" s="149">
        <v>1.286</v>
      </c>
      <c r="T43" s="72"/>
      <c r="U43" s="72"/>
      <c r="V43" s="72"/>
      <c r="W43" s="72"/>
      <c r="X43" s="72"/>
      <c r="Y43" s="2"/>
      <c r="Z43" s="41"/>
      <c r="AA43" s="33">
        <f>(SUMIF(C:C,"=黄金",M:M)*-1)/$R$2</f>
        <v>1.6065112499999999E-2</v>
      </c>
    </row>
    <row r="44" spans="1:28">
      <c r="A44" s="3">
        <v>43265</v>
      </c>
      <c r="B44" s="72" t="s">
        <v>18</v>
      </c>
      <c r="C44" s="72" t="s">
        <v>85</v>
      </c>
      <c r="D44" s="3" t="s">
        <v>11</v>
      </c>
      <c r="E44" s="21">
        <v>5.9080000000000004</v>
      </c>
      <c r="F44" s="21">
        <v>5.9080000000000004</v>
      </c>
      <c r="G44" s="20">
        <v>1100</v>
      </c>
      <c r="H44" s="21">
        <f>F44*$U$19</f>
        <v>25.444535989813502</v>
      </c>
      <c r="I44" s="21">
        <f>F44*$W$19</f>
        <v>2.0023743539809753</v>
      </c>
      <c r="J44" s="21">
        <f t="shared" si="5"/>
        <v>165392.02838738676</v>
      </c>
      <c r="K44" s="21">
        <f t="shared" si="6"/>
        <v>13015.633538311738</v>
      </c>
      <c r="L44" s="5" t="s">
        <v>24</v>
      </c>
      <c r="M44" s="1">
        <v>-6500.1</v>
      </c>
      <c r="N44" s="1"/>
      <c r="O44" s="4">
        <v>1.3</v>
      </c>
      <c r="P44" s="4"/>
      <c r="Q44" s="25" t="s">
        <v>57</v>
      </c>
      <c r="R44" s="36"/>
      <c r="S44" s="113">
        <v>2.5510000000000002</v>
      </c>
      <c r="T44" s="72"/>
      <c r="U44" s="72"/>
      <c r="V44" s="72"/>
      <c r="W44" s="72"/>
      <c r="X44" s="72"/>
      <c r="Y44" s="2"/>
      <c r="Z44" s="41"/>
      <c r="AA44" s="33">
        <f>(SUMIF(C:C,"=白银",M:M)*-1)/$R$2</f>
        <v>-1.5640912500000013E-3</v>
      </c>
    </row>
    <row r="45" spans="1:28">
      <c r="A45" s="3">
        <v>43265</v>
      </c>
      <c r="B45" s="17" t="s">
        <v>32</v>
      </c>
      <c r="C45" s="17" t="s">
        <v>97</v>
      </c>
      <c r="D45" s="3" t="s">
        <v>11</v>
      </c>
      <c r="E45" s="21">
        <v>0.94399999999999995</v>
      </c>
      <c r="F45" s="21">
        <v>0.94399999999999995</v>
      </c>
      <c r="G45" s="20">
        <v>6771.54</v>
      </c>
      <c r="H45" s="21">
        <f>F45*$U$33</f>
        <v>7.4660697631038975</v>
      </c>
      <c r="I45" s="21">
        <f>F45*$W$33</f>
        <v>1.0036933407946278</v>
      </c>
      <c r="J45" s="21">
        <f t="shared" si="5"/>
        <v>47782.846483864945</v>
      </c>
      <c r="K45" s="21">
        <f t="shared" si="6"/>
        <v>6423.6373810856176</v>
      </c>
      <c r="L45" s="7" t="s">
        <v>10</v>
      </c>
      <c r="M45" s="1">
        <v>-6400</v>
      </c>
      <c r="N45" s="1"/>
      <c r="O45" s="4">
        <v>7.67</v>
      </c>
      <c r="P45" s="4"/>
      <c r="Q45" s="25" t="s">
        <v>58</v>
      </c>
      <c r="R45" s="36"/>
      <c r="S45" s="72">
        <v>0.40200000000000002</v>
      </c>
      <c r="T45" s="2"/>
      <c r="U45" s="72"/>
      <c r="V45" s="72"/>
      <c r="W45" s="72"/>
      <c r="X45" s="72"/>
      <c r="Y45" s="2"/>
      <c r="Z45" s="41"/>
      <c r="AA45" s="33">
        <f>1-SUM(AA15:AA44)</f>
        <v>4.8526528750000075E-2</v>
      </c>
    </row>
    <row r="46" spans="1:28">
      <c r="A46" s="3">
        <v>43266</v>
      </c>
      <c r="B46" s="2" t="s">
        <v>18</v>
      </c>
      <c r="C46" s="2" t="s">
        <v>82</v>
      </c>
      <c r="D46" s="3" t="s">
        <v>11</v>
      </c>
      <c r="E46" s="21">
        <v>5.8010000000000002</v>
      </c>
      <c r="F46" s="21">
        <v>5.8010000000000002</v>
      </c>
      <c r="G46" s="20">
        <v>3300</v>
      </c>
      <c r="H46" s="21">
        <f>F46*$U$19</f>
        <v>24.983709085461765</v>
      </c>
      <c r="I46" s="21">
        <f>F46*$W$19</f>
        <v>1.9661092802037301</v>
      </c>
      <c r="J46" s="21">
        <f t="shared" si="5"/>
        <v>478366.32574151753</v>
      </c>
      <c r="K46" s="21">
        <f t="shared" si="6"/>
        <v>37645.349982267246</v>
      </c>
      <c r="L46" s="5" t="s">
        <v>24</v>
      </c>
      <c r="M46" s="1">
        <v>-19147.13</v>
      </c>
      <c r="N46" s="1"/>
      <c r="O46" s="4">
        <v>3.83</v>
      </c>
      <c r="P46" s="4"/>
      <c r="Q46" s="25"/>
      <c r="R46" s="36"/>
      <c r="S46" s="72">
        <v>1.2831999999999999</v>
      </c>
      <c r="T46" s="66"/>
      <c r="U46" s="72"/>
      <c r="V46" s="72"/>
      <c r="W46" s="72"/>
      <c r="X46" s="72"/>
      <c r="Y46" s="66"/>
      <c r="Z46" s="66"/>
      <c r="AA46" s="65"/>
    </row>
    <row r="47" spans="1:28">
      <c r="A47" s="3">
        <v>43270</v>
      </c>
      <c r="B47" s="72" t="s">
        <v>36</v>
      </c>
      <c r="C47" s="72" t="s">
        <v>98</v>
      </c>
      <c r="D47" s="3" t="s">
        <v>11</v>
      </c>
      <c r="E47" s="21">
        <v>3.6429999999999998</v>
      </c>
      <c r="F47" s="21">
        <v>3.6429999999999998</v>
      </c>
      <c r="G47" s="20">
        <v>1800</v>
      </c>
      <c r="H47" s="21">
        <f>F47*$U$17</f>
        <v>12.06571215011083</v>
      </c>
      <c r="I47" s="21">
        <f>F47*$W$17</f>
        <v>1.3615005928140624</v>
      </c>
      <c r="J47" s="21">
        <f t="shared" si="5"/>
        <v>79135.506936053396</v>
      </c>
      <c r="K47" s="21">
        <f t="shared" si="6"/>
        <v>8929.6875530955203</v>
      </c>
      <c r="L47" s="5" t="s">
        <v>24</v>
      </c>
      <c r="M47" s="1">
        <v>-6558.71</v>
      </c>
      <c r="N47" s="1"/>
      <c r="O47" s="4">
        <v>1.31</v>
      </c>
      <c r="P47" s="4"/>
      <c r="Q47" s="25"/>
      <c r="R47" s="36"/>
      <c r="S47" s="36"/>
      <c r="T47" s="72"/>
      <c r="U47" s="72"/>
      <c r="V47" s="72"/>
      <c r="W47" s="72"/>
      <c r="X47" s="72"/>
      <c r="Y47" s="66"/>
      <c r="Z47" s="66"/>
      <c r="AA47" s="65"/>
    </row>
    <row r="48" spans="1:28">
      <c r="A48" s="3">
        <v>43270</v>
      </c>
      <c r="B48" s="72" t="s">
        <v>18</v>
      </c>
      <c r="C48" s="72" t="s">
        <v>85</v>
      </c>
      <c r="D48" s="3" t="s">
        <v>11</v>
      </c>
      <c r="E48" s="21">
        <v>5.5250000000000004</v>
      </c>
      <c r="F48" s="21">
        <v>5.5250000000000004</v>
      </c>
      <c r="G48" s="20">
        <v>2300</v>
      </c>
      <c r="H48" s="21">
        <f>F48*$U$19</f>
        <v>23.795034079844211</v>
      </c>
      <c r="I48" s="21">
        <f>F48*$W$19</f>
        <v>1.8725657254138268</v>
      </c>
      <c r="J48" s="21">
        <f t="shared" si="5"/>
        <v>302435.83495618316</v>
      </c>
      <c r="K48" s="21">
        <f t="shared" si="6"/>
        <v>23800.385272638756</v>
      </c>
      <c r="L48" s="5" t="s">
        <v>24</v>
      </c>
      <c r="M48" s="1">
        <v>-12710.04</v>
      </c>
      <c r="N48" s="1"/>
      <c r="O48" s="4">
        <v>2.54</v>
      </c>
      <c r="P48" s="4"/>
      <c r="Q48" s="72"/>
      <c r="R48" s="72"/>
      <c r="S48" s="148"/>
      <c r="T48" s="72"/>
      <c r="U48" s="72"/>
      <c r="V48" s="72"/>
      <c r="W48" s="72"/>
      <c r="X48" s="72"/>
    </row>
    <row r="49" spans="1:24">
      <c r="A49" s="3">
        <v>43270</v>
      </c>
      <c r="B49" s="72" t="s">
        <v>18</v>
      </c>
      <c r="C49" s="72" t="s">
        <v>105</v>
      </c>
      <c r="D49" s="3" t="s">
        <v>11</v>
      </c>
      <c r="E49" s="21">
        <v>5.4130000000000003</v>
      </c>
      <c r="F49" s="21">
        <v>5.4130000000000003</v>
      </c>
      <c r="G49" s="20">
        <v>1200</v>
      </c>
      <c r="H49" s="21">
        <f>F49*$U$19</f>
        <v>23.312673207999403</v>
      </c>
      <c r="I49" s="21">
        <f>F49*$W$19</f>
        <v>1.8346060220208227</v>
      </c>
      <c r="J49" s="21">
        <f t="shared" si="5"/>
        <v>151460.1065650513</v>
      </c>
      <c r="K49" s="21">
        <f t="shared" si="6"/>
        <v>11919.251864467082</v>
      </c>
      <c r="L49" s="5" t="s">
        <v>24</v>
      </c>
      <c r="M49" s="1">
        <v>-6496.9</v>
      </c>
      <c r="N49" s="1"/>
      <c r="O49" s="4">
        <v>1.3</v>
      </c>
      <c r="P49" s="4"/>
      <c r="Q49" s="72"/>
      <c r="R49" s="72"/>
      <c r="S49" s="148"/>
      <c r="T49" s="72"/>
      <c r="U49" s="72"/>
      <c r="V49" s="72"/>
      <c r="W49" s="72"/>
      <c r="X49" s="72"/>
    </row>
    <row r="50" spans="1:24">
      <c r="A50" s="3">
        <v>43270</v>
      </c>
      <c r="B50" s="72" t="s">
        <v>31</v>
      </c>
      <c r="C50" s="72" t="s">
        <v>96</v>
      </c>
      <c r="D50" s="3" t="s">
        <v>11</v>
      </c>
      <c r="E50" s="21">
        <v>1.004</v>
      </c>
      <c r="F50" s="21">
        <v>3.629</v>
      </c>
      <c r="G50" s="20">
        <v>6368.13</v>
      </c>
      <c r="H50" s="21"/>
      <c r="I50" s="21"/>
      <c r="J50" s="21">
        <f t="shared" si="5"/>
        <v>0</v>
      </c>
      <c r="K50" s="21">
        <f t="shared" si="6"/>
        <v>0</v>
      </c>
      <c r="L50" s="7" t="s">
        <v>10</v>
      </c>
      <c r="M50" s="1">
        <v>-6400</v>
      </c>
      <c r="N50" s="1"/>
      <c r="O50" s="4">
        <v>6.39</v>
      </c>
      <c r="P50" s="4"/>
      <c r="Q50" s="72"/>
      <c r="R50" s="72"/>
      <c r="S50" s="148"/>
      <c r="T50" s="72"/>
      <c r="U50" s="72"/>
      <c r="V50" s="72"/>
      <c r="W50" s="72"/>
      <c r="X50" s="72"/>
    </row>
    <row r="51" spans="1:24">
      <c r="A51" s="3">
        <v>43270</v>
      </c>
      <c r="B51" s="72" t="s">
        <v>22</v>
      </c>
      <c r="C51" s="72" t="s">
        <v>100</v>
      </c>
      <c r="D51" s="3" t="s">
        <v>11</v>
      </c>
      <c r="E51" s="21">
        <v>0.76900000000000002</v>
      </c>
      <c r="F51" s="21">
        <v>0.76900000000000002</v>
      </c>
      <c r="G51" s="20">
        <v>8300</v>
      </c>
      <c r="H51" s="21">
        <f>F51*$U$27</f>
        <v>24.26138540114918</v>
      </c>
      <c r="I51" s="21">
        <f>F51*$W$27</f>
        <v>1.3419450947010001</v>
      </c>
      <c r="J51" s="21">
        <f t="shared" si="5"/>
        <v>154884.19917322832</v>
      </c>
      <c r="K51" s="21">
        <f t="shared" si="6"/>
        <v>8566.9506456692907</v>
      </c>
      <c r="L51" s="5" t="s">
        <v>24</v>
      </c>
      <c r="M51" s="1">
        <v>-6383.98</v>
      </c>
      <c r="N51" s="1"/>
      <c r="O51" s="4">
        <v>1.28</v>
      </c>
      <c r="P51" s="4"/>
      <c r="Q51" s="3"/>
      <c r="R51" s="72"/>
      <c r="S51" s="148"/>
      <c r="T51" s="72"/>
      <c r="U51" s="72"/>
      <c r="V51" s="34"/>
      <c r="W51" s="34"/>
      <c r="X51" s="72"/>
    </row>
    <row r="52" spans="1:24">
      <c r="A52" s="3">
        <v>43271</v>
      </c>
      <c r="B52" s="72" t="s">
        <v>37</v>
      </c>
      <c r="C52" s="72" t="s">
        <v>37</v>
      </c>
      <c r="D52" s="3" t="s">
        <v>11</v>
      </c>
      <c r="E52" s="21">
        <v>1.468</v>
      </c>
      <c r="F52" s="21">
        <v>1.468</v>
      </c>
      <c r="G52" s="20">
        <v>4400</v>
      </c>
      <c r="H52" s="21">
        <f>F52*$U$22</f>
        <v>51.996936626459885</v>
      </c>
      <c r="I52" s="21">
        <f>F52*$W$22</f>
        <v>4.3939753653711149</v>
      </c>
      <c r="J52" s="21">
        <f t="shared" si="5"/>
        <v>335925.68910587783</v>
      </c>
      <c r="K52" s="21">
        <f t="shared" si="6"/>
        <v>28387.233908226433</v>
      </c>
      <c r="L52" s="5" t="s">
        <v>24</v>
      </c>
      <c r="M52" s="1">
        <v>-6460.49</v>
      </c>
      <c r="N52" s="1"/>
      <c r="O52" s="4">
        <v>1.29</v>
      </c>
      <c r="P52" s="4"/>
      <c r="Q52" s="3"/>
      <c r="R52" s="35"/>
      <c r="S52" s="35"/>
      <c r="T52" s="35"/>
      <c r="U52" s="35"/>
      <c r="V52" s="72"/>
      <c r="W52" s="72"/>
      <c r="X52" s="72"/>
    </row>
    <row r="53" spans="1:24">
      <c r="A53" s="3">
        <v>43279</v>
      </c>
      <c r="B53" s="72" t="s">
        <v>36</v>
      </c>
      <c r="C53" s="72" t="s">
        <v>99</v>
      </c>
      <c r="D53" s="3" t="s">
        <v>11</v>
      </c>
      <c r="E53" s="21">
        <v>3.448</v>
      </c>
      <c r="F53" s="21">
        <v>3.448</v>
      </c>
      <c r="G53" s="20">
        <v>1800</v>
      </c>
      <c r="H53" s="21">
        <f>F53*$U$17</f>
        <v>11.419867003453785</v>
      </c>
      <c r="I53" s="21">
        <f>F53*$W$17</f>
        <v>1.2886231249033455</v>
      </c>
      <c r="J53" s="21">
        <f t="shared" si="5"/>
        <v>70890.42320531985</v>
      </c>
      <c r="K53" s="21">
        <f t="shared" si="6"/>
        <v>7999.3084550750045</v>
      </c>
      <c r="L53" s="5" t="s">
        <v>24</v>
      </c>
      <c r="M53" s="1">
        <v>-6207.64</v>
      </c>
      <c r="N53" s="1"/>
      <c r="O53" s="4">
        <v>1.24</v>
      </c>
      <c r="P53" s="4"/>
      <c r="Q53" s="3"/>
      <c r="R53" s="35"/>
      <c r="S53" s="35"/>
      <c r="T53" s="35"/>
      <c r="U53" s="35"/>
      <c r="V53" s="72"/>
      <c r="W53" s="72"/>
      <c r="X53" s="72"/>
    </row>
    <row r="54" spans="1:24">
      <c r="A54" s="3">
        <v>43279</v>
      </c>
      <c r="B54" s="2" t="s">
        <v>20</v>
      </c>
      <c r="C54" s="2" t="s">
        <v>91</v>
      </c>
      <c r="D54" s="3" t="s">
        <v>11</v>
      </c>
      <c r="E54" s="21">
        <v>0.76400000000000001</v>
      </c>
      <c r="F54" s="21">
        <v>0.76400000000000001</v>
      </c>
      <c r="G54" s="20">
        <v>8400</v>
      </c>
      <c r="H54" s="21">
        <f>F54*$U$28</f>
        <v>27.707453671928622</v>
      </c>
      <c r="I54" s="21">
        <f>F54*$W$28</f>
        <v>2.2547700754975977</v>
      </c>
      <c r="J54" s="21">
        <f t="shared" si="5"/>
        <v>177850.82022566919</v>
      </c>
      <c r="K54" s="21">
        <f t="shared" si="6"/>
        <v>14473.09854221002</v>
      </c>
      <c r="L54" s="5" t="s">
        <v>24</v>
      </c>
      <c r="M54" s="1">
        <v>-6418.88</v>
      </c>
      <c r="N54" s="1"/>
      <c r="O54" s="4">
        <v>1.28</v>
      </c>
      <c r="P54" s="4"/>
      <c r="Q54" s="3"/>
      <c r="R54" s="35"/>
      <c r="S54" s="35"/>
      <c r="T54" s="35"/>
      <c r="U54" s="35"/>
      <c r="V54" s="72"/>
      <c r="W54" s="72"/>
      <c r="X54" s="72"/>
    </row>
    <row r="55" spans="1:24">
      <c r="A55" s="3">
        <v>43283</v>
      </c>
      <c r="B55" s="17" t="s">
        <v>32</v>
      </c>
      <c r="C55" s="17" t="s">
        <v>97</v>
      </c>
      <c r="D55" s="3" t="s">
        <v>11</v>
      </c>
      <c r="E55" s="21">
        <v>0.85</v>
      </c>
      <c r="F55" s="21">
        <v>0.85</v>
      </c>
      <c r="G55" s="20">
        <v>7520.39</v>
      </c>
      <c r="H55" s="21">
        <f>F55*$U$33</f>
        <v>6.722626375676179</v>
      </c>
      <c r="I55" s="21">
        <f>F55*$W$33</f>
        <v>0.90374930050363722</v>
      </c>
      <c r="J55" s="21">
        <f t="shared" si="5"/>
        <v>43024.808804327549</v>
      </c>
      <c r="K55" s="21">
        <f t="shared" si="6"/>
        <v>5783.9955232232778</v>
      </c>
      <c r="L55" s="7" t="s">
        <v>10</v>
      </c>
      <c r="M55" s="1">
        <v>-6400</v>
      </c>
      <c r="N55" s="1"/>
      <c r="O55" s="4">
        <v>7.67</v>
      </c>
      <c r="P55" s="4"/>
      <c r="Q55" s="3"/>
      <c r="R55" s="35"/>
      <c r="S55" s="35"/>
      <c r="T55" s="35"/>
      <c r="U55" s="35"/>
      <c r="V55" s="72"/>
      <c r="W55" s="72"/>
      <c r="X55" s="72"/>
    </row>
    <row r="56" spans="1:24">
      <c r="A56" s="3">
        <v>43283</v>
      </c>
      <c r="B56" s="3" t="s">
        <v>4</v>
      </c>
      <c r="C56" s="3" t="s">
        <v>80</v>
      </c>
      <c r="D56" s="3" t="s">
        <v>11</v>
      </c>
      <c r="E56" s="21">
        <v>1.026</v>
      </c>
      <c r="F56" s="21">
        <v>2.6120000000000001</v>
      </c>
      <c r="G56" s="20">
        <v>6228.47</v>
      </c>
      <c r="H56" s="21">
        <f>F56*$U$15</f>
        <v>9.5202829486224871</v>
      </c>
      <c r="I56" s="21">
        <f>F56*$W$15</f>
        <v>0.9918987341772153</v>
      </c>
      <c r="J56" s="21">
        <f t="shared" si="5"/>
        <v>60929.810871183916</v>
      </c>
      <c r="K56" s="21">
        <f t="shared" si="6"/>
        <v>6348.1518987341778</v>
      </c>
      <c r="L56" s="7" t="s">
        <v>10</v>
      </c>
      <c r="M56" s="4">
        <v>-6400</v>
      </c>
      <c r="N56" s="4"/>
      <c r="O56" s="4">
        <v>9.59</v>
      </c>
      <c r="P56" s="4"/>
      <c r="Q56" s="3"/>
      <c r="R56" s="35"/>
      <c r="S56" s="35"/>
      <c r="T56" s="35"/>
      <c r="U56" s="35"/>
      <c r="V56" s="72"/>
      <c r="W56" s="72"/>
      <c r="X56" s="72"/>
    </row>
    <row r="57" spans="1:24">
      <c r="A57" s="3">
        <v>43285</v>
      </c>
      <c r="B57" s="3" t="s">
        <v>5</v>
      </c>
      <c r="C57" s="3" t="s">
        <v>101</v>
      </c>
      <c r="D57" s="3" t="s">
        <v>11</v>
      </c>
      <c r="E57" s="21">
        <v>0.99970000000000003</v>
      </c>
      <c r="F57" s="21">
        <v>0.99970000000000003</v>
      </c>
      <c r="G57" s="20">
        <v>6394.25</v>
      </c>
      <c r="H57" s="21">
        <f>F57*$U$26</f>
        <v>24.66103448275862</v>
      </c>
      <c r="I57" s="21">
        <f>E57*$W$26</f>
        <v>3.2563172413793104</v>
      </c>
      <c r="J57" s="21">
        <f t="shared" si="5"/>
        <v>157830.62068965516</v>
      </c>
      <c r="K57" s="21">
        <f t="shared" si="6"/>
        <v>20840.430344827586</v>
      </c>
      <c r="L57" s="7" t="s">
        <v>10</v>
      </c>
      <c r="M57" s="4">
        <v>-6400</v>
      </c>
      <c r="N57" s="4"/>
      <c r="O57" s="4">
        <v>7.67</v>
      </c>
      <c r="P57" s="4"/>
      <c r="Q57" s="3"/>
      <c r="R57" s="35"/>
      <c r="S57" s="35"/>
      <c r="T57" s="35"/>
      <c r="U57" s="35"/>
      <c r="V57" s="72"/>
      <c r="W57" s="72"/>
      <c r="X57" s="72"/>
    </row>
    <row r="58" spans="1:24">
      <c r="A58" s="3">
        <v>43286</v>
      </c>
      <c r="B58" s="3" t="s">
        <v>4</v>
      </c>
      <c r="C58" s="3" t="s">
        <v>80</v>
      </c>
      <c r="D58" s="3" t="s">
        <v>11</v>
      </c>
      <c r="E58" s="21">
        <v>1.01</v>
      </c>
      <c r="F58" s="21">
        <v>2.5939999999999999</v>
      </c>
      <c r="G58" s="20">
        <v>6327.14</v>
      </c>
      <c r="H58" s="21">
        <f>F58*$U$15</f>
        <v>9.4546760982874147</v>
      </c>
      <c r="I58" s="21">
        <f>F58*$W$15</f>
        <v>0.98506329113924052</v>
      </c>
      <c r="J58" s="21">
        <f t="shared" si="5"/>
        <v>60509.927029039456</v>
      </c>
      <c r="K58" s="21">
        <f t="shared" si="6"/>
        <v>6304.4050632911394</v>
      </c>
      <c r="L58" s="7" t="s">
        <v>10</v>
      </c>
      <c r="M58" s="4">
        <v>-6400</v>
      </c>
      <c r="N58" s="4"/>
      <c r="O58" s="4">
        <v>9.59</v>
      </c>
      <c r="P58" s="4"/>
      <c r="Q58" s="3"/>
      <c r="R58" s="35"/>
      <c r="S58" s="35"/>
      <c r="T58" s="35"/>
      <c r="U58" s="35"/>
      <c r="V58" s="72"/>
      <c r="W58" s="72"/>
      <c r="X58" s="72"/>
    </row>
    <row r="59" spans="1:24">
      <c r="A59" s="3">
        <v>43286</v>
      </c>
      <c r="B59" s="3" t="s">
        <v>6</v>
      </c>
      <c r="C59" s="3" t="s">
        <v>81</v>
      </c>
      <c r="D59" s="14" t="s">
        <v>12</v>
      </c>
      <c r="E59" s="22">
        <v>0.99370000000000003</v>
      </c>
      <c r="F59" s="22">
        <v>0.99370000000000003</v>
      </c>
      <c r="G59" s="23">
        <v>4205.5</v>
      </c>
      <c r="H59" s="21"/>
      <c r="I59" s="21"/>
      <c r="J59" s="21">
        <f t="shared" si="5"/>
        <v>0</v>
      </c>
      <c r="K59" s="21">
        <f t="shared" si="6"/>
        <v>0</v>
      </c>
      <c r="L59" s="7" t="s">
        <v>10</v>
      </c>
      <c r="M59" s="13">
        <v>4176.92</v>
      </c>
      <c r="N59" s="13"/>
      <c r="O59" s="4">
        <v>2.09</v>
      </c>
      <c r="P59" s="4"/>
      <c r="Q59" s="3"/>
      <c r="R59" s="35"/>
      <c r="S59" s="35"/>
      <c r="T59" s="35"/>
      <c r="U59" s="35"/>
      <c r="V59" s="72"/>
      <c r="W59" s="72"/>
      <c r="X59" s="72"/>
    </row>
    <row r="60" spans="1:24">
      <c r="A60" s="3">
        <v>43286</v>
      </c>
      <c r="B60" s="2" t="s">
        <v>38</v>
      </c>
      <c r="C60" s="2" t="s">
        <v>102</v>
      </c>
      <c r="D60" s="3" t="s">
        <v>39</v>
      </c>
      <c r="E60" s="21">
        <v>2.3860000000000001</v>
      </c>
      <c r="F60" s="21">
        <v>2.3860000000000001</v>
      </c>
      <c r="G60" s="20">
        <v>2700</v>
      </c>
      <c r="H60" s="21">
        <f>F60*$U$16</f>
        <v>8.2878697421981009</v>
      </c>
      <c r="I60" s="21">
        <f>F60*$W$16</f>
        <v>0.97123473541383987</v>
      </c>
      <c r="J60" s="21">
        <f t="shared" si="5"/>
        <v>53402.805805156037</v>
      </c>
      <c r="K60" s="21">
        <f t="shared" si="6"/>
        <v>6258.1413052917233</v>
      </c>
      <c r="L60" s="5" t="s">
        <v>24</v>
      </c>
      <c r="M60" s="1">
        <v>-6443.49</v>
      </c>
      <c r="N60" s="1"/>
      <c r="O60" s="4">
        <v>1.29</v>
      </c>
      <c r="P60" s="4"/>
      <c r="Q60" s="3"/>
      <c r="R60" s="35"/>
      <c r="S60" s="35"/>
      <c r="T60" s="35"/>
      <c r="U60" s="35"/>
      <c r="V60" s="72"/>
      <c r="W60" s="72"/>
      <c r="X60" s="72"/>
    </row>
    <row r="61" spans="1:24">
      <c r="A61" s="3">
        <v>43297</v>
      </c>
      <c r="B61" s="3" t="s">
        <v>3</v>
      </c>
      <c r="C61" s="3" t="s">
        <v>70</v>
      </c>
      <c r="D61" s="3" t="s">
        <v>11</v>
      </c>
      <c r="E61" s="21">
        <v>1.1970000000000001</v>
      </c>
      <c r="F61" s="21">
        <v>1.1970000000000001</v>
      </c>
      <c r="G61" s="20">
        <v>5340.29</v>
      </c>
      <c r="H61" s="21">
        <f>$F61*$U$34</f>
        <v>21.248333333333338</v>
      </c>
      <c r="I61" s="21">
        <f>$F61*$W$34</f>
        <v>1.7100000000000004</v>
      </c>
      <c r="J61" s="21">
        <f t="shared" si="5"/>
        <v>135989.33333333337</v>
      </c>
      <c r="K61" s="21">
        <f t="shared" si="6"/>
        <v>10944.000000000002</v>
      </c>
      <c r="L61" s="7" t="s">
        <v>10</v>
      </c>
      <c r="M61" s="4">
        <v>-6400</v>
      </c>
      <c r="N61" s="4"/>
      <c r="O61" s="4">
        <v>7.67</v>
      </c>
      <c r="P61" s="4"/>
      <c r="Q61" s="3"/>
      <c r="R61" s="35"/>
      <c r="S61" s="35"/>
      <c r="T61" s="35"/>
      <c r="U61" s="35"/>
      <c r="V61" s="72"/>
      <c r="W61" s="72"/>
    </row>
    <row r="62" spans="1:24">
      <c r="A62" s="3">
        <v>43297</v>
      </c>
      <c r="B62" s="72" t="s">
        <v>23</v>
      </c>
      <c r="C62" s="72" t="s">
        <v>93</v>
      </c>
      <c r="D62" s="3" t="s">
        <v>11</v>
      </c>
      <c r="E62" s="21">
        <v>0.81799999999999995</v>
      </c>
      <c r="F62" s="21">
        <v>0.81799999999999995</v>
      </c>
      <c r="G62" s="20">
        <v>7800</v>
      </c>
      <c r="H62" s="21">
        <f>F62*$U$30</f>
        <v>36.278038379530919</v>
      </c>
      <c r="I62" s="21">
        <f>F62*$W$30</f>
        <v>2.9214285714285717</v>
      </c>
      <c r="J62" s="21">
        <f t="shared" si="5"/>
        <v>231514.83196588489</v>
      </c>
      <c r="K62" s="21">
        <f t="shared" si="6"/>
        <v>18643.622285714289</v>
      </c>
      <c r="L62" s="5" t="s">
        <v>24</v>
      </c>
      <c r="M62" s="1">
        <v>-6381.68</v>
      </c>
      <c r="N62" s="1"/>
      <c r="O62" s="4">
        <v>1.28</v>
      </c>
      <c r="P62" s="4"/>
      <c r="Q62" s="3"/>
      <c r="R62" s="35"/>
      <c r="S62" s="35"/>
      <c r="T62" s="35"/>
      <c r="U62" s="35"/>
      <c r="V62" s="72"/>
      <c r="W62" s="72"/>
    </row>
    <row r="63" spans="1:24">
      <c r="A63" s="3">
        <v>43301</v>
      </c>
      <c r="B63" s="2" t="s">
        <v>57</v>
      </c>
      <c r="C63" s="2" t="s">
        <v>103</v>
      </c>
      <c r="D63" s="3" t="s">
        <v>11</v>
      </c>
      <c r="E63" s="21">
        <v>3.3519999999999999</v>
      </c>
      <c r="F63" s="21">
        <v>3.3519999999999999</v>
      </c>
      <c r="G63" s="20">
        <v>3435</v>
      </c>
      <c r="H63" s="21"/>
      <c r="I63" s="21"/>
      <c r="J63" s="21">
        <f t="shared" si="5"/>
        <v>0</v>
      </c>
      <c r="K63" s="21">
        <f t="shared" si="6"/>
        <v>0</v>
      </c>
      <c r="L63" s="28" t="s">
        <v>67</v>
      </c>
      <c r="M63" s="1">
        <v>-11514.12</v>
      </c>
      <c r="N63" s="1"/>
      <c r="O63" s="4">
        <v>0</v>
      </c>
      <c r="P63" s="4"/>
      <c r="Q63" s="3"/>
      <c r="R63" s="35"/>
      <c r="S63" s="35"/>
      <c r="T63" s="35"/>
      <c r="U63" s="35"/>
      <c r="W63" s="72"/>
    </row>
    <row r="64" spans="1:24">
      <c r="A64" s="3">
        <v>43313</v>
      </c>
      <c r="B64" s="72" t="s">
        <v>19</v>
      </c>
      <c r="C64" s="72" t="s">
        <v>104</v>
      </c>
      <c r="D64" s="3" t="s">
        <v>11</v>
      </c>
      <c r="E64" s="21">
        <v>0.65200000000000002</v>
      </c>
      <c r="F64" s="21">
        <v>0.65200000000000002</v>
      </c>
      <c r="G64" s="20">
        <v>5000</v>
      </c>
      <c r="H64" s="21">
        <f>F64*$U$21</f>
        <v>31.786470234515935</v>
      </c>
      <c r="I64" s="21">
        <f>F64*$W$21</f>
        <v>2.0877330126277811</v>
      </c>
      <c r="J64" s="21">
        <f t="shared" si="5"/>
        <v>103644.55417017439</v>
      </c>
      <c r="K64" s="21">
        <f t="shared" si="6"/>
        <v>6807.3666476247745</v>
      </c>
      <c r="L64" s="5" t="s">
        <v>24</v>
      </c>
      <c r="M64" s="1">
        <v>-3260.65</v>
      </c>
      <c r="N64" s="1"/>
      <c r="O64" s="4">
        <v>0.65</v>
      </c>
      <c r="P64" s="4"/>
      <c r="Q64" s="3"/>
      <c r="R64" s="35"/>
      <c r="S64" s="35"/>
      <c r="T64" s="35"/>
      <c r="U64" s="35"/>
      <c r="W64" s="35"/>
    </row>
    <row r="65" spans="1:19">
      <c r="A65" s="3">
        <v>43313</v>
      </c>
      <c r="B65" s="72" t="s">
        <v>18</v>
      </c>
      <c r="C65" s="72" t="s">
        <v>105</v>
      </c>
      <c r="D65" s="3" t="s">
        <v>11</v>
      </c>
      <c r="E65" s="21">
        <v>5.4210000000000003</v>
      </c>
      <c r="F65" s="21">
        <v>5.4210000000000003</v>
      </c>
      <c r="G65" s="20">
        <v>1200</v>
      </c>
      <c r="H65" s="21">
        <f>F65*$U$19</f>
        <v>23.347127555988319</v>
      </c>
      <c r="I65" s="21">
        <f>F65*$W$19</f>
        <v>1.8373174294060373</v>
      </c>
      <c r="J65" s="21">
        <f t="shared" si="5"/>
        <v>151908.085443038</v>
      </c>
      <c r="K65" s="21">
        <f t="shared" si="6"/>
        <v>11954.505854430381</v>
      </c>
      <c r="L65" s="5" t="s">
        <v>24</v>
      </c>
      <c r="M65" s="1">
        <v>-6506.5</v>
      </c>
      <c r="N65" s="1"/>
      <c r="O65" s="4">
        <v>1.3</v>
      </c>
      <c r="P65" s="4"/>
    </row>
    <row r="66" spans="1:19">
      <c r="A66" s="3">
        <v>43318</v>
      </c>
      <c r="B66" s="72" t="s">
        <v>19</v>
      </c>
      <c r="C66" s="72" t="s">
        <v>106</v>
      </c>
      <c r="D66" s="3" t="s">
        <v>11</v>
      </c>
      <c r="E66" s="21">
        <v>0.61899999999999999</v>
      </c>
      <c r="F66" s="21">
        <v>0.61899999999999999</v>
      </c>
      <c r="G66" s="20">
        <v>5200</v>
      </c>
      <c r="H66" s="21">
        <f>F66*$U$21</f>
        <v>30.177645820805772</v>
      </c>
      <c r="I66" s="21">
        <f>F66*$W$21</f>
        <v>1.9820655441972339</v>
      </c>
      <c r="J66" s="21">
        <f t="shared" ref="J66:J99" si="7">H66*(-$M66)</f>
        <v>97155.120061334936</v>
      </c>
      <c r="K66" s="21">
        <f t="shared" ref="K66:K99" si="8">I66*(-$M66)</f>
        <v>6381.1410956103427</v>
      </c>
      <c r="L66" s="5" t="s">
        <v>24</v>
      </c>
      <c r="M66" s="1">
        <v>-3219.44</v>
      </c>
      <c r="N66" s="1"/>
      <c r="O66" s="4">
        <v>0.64</v>
      </c>
      <c r="P66" s="4"/>
    </row>
    <row r="67" spans="1:19">
      <c r="A67" s="3">
        <v>43318</v>
      </c>
      <c r="B67" s="72" t="s">
        <v>18</v>
      </c>
      <c r="C67" s="72" t="s">
        <v>107</v>
      </c>
      <c r="D67" s="3" t="s">
        <v>11</v>
      </c>
      <c r="E67" s="21">
        <v>5.1440000000000001</v>
      </c>
      <c r="F67" s="21">
        <v>5.1440000000000001</v>
      </c>
      <c r="G67" s="20">
        <v>1200</v>
      </c>
      <c r="H67" s="21">
        <f>F67*$U$19</f>
        <v>22.154145756872147</v>
      </c>
      <c r="I67" s="21">
        <f>F67*$W$19</f>
        <v>1.7434349486929819</v>
      </c>
      <c r="J67" s="21">
        <f t="shared" si="7"/>
        <v>136780.36052730132</v>
      </c>
      <c r="K67" s="21">
        <f t="shared" si="8"/>
        <v>10764.019676278931</v>
      </c>
      <c r="L67" s="5" t="s">
        <v>24</v>
      </c>
      <c r="M67" s="1">
        <v>-6174.03</v>
      </c>
      <c r="N67" s="1"/>
      <c r="O67" s="4">
        <v>1.23</v>
      </c>
      <c r="P67" s="4"/>
    </row>
    <row r="68" spans="1:19">
      <c r="A68" s="3">
        <v>43318</v>
      </c>
      <c r="B68" s="2" t="s">
        <v>36</v>
      </c>
      <c r="C68" s="2" t="s">
        <v>108</v>
      </c>
      <c r="D68" s="3" t="s">
        <v>11</v>
      </c>
      <c r="E68" s="21">
        <v>3.3359999999999999</v>
      </c>
      <c r="F68" s="21">
        <v>3.3359999999999999</v>
      </c>
      <c r="G68" s="20">
        <v>1900</v>
      </c>
      <c r="H68" s="21">
        <f>F68*$U$17</f>
        <v>11.048920047425124</v>
      </c>
      <c r="I68" s="21">
        <f>F68*$W$17</f>
        <v>1.246765297180267</v>
      </c>
      <c r="J68" s="21">
        <f t="shared" si="7"/>
        <v>70046.506957059639</v>
      </c>
      <c r="K68" s="21">
        <f t="shared" si="8"/>
        <v>7904.0805515748234</v>
      </c>
      <c r="L68" s="5" t="s">
        <v>24</v>
      </c>
      <c r="M68" s="1">
        <v>-6339.67</v>
      </c>
      <c r="N68" s="1"/>
      <c r="O68" s="4">
        <v>1.27</v>
      </c>
      <c r="P68" s="4"/>
      <c r="Q68" s="15"/>
    </row>
    <row r="69" spans="1:19">
      <c r="A69" s="3">
        <v>43318</v>
      </c>
      <c r="B69" s="72" t="s">
        <v>17</v>
      </c>
      <c r="C69" s="72" t="s">
        <v>76</v>
      </c>
      <c r="D69" s="3" t="s">
        <v>11</v>
      </c>
      <c r="E69" s="21">
        <v>1.258</v>
      </c>
      <c r="F69" s="21">
        <v>1.258</v>
      </c>
      <c r="G69" s="20">
        <v>5100</v>
      </c>
      <c r="H69" s="21">
        <f>F69*$U$24</f>
        <v>28.848116294999617</v>
      </c>
      <c r="I69" s="21">
        <f>F69*$W$24</f>
        <v>3.5617322475074209</v>
      </c>
      <c r="J69" s="21">
        <f t="shared" si="7"/>
        <v>185120.67011431613</v>
      </c>
      <c r="K69" s="21">
        <f t="shared" si="8"/>
        <v>22855.92077083492</v>
      </c>
      <c r="L69" s="5" t="s">
        <v>24</v>
      </c>
      <c r="M69" s="4">
        <v>-6417.08</v>
      </c>
      <c r="N69" s="4"/>
      <c r="O69" s="4">
        <v>1.28</v>
      </c>
      <c r="P69" s="4"/>
      <c r="Q69" s="15"/>
      <c r="R69" s="15"/>
      <c r="S69" s="15"/>
    </row>
    <row r="70" spans="1:19">
      <c r="A70" s="3">
        <v>43318</v>
      </c>
      <c r="B70" s="3" t="s">
        <v>6</v>
      </c>
      <c r="C70" s="3" t="s">
        <v>81</v>
      </c>
      <c r="D70" s="14" t="s">
        <v>12</v>
      </c>
      <c r="E70" s="22">
        <v>1.0019</v>
      </c>
      <c r="F70" s="22">
        <v>1.0019</v>
      </c>
      <c r="G70" s="23">
        <v>4205.5</v>
      </c>
      <c r="H70" s="21"/>
      <c r="I70" s="21"/>
      <c r="J70" s="21">
        <f t="shared" si="7"/>
        <v>0</v>
      </c>
      <c r="K70" s="21">
        <f t="shared" si="8"/>
        <v>0</v>
      </c>
      <c r="L70" s="7" t="s">
        <v>10</v>
      </c>
      <c r="M70" s="13">
        <v>4215.6099999999997</v>
      </c>
      <c r="N70" s="13"/>
      <c r="O70" s="4">
        <v>2.12</v>
      </c>
      <c r="P70" s="4"/>
      <c r="Q70" s="15"/>
      <c r="R70" s="15"/>
      <c r="S70" s="15"/>
    </row>
    <row r="71" spans="1:19">
      <c r="A71" s="3">
        <v>43327</v>
      </c>
      <c r="B71" s="3" t="s">
        <v>4</v>
      </c>
      <c r="C71" s="3" t="s">
        <v>80</v>
      </c>
      <c r="D71" s="3" t="s">
        <v>11</v>
      </c>
      <c r="E71" s="21">
        <v>1.008</v>
      </c>
      <c r="F71" s="21">
        <v>2.5920000000000001</v>
      </c>
      <c r="G71" s="20">
        <v>6327.14</v>
      </c>
      <c r="H71" s="21">
        <f>F71*$U$15</f>
        <v>9.4473864482501853</v>
      </c>
      <c r="I71" s="21">
        <f>F71*$W$15</f>
        <v>0.9843037974683545</v>
      </c>
      <c r="J71" s="21">
        <f t="shared" si="7"/>
        <v>60463.273268801189</v>
      </c>
      <c r="K71" s="21">
        <f t="shared" si="8"/>
        <v>6299.5443037974692</v>
      </c>
      <c r="L71" s="7" t="s">
        <v>10</v>
      </c>
      <c r="M71" s="4">
        <v>-6400</v>
      </c>
      <c r="N71" s="4"/>
      <c r="O71" s="4">
        <v>9.59</v>
      </c>
      <c r="P71" s="4"/>
      <c r="Q71" s="3"/>
      <c r="R71" s="3"/>
      <c r="S71" s="3"/>
    </row>
    <row r="72" spans="1:19">
      <c r="A72" s="3">
        <v>43327</v>
      </c>
      <c r="B72" s="3" t="s">
        <v>7</v>
      </c>
      <c r="C72" s="3" t="s">
        <v>109</v>
      </c>
      <c r="D72" s="14" t="s">
        <v>12</v>
      </c>
      <c r="E72" s="22">
        <v>1.2509999999999999</v>
      </c>
      <c r="F72" s="22">
        <v>1.2509999999999999</v>
      </c>
      <c r="G72" s="23">
        <v>5451.73</v>
      </c>
      <c r="H72" s="21"/>
      <c r="I72" s="21"/>
      <c r="J72" s="21">
        <f t="shared" si="7"/>
        <v>0</v>
      </c>
      <c r="K72" s="21">
        <f t="shared" si="8"/>
        <v>0</v>
      </c>
      <c r="L72" s="7" t="s">
        <v>10</v>
      </c>
      <c r="M72" s="13">
        <v>6820.11</v>
      </c>
      <c r="N72" s="13">
        <f>M72-6400</f>
        <v>420.10999999999967</v>
      </c>
      <c r="O72" s="4">
        <v>0</v>
      </c>
      <c r="P72" s="4"/>
      <c r="Q72" s="3"/>
      <c r="R72" s="56"/>
      <c r="S72" s="56"/>
    </row>
    <row r="73" spans="1:19">
      <c r="A73" s="3">
        <v>43327</v>
      </c>
      <c r="B73" s="73" t="s">
        <v>57</v>
      </c>
      <c r="C73" s="73" t="s">
        <v>103</v>
      </c>
      <c r="D73" s="3" t="s">
        <v>11</v>
      </c>
      <c r="E73" s="21">
        <v>3.282</v>
      </c>
      <c r="F73" s="21">
        <v>3.282</v>
      </c>
      <c r="G73" s="20">
        <v>780</v>
      </c>
      <c r="H73" s="21"/>
      <c r="I73" s="21"/>
      <c r="J73" s="21">
        <f t="shared" si="7"/>
        <v>0</v>
      </c>
      <c r="K73" s="21">
        <f t="shared" si="8"/>
        <v>0</v>
      </c>
      <c r="L73" s="28" t="s">
        <v>67</v>
      </c>
      <c r="M73" s="1">
        <v>-2559.96</v>
      </c>
      <c r="N73" s="1"/>
      <c r="O73" s="4">
        <v>0</v>
      </c>
      <c r="P73" s="4"/>
      <c r="Q73" s="3"/>
      <c r="R73" s="56"/>
      <c r="S73" s="56"/>
    </row>
    <row r="74" spans="1:19">
      <c r="A74" s="3">
        <v>43329</v>
      </c>
      <c r="B74" s="3" t="s">
        <v>5</v>
      </c>
      <c r="C74" s="3" t="s">
        <v>101</v>
      </c>
      <c r="D74" s="3" t="s">
        <v>11</v>
      </c>
      <c r="E74" s="21">
        <v>0.89759999999999995</v>
      </c>
      <c r="F74" s="21">
        <v>0.89759999999999995</v>
      </c>
      <c r="G74" s="20">
        <v>7121.58</v>
      </c>
      <c r="H74" s="21">
        <f>F74*$U$26</f>
        <v>22.142387267904507</v>
      </c>
      <c r="I74" s="21">
        <f>E74*$W$26</f>
        <v>2.9237474801061007</v>
      </c>
      <c r="J74" s="21">
        <f t="shared" si="7"/>
        <v>141711.27851458883</v>
      </c>
      <c r="K74" s="21">
        <f t="shared" si="8"/>
        <v>18711.983872679044</v>
      </c>
      <c r="L74" s="7" t="s">
        <v>10</v>
      </c>
      <c r="M74" s="4">
        <v>-6400</v>
      </c>
      <c r="N74" s="4"/>
      <c r="O74" s="4">
        <v>7.67</v>
      </c>
      <c r="P74" s="4"/>
      <c r="Q74" s="3"/>
      <c r="R74" s="56"/>
      <c r="S74" s="56"/>
    </row>
    <row r="75" spans="1:19">
      <c r="A75" s="3">
        <v>43329</v>
      </c>
      <c r="B75" s="3" t="s">
        <v>2</v>
      </c>
      <c r="C75" s="3" t="s">
        <v>76</v>
      </c>
      <c r="D75" s="3" t="s">
        <v>11</v>
      </c>
      <c r="E75" s="21">
        <v>0.76419999999999999</v>
      </c>
      <c r="F75" s="21">
        <v>0.78149999999999997</v>
      </c>
      <c r="G75" s="20">
        <v>8364.73</v>
      </c>
      <c r="H75" s="21">
        <f>F75*$U$25</f>
        <v>28.711858309962199</v>
      </c>
      <c r="I75" s="21">
        <f>F75*$W$25</f>
        <v>3.5449091574198266</v>
      </c>
      <c r="J75" s="21">
        <f t="shared" si="7"/>
        <v>183755.89318375807</v>
      </c>
      <c r="K75" s="21">
        <f t="shared" si="8"/>
        <v>22687.418607486889</v>
      </c>
      <c r="L75" s="7" t="s">
        <v>10</v>
      </c>
      <c r="M75" s="4">
        <v>-6400</v>
      </c>
      <c r="N75" s="4"/>
      <c r="O75" s="4">
        <v>7.67</v>
      </c>
      <c r="P75" s="4"/>
      <c r="Q75" s="3"/>
      <c r="R75" s="56"/>
      <c r="S75" s="56"/>
    </row>
    <row r="76" spans="1:19">
      <c r="A76" s="3">
        <v>43332</v>
      </c>
      <c r="B76" s="3" t="s">
        <v>5</v>
      </c>
      <c r="C76" s="3" t="s">
        <v>101</v>
      </c>
      <c r="D76" s="3" t="s">
        <v>11</v>
      </c>
      <c r="E76" s="21">
        <v>0.89680000000000004</v>
      </c>
      <c r="F76" s="21">
        <v>0.99970000000000003</v>
      </c>
      <c r="G76" s="20">
        <v>7127.93</v>
      </c>
      <c r="H76" s="21">
        <f>F76*$U$26</f>
        <v>24.66103448275862</v>
      </c>
      <c r="I76" s="21">
        <f>E76*$W$26</f>
        <v>2.9211416445623342</v>
      </c>
      <c r="J76" s="21">
        <f t="shared" si="7"/>
        <v>157830.62068965516</v>
      </c>
      <c r="K76" s="21">
        <f t="shared" si="8"/>
        <v>18695.306525198939</v>
      </c>
      <c r="L76" s="7" t="s">
        <v>10</v>
      </c>
      <c r="M76" s="4">
        <v>-6400</v>
      </c>
      <c r="N76" s="4"/>
      <c r="O76" s="4">
        <v>7.67</v>
      </c>
      <c r="P76" s="4"/>
      <c r="Q76" s="3"/>
      <c r="R76" s="56"/>
      <c r="S76" s="56"/>
    </row>
    <row r="77" spans="1:19">
      <c r="A77" s="3">
        <v>43332</v>
      </c>
      <c r="B77" s="2" t="s">
        <v>23</v>
      </c>
      <c r="C77" s="2" t="s">
        <v>93</v>
      </c>
      <c r="D77" s="3" t="s">
        <v>11</v>
      </c>
      <c r="E77" s="21">
        <v>0.73199999999999998</v>
      </c>
      <c r="F77" s="21">
        <v>0.73199999999999998</v>
      </c>
      <c r="G77" s="20">
        <v>8700</v>
      </c>
      <c r="H77" s="21">
        <f>F77*$U$30</f>
        <v>32.463965884861409</v>
      </c>
      <c r="I77" s="21">
        <f>F77*$W$30</f>
        <v>2.6142857142857148</v>
      </c>
      <c r="J77" s="21">
        <f t="shared" si="7"/>
        <v>206784.74957782516</v>
      </c>
      <c r="K77" s="21">
        <f t="shared" si="8"/>
        <v>16652.137285714289</v>
      </c>
      <c r="L77" s="5" t="s">
        <v>24</v>
      </c>
      <c r="M77" s="1">
        <v>-6369.67</v>
      </c>
      <c r="N77" s="1"/>
      <c r="O77" s="4">
        <v>1.27</v>
      </c>
      <c r="P77" s="4"/>
      <c r="Q77" s="3"/>
      <c r="R77" s="56"/>
      <c r="S77" s="56"/>
    </row>
    <row r="78" spans="1:19">
      <c r="A78" s="3">
        <v>43336</v>
      </c>
      <c r="B78" s="2" t="s">
        <v>18</v>
      </c>
      <c r="C78" s="2" t="s">
        <v>107</v>
      </c>
      <c r="D78" s="3" t="s">
        <v>11</v>
      </c>
      <c r="E78" s="21">
        <v>5.149</v>
      </c>
      <c r="F78" s="21">
        <v>5.149</v>
      </c>
      <c r="G78" s="20">
        <v>1200</v>
      </c>
      <c r="H78" s="21">
        <f>F78*$U$19</f>
        <v>22.175679724365217</v>
      </c>
      <c r="I78" s="21">
        <f>F78*$W$19</f>
        <v>1.745129578308741</v>
      </c>
      <c r="J78" s="21">
        <f t="shared" si="7"/>
        <v>137046.58772376602</v>
      </c>
      <c r="K78" s="21">
        <f t="shared" si="8"/>
        <v>10784.970599131151</v>
      </c>
      <c r="L78" s="5" t="s">
        <v>24</v>
      </c>
      <c r="M78" s="1">
        <v>-6180.04</v>
      </c>
      <c r="N78" s="1"/>
      <c r="O78" s="4">
        <v>1.24</v>
      </c>
      <c r="P78" s="4"/>
      <c r="Q78" s="3"/>
      <c r="R78" s="56"/>
      <c r="S78" s="56"/>
    </row>
    <row r="79" spans="1:19">
      <c r="A79" s="3">
        <v>43343</v>
      </c>
      <c r="B79" s="37" t="s">
        <v>18</v>
      </c>
      <c r="C79" s="37" t="s">
        <v>78</v>
      </c>
      <c r="D79" s="3" t="s">
        <v>11</v>
      </c>
      <c r="E79" s="21">
        <v>5.1319999999999997</v>
      </c>
      <c r="F79" s="21">
        <v>5.1319999999999997</v>
      </c>
      <c r="G79" s="20">
        <v>100</v>
      </c>
      <c r="H79" s="21">
        <f>F79*$U$19</f>
        <v>22.102464234888775</v>
      </c>
      <c r="I79" s="21">
        <f>F79*$W$19</f>
        <v>1.7393678376151598</v>
      </c>
      <c r="J79" s="21">
        <f t="shared" si="7"/>
        <v>11345.194891768408</v>
      </c>
      <c r="K79" s="21">
        <f t="shared" si="8"/>
        <v>892.81751104786144</v>
      </c>
      <c r="L79" s="5" t="s">
        <v>24</v>
      </c>
      <c r="M79" s="1">
        <v>-513.29999999999995</v>
      </c>
      <c r="N79" s="1"/>
      <c r="O79" s="4">
        <v>0.1</v>
      </c>
      <c r="P79" s="4"/>
      <c r="Q79" s="3"/>
      <c r="R79" s="56"/>
      <c r="S79" s="56"/>
    </row>
    <row r="80" spans="1:19">
      <c r="A80" s="3">
        <v>43343</v>
      </c>
      <c r="B80" s="73" t="s">
        <v>57</v>
      </c>
      <c r="C80" s="73" t="s">
        <v>103</v>
      </c>
      <c r="D80" s="3" t="s">
        <v>11</v>
      </c>
      <c r="E80" s="21">
        <v>3.1960000000000002</v>
      </c>
      <c r="F80" s="21">
        <v>3.1960000000000002</v>
      </c>
      <c r="G80" s="20">
        <v>400.5</v>
      </c>
      <c r="H80" s="21"/>
      <c r="I80" s="21"/>
      <c r="J80" s="21">
        <f t="shared" ref="J80" si="9">H80*(-$M80)</f>
        <v>0</v>
      </c>
      <c r="K80" s="21">
        <f t="shared" ref="K80" si="10">I80*(-$M80)</f>
        <v>0</v>
      </c>
      <c r="L80" s="28" t="s">
        <v>67</v>
      </c>
      <c r="M80" s="1">
        <v>-1280</v>
      </c>
      <c r="N80" s="1"/>
      <c r="O80" s="4">
        <v>0</v>
      </c>
      <c r="P80" s="4"/>
      <c r="Q80" s="3"/>
      <c r="R80" s="56"/>
      <c r="S80" s="56"/>
    </row>
    <row r="81" spans="1:31">
      <c r="A81" s="3">
        <v>43346</v>
      </c>
      <c r="B81" s="38" t="s">
        <v>18</v>
      </c>
      <c r="C81" s="38" t="s">
        <v>107</v>
      </c>
      <c r="D81" s="3" t="s">
        <v>11</v>
      </c>
      <c r="E81" s="21">
        <v>5.0709999999999997</v>
      </c>
      <c r="F81" s="21">
        <v>5.0709999999999997</v>
      </c>
      <c r="G81" s="20">
        <v>1300</v>
      </c>
      <c r="H81" s="21">
        <f>F81*$U$19</f>
        <v>21.839749831473299</v>
      </c>
      <c r="I81" s="21">
        <f>F81*$W$19</f>
        <v>1.7186933563028985</v>
      </c>
      <c r="J81" s="21">
        <f t="shared" si="7"/>
        <v>144003.01128379896</v>
      </c>
      <c r="K81" s="21">
        <f t="shared" si="8"/>
        <v>11332.410887985918</v>
      </c>
      <c r="L81" s="5" t="s">
        <v>24</v>
      </c>
      <c r="M81" s="1">
        <v>-6593.62</v>
      </c>
      <c r="N81" s="1"/>
      <c r="O81" s="4">
        <v>1.32</v>
      </c>
      <c r="P81" s="4"/>
      <c r="Q81" s="3"/>
      <c r="R81" s="56"/>
      <c r="S81" s="56"/>
    </row>
    <row r="82" spans="1:31">
      <c r="A82" s="3">
        <v>43346</v>
      </c>
      <c r="B82" s="38" t="s">
        <v>36</v>
      </c>
      <c r="C82" s="38" t="s">
        <v>108</v>
      </c>
      <c r="D82" s="3" t="s">
        <v>11</v>
      </c>
      <c r="E82" s="21">
        <v>3.3570000000000002</v>
      </c>
      <c r="F82" s="21">
        <v>3.3570000000000002</v>
      </c>
      <c r="G82" s="20">
        <v>1900</v>
      </c>
      <c r="H82" s="21">
        <f>F82*$U$17</f>
        <v>11.1184726016805</v>
      </c>
      <c r="I82" s="21">
        <f>F82*$W$17</f>
        <v>1.2546136398783443</v>
      </c>
      <c r="J82" s="21">
        <f t="shared" si="7"/>
        <v>70931.185440228888</v>
      </c>
      <c r="K82" s="21">
        <f t="shared" si="8"/>
        <v>8003.9080846950874</v>
      </c>
      <c r="L82" s="5" t="s">
        <v>24</v>
      </c>
      <c r="M82" s="1">
        <v>-6379.58</v>
      </c>
      <c r="N82" s="1"/>
      <c r="O82" s="4">
        <v>1.28</v>
      </c>
      <c r="P82" s="4"/>
      <c r="Q82" s="3"/>
      <c r="R82" s="56"/>
      <c r="S82" s="56"/>
    </row>
    <row r="83" spans="1:31">
      <c r="A83" s="3">
        <v>43347</v>
      </c>
      <c r="B83" s="73" t="s">
        <v>57</v>
      </c>
      <c r="C83" s="73" t="s">
        <v>103</v>
      </c>
      <c r="D83" s="3" t="s">
        <v>11</v>
      </c>
      <c r="E83" s="21">
        <v>3.1059999999999999</v>
      </c>
      <c r="F83" s="21">
        <v>3.1059999999999999</v>
      </c>
      <c r="G83" s="20">
        <v>412.1</v>
      </c>
      <c r="H83" s="21"/>
      <c r="I83" s="21"/>
      <c r="J83" s="21">
        <f t="shared" si="7"/>
        <v>0</v>
      </c>
      <c r="K83" s="21">
        <f t="shared" si="8"/>
        <v>0</v>
      </c>
      <c r="L83" s="28" t="s">
        <v>67</v>
      </c>
      <c r="M83" s="1">
        <v>-1279.98</v>
      </c>
      <c r="N83" s="1"/>
      <c r="O83" s="4">
        <v>0</v>
      </c>
      <c r="P83" s="4"/>
      <c r="Q83" s="3"/>
      <c r="R83" s="56"/>
      <c r="S83" s="56"/>
    </row>
    <row r="84" spans="1:31">
      <c r="A84" s="3">
        <v>43354</v>
      </c>
      <c r="B84" s="39" t="s">
        <v>19</v>
      </c>
      <c r="C84" s="39" t="s">
        <v>104</v>
      </c>
      <c r="D84" s="3" t="s">
        <v>11</v>
      </c>
      <c r="E84" s="21">
        <v>0.58499999999999996</v>
      </c>
      <c r="F84" s="21">
        <v>0.58499999999999996</v>
      </c>
      <c r="G84" s="20">
        <v>5400</v>
      </c>
      <c r="H84" s="21">
        <f>F84*$U$21</f>
        <v>28.520069152134692</v>
      </c>
      <c r="I84" s="21">
        <f>F84*$W$21</f>
        <v>1.8731960312687912</v>
      </c>
      <c r="J84" s="21">
        <f t="shared" si="7"/>
        <v>90112.866095159334</v>
      </c>
      <c r="K84" s="21">
        <f t="shared" si="8"/>
        <v>5918.6063762778113</v>
      </c>
      <c r="L84" s="5" t="s">
        <v>24</v>
      </c>
      <c r="M84" s="1">
        <v>-3159.63</v>
      </c>
      <c r="N84" s="1"/>
      <c r="O84" s="4">
        <v>0.63</v>
      </c>
      <c r="P84" s="4"/>
      <c r="Q84" s="3"/>
      <c r="R84" s="56"/>
      <c r="S84" s="56"/>
    </row>
    <row r="85" spans="1:31">
      <c r="A85" s="3">
        <v>43357</v>
      </c>
      <c r="B85" s="72" t="s">
        <v>18</v>
      </c>
      <c r="C85" s="72" t="s">
        <v>78</v>
      </c>
      <c r="D85" s="3" t="s">
        <v>11</v>
      </c>
      <c r="E85" s="21">
        <v>4.9749999999999996</v>
      </c>
      <c r="F85" s="21">
        <v>4.9749999999999996</v>
      </c>
      <c r="G85" s="20">
        <v>1300</v>
      </c>
      <c r="H85" s="21">
        <f>F85*$U$19</f>
        <v>21.426297655606323</v>
      </c>
      <c r="I85" s="21">
        <f>F85*$W$19</f>
        <v>1.6861564676803236</v>
      </c>
      <c r="J85" s="21">
        <f t="shared" si="7"/>
        <v>138602.22001160964</v>
      </c>
      <c r="K85" s="21">
        <f t="shared" si="8"/>
        <v>10907.3920965658</v>
      </c>
      <c r="L85" s="5" t="s">
        <v>24</v>
      </c>
      <c r="M85" s="1">
        <v>-6468.79</v>
      </c>
      <c r="N85" s="1"/>
      <c r="O85" s="4">
        <v>1.29</v>
      </c>
      <c r="P85" s="4"/>
      <c r="Q85" s="3"/>
      <c r="R85" s="56"/>
      <c r="S85" s="56"/>
      <c r="AB85" s="56"/>
      <c r="AC85" s="56"/>
      <c r="AD85" s="56"/>
      <c r="AE85" s="56"/>
    </row>
    <row r="86" spans="1:31">
      <c r="A86" s="3">
        <v>43371</v>
      </c>
      <c r="B86" s="72" t="s">
        <v>141</v>
      </c>
      <c r="C86" s="72" t="s">
        <v>108</v>
      </c>
      <c r="D86" s="3" t="s">
        <v>11</v>
      </c>
      <c r="E86" s="21">
        <v>1.7130000000000001</v>
      </c>
      <c r="F86" s="21">
        <v>1.7130000000000001</v>
      </c>
      <c r="G86" s="20">
        <v>3731.66</v>
      </c>
      <c r="H86" s="21">
        <f>F86*$U$18</f>
        <v>11.276664959016394</v>
      </c>
      <c r="I86" s="21">
        <f>F86*$W$18</f>
        <v>1.2724641393442624</v>
      </c>
      <c r="J86" s="21">
        <f t="shared" si="7"/>
        <v>72170.655737704918</v>
      </c>
      <c r="K86" s="21">
        <f t="shared" si="8"/>
        <v>8143.7704918032796</v>
      </c>
      <c r="L86" s="7" t="s">
        <v>10</v>
      </c>
      <c r="M86" s="1">
        <v>-6400</v>
      </c>
      <c r="N86" s="1"/>
      <c r="O86" s="4">
        <v>7.67</v>
      </c>
      <c r="P86" s="4"/>
      <c r="Q86" s="3"/>
      <c r="R86" s="56"/>
      <c r="S86" s="56"/>
    </row>
    <row r="87" spans="1:31">
      <c r="A87" s="3">
        <v>43371</v>
      </c>
      <c r="B87" s="72" t="s">
        <v>31</v>
      </c>
      <c r="C87" s="72" t="s">
        <v>96</v>
      </c>
      <c r="D87" s="3" t="s">
        <v>11</v>
      </c>
      <c r="E87" s="21">
        <v>1.0101</v>
      </c>
      <c r="F87" s="21">
        <v>1.0101</v>
      </c>
      <c r="G87" s="20">
        <v>6329.68</v>
      </c>
      <c r="H87" s="21"/>
      <c r="I87" s="21"/>
      <c r="J87" s="21">
        <f t="shared" si="7"/>
        <v>0</v>
      </c>
      <c r="K87" s="21">
        <f t="shared" si="8"/>
        <v>0</v>
      </c>
      <c r="L87" s="7" t="s">
        <v>10</v>
      </c>
      <c r="M87" s="1">
        <v>-6400</v>
      </c>
      <c r="N87" s="1"/>
      <c r="O87" s="4">
        <v>6.39</v>
      </c>
      <c r="P87" s="4"/>
      <c r="Q87" s="15"/>
      <c r="R87" s="3"/>
      <c r="S87" s="56"/>
    </row>
    <row r="88" spans="1:31">
      <c r="A88" s="3">
        <v>43371</v>
      </c>
      <c r="B88" s="3" t="s">
        <v>5</v>
      </c>
      <c r="C88" s="3" t="s">
        <v>101</v>
      </c>
      <c r="D88" s="3" t="s">
        <v>11</v>
      </c>
      <c r="E88" s="21">
        <v>0.9113</v>
      </c>
      <c r="F88" s="21">
        <v>0.9113</v>
      </c>
      <c r="G88" s="20">
        <v>7014.52</v>
      </c>
      <c r="H88" s="21">
        <f>F88*$U$26</f>
        <v>22.480344827586205</v>
      </c>
      <c r="I88" s="21">
        <f>E88*$W$26</f>
        <v>2.9683724137931033</v>
      </c>
      <c r="J88" s="21">
        <f t="shared" si="7"/>
        <v>143874.20689655171</v>
      </c>
      <c r="K88" s="21">
        <f t="shared" si="8"/>
        <v>18997.583448275862</v>
      </c>
      <c r="L88" s="7" t="s">
        <v>10</v>
      </c>
      <c r="M88" s="4">
        <v>-6400</v>
      </c>
      <c r="N88" s="4"/>
      <c r="O88" s="4">
        <v>7.67</v>
      </c>
      <c r="P88" s="4"/>
      <c r="Q88" s="15"/>
      <c r="R88" s="56"/>
      <c r="S88" s="56"/>
    </row>
    <row r="89" spans="1:31">
      <c r="A89" s="3">
        <v>43371</v>
      </c>
      <c r="B89" s="17" t="s">
        <v>32</v>
      </c>
      <c r="C89" s="17" t="s">
        <v>97</v>
      </c>
      <c r="D89" s="3" t="s">
        <v>11</v>
      </c>
      <c r="E89" s="21">
        <v>0.93020000000000003</v>
      </c>
      <c r="F89" s="21">
        <v>0.93020000000000003</v>
      </c>
      <c r="G89" s="20">
        <v>6872</v>
      </c>
      <c r="H89" s="21">
        <f>F89*$U$33</f>
        <v>7.356925946651744</v>
      </c>
      <c r="I89" s="21">
        <f>F89*$W$33</f>
        <v>0.98902070509233342</v>
      </c>
      <c r="J89" s="21">
        <f t="shared" si="7"/>
        <v>47084.326058571161</v>
      </c>
      <c r="K89" s="21">
        <f t="shared" si="8"/>
        <v>6329.7325125909338</v>
      </c>
      <c r="L89" s="7" t="s">
        <v>10</v>
      </c>
      <c r="M89" s="1">
        <v>-6400</v>
      </c>
      <c r="N89" s="1"/>
      <c r="O89" s="4">
        <v>7.67</v>
      </c>
      <c r="P89" s="4"/>
      <c r="Q89" s="15"/>
      <c r="R89" s="56"/>
      <c r="S89" s="56"/>
      <c r="W89" s="15"/>
    </row>
    <row r="90" spans="1:31">
      <c r="A90" s="3">
        <v>43371</v>
      </c>
      <c r="B90" s="72" t="s">
        <v>37</v>
      </c>
      <c r="C90" s="72" t="s">
        <v>37</v>
      </c>
      <c r="D90" s="3" t="s">
        <v>11</v>
      </c>
      <c r="E90" s="21">
        <v>1.335</v>
      </c>
      <c r="F90" s="21">
        <v>1.335</v>
      </c>
      <c r="G90" s="20">
        <v>4800</v>
      </c>
      <c r="H90" s="21">
        <f>F90*$U$22</f>
        <v>47.286042504307865</v>
      </c>
      <c r="I90" s="21">
        <f>F90*$W$22</f>
        <v>3.9958835918054758</v>
      </c>
      <c r="J90" s="21">
        <f t="shared" si="7"/>
        <v>303008.9603676048</v>
      </c>
      <c r="K90" s="21">
        <f t="shared" si="8"/>
        <v>25605.622056289489</v>
      </c>
      <c r="L90" s="5" t="s">
        <v>24</v>
      </c>
      <c r="M90" s="1">
        <v>-6408</v>
      </c>
      <c r="N90" s="1"/>
      <c r="O90" s="4">
        <v>1.28</v>
      </c>
      <c r="P90" s="4"/>
      <c r="Q90" s="3"/>
      <c r="R90" s="56"/>
      <c r="S90" s="56"/>
      <c r="U90" s="56"/>
      <c r="V90" s="56"/>
      <c r="W90" s="56"/>
      <c r="X90" s="56"/>
      <c r="Y90" s="56"/>
      <c r="Z90" s="56"/>
    </row>
    <row r="91" spans="1:31">
      <c r="A91" s="3">
        <v>43384</v>
      </c>
      <c r="B91" s="72" t="s">
        <v>18</v>
      </c>
      <c r="C91" s="72" t="s">
        <v>78</v>
      </c>
      <c r="D91" s="3" t="s">
        <v>11</v>
      </c>
      <c r="E91" s="21">
        <v>4.6289999999999996</v>
      </c>
      <c r="F91" s="21">
        <v>4.6289999999999996</v>
      </c>
      <c r="G91" s="20">
        <v>1400</v>
      </c>
      <c r="H91" s="21">
        <f>F91*$U$19</f>
        <v>19.936147105085762</v>
      </c>
      <c r="I91" s="21">
        <f>F91*$W$19</f>
        <v>1.5688880982697924</v>
      </c>
      <c r="J91" s="21">
        <f t="shared" si="7"/>
        <v>129224.1119204554</v>
      </c>
      <c r="K91" s="21">
        <f t="shared" si="8"/>
        <v>10169.375764174967</v>
      </c>
      <c r="L91" s="5" t="s">
        <v>24</v>
      </c>
      <c r="M91" s="1">
        <v>-6481.9</v>
      </c>
      <c r="N91" s="1"/>
      <c r="O91" s="4">
        <v>1.3</v>
      </c>
      <c r="Q91" s="3"/>
      <c r="R91" s="56"/>
      <c r="S91" s="56"/>
      <c r="U91" s="84"/>
      <c r="W91" s="15"/>
    </row>
    <row r="92" spans="1:31">
      <c r="A92" s="3">
        <v>43384</v>
      </c>
      <c r="B92" s="3" t="s">
        <v>2</v>
      </c>
      <c r="C92" s="3" t="s">
        <v>76</v>
      </c>
      <c r="D92" s="3" t="s">
        <v>11</v>
      </c>
      <c r="E92" s="21">
        <v>0.69899999999999995</v>
      </c>
      <c r="F92" s="21">
        <v>0.69899999999999995</v>
      </c>
      <c r="G92" s="20">
        <v>9144.9599999999991</v>
      </c>
      <c r="H92" s="21">
        <f>F92*$U$25</f>
        <v>25.680855993171562</v>
      </c>
      <c r="I92" s="21">
        <f>F92*$W$25</f>
        <v>3.1706865016461405</v>
      </c>
      <c r="J92" s="21">
        <f t="shared" si="7"/>
        <v>164357.478356298</v>
      </c>
      <c r="K92" s="21">
        <f t="shared" si="8"/>
        <v>20292.393610535299</v>
      </c>
      <c r="L92" s="7" t="s">
        <v>10</v>
      </c>
      <c r="M92" s="4">
        <v>-6400</v>
      </c>
      <c r="N92" s="4"/>
      <c r="O92" s="4">
        <v>7.67</v>
      </c>
      <c r="P92" s="4"/>
      <c r="Q92" s="3"/>
      <c r="R92" s="56"/>
      <c r="S92" s="56"/>
      <c r="U92" s="84"/>
      <c r="W92" s="15"/>
    </row>
    <row r="93" spans="1:31">
      <c r="A93" s="3">
        <v>43388</v>
      </c>
      <c r="B93" s="72" t="s">
        <v>22</v>
      </c>
      <c r="C93" s="72" t="s">
        <v>100</v>
      </c>
      <c r="D93" s="3" t="s">
        <v>11</v>
      </c>
      <c r="E93" s="21">
        <v>0.64</v>
      </c>
      <c r="F93" s="21">
        <v>0.64</v>
      </c>
      <c r="G93" s="20">
        <v>10000</v>
      </c>
      <c r="H93" s="21">
        <f>F93*$U$27</f>
        <v>20.191530112789955</v>
      </c>
      <c r="I93" s="21">
        <f>F93*$W$27</f>
        <v>1.1168333688018728</v>
      </c>
      <c r="J93" s="21">
        <f t="shared" si="7"/>
        <v>128902.3244094488</v>
      </c>
      <c r="K93" s="21">
        <f t="shared" si="8"/>
        <v>7129.8418897637794</v>
      </c>
      <c r="L93" s="5" t="s">
        <v>24</v>
      </c>
      <c r="M93" s="1">
        <v>-6383.98</v>
      </c>
      <c r="N93" s="1"/>
      <c r="O93" s="4">
        <v>1.28</v>
      </c>
      <c r="P93" s="4"/>
      <c r="Q93" s="3"/>
      <c r="R93" s="56"/>
      <c r="S93" s="56"/>
      <c r="U93" s="84"/>
      <c r="W93" s="15"/>
    </row>
    <row r="94" spans="1:31">
      <c r="A94" s="3">
        <v>43388</v>
      </c>
      <c r="B94" s="3" t="s">
        <v>15</v>
      </c>
      <c r="C94" s="3" t="s">
        <v>91</v>
      </c>
      <c r="D94" s="3" t="s">
        <v>11</v>
      </c>
      <c r="E94" s="21">
        <v>0.47689999999999999</v>
      </c>
      <c r="F94" s="21">
        <v>0.47689999999999999</v>
      </c>
      <c r="G94" s="20">
        <v>13403.92</v>
      </c>
      <c r="H94" s="21">
        <f>F94*$U$29</f>
        <v>23.021556733053171</v>
      </c>
      <c r="I94" s="21">
        <f>F94*$W$29</f>
        <v>1.8734423533710944</v>
      </c>
      <c r="J94" s="21">
        <f t="shared" si="7"/>
        <v>147337.9630915403</v>
      </c>
      <c r="K94" s="21">
        <f t="shared" si="8"/>
        <v>11990.031061575004</v>
      </c>
      <c r="L94" s="7" t="s">
        <v>10</v>
      </c>
      <c r="M94" s="4">
        <v>-6400</v>
      </c>
      <c r="N94" s="4"/>
      <c r="O94" s="4">
        <v>7.67</v>
      </c>
      <c r="P94" s="4"/>
      <c r="Q94" s="3"/>
      <c r="R94" s="56"/>
      <c r="S94" s="56"/>
      <c r="U94" s="84"/>
      <c r="W94" s="15"/>
    </row>
    <row r="95" spans="1:31">
      <c r="A95" s="3">
        <v>43388</v>
      </c>
      <c r="B95" s="3" t="s">
        <v>2</v>
      </c>
      <c r="C95" s="3" t="s">
        <v>76</v>
      </c>
      <c r="D95" s="3" t="s">
        <v>11</v>
      </c>
      <c r="E95" s="21">
        <v>0.69510000000000005</v>
      </c>
      <c r="F95" s="21">
        <v>0.69510000000000005</v>
      </c>
      <c r="G95" s="20">
        <v>9196.2739999999994</v>
      </c>
      <c r="H95" s="21">
        <f>F95*$U$25</f>
        <v>25.537572247286917</v>
      </c>
      <c r="I95" s="21">
        <f>F95*$W$25</f>
        <v>3.1529959761004758</v>
      </c>
      <c r="J95" s="21">
        <f t="shared" si="7"/>
        <v>163440.46238263627</v>
      </c>
      <c r="K95" s="21">
        <f t="shared" si="8"/>
        <v>20179.174247043044</v>
      </c>
      <c r="L95" s="7" t="s">
        <v>10</v>
      </c>
      <c r="M95" s="4">
        <v>-6400</v>
      </c>
      <c r="N95" s="4"/>
      <c r="O95" s="4">
        <v>7.67</v>
      </c>
      <c r="P95" s="4"/>
      <c r="Q95" s="3"/>
      <c r="R95" s="56"/>
      <c r="S95" s="56"/>
      <c r="U95" s="84"/>
      <c r="W95" s="15"/>
    </row>
    <row r="96" spans="1:31">
      <c r="A96" s="59">
        <v>43403</v>
      </c>
      <c r="B96" s="59" t="s">
        <v>4</v>
      </c>
      <c r="C96" s="59" t="s">
        <v>80</v>
      </c>
      <c r="D96" s="59" t="s">
        <v>11</v>
      </c>
      <c r="E96" s="60">
        <v>0.95799999999999996</v>
      </c>
      <c r="F96" s="60">
        <v>2.536</v>
      </c>
      <c r="G96" s="61">
        <v>6670.57</v>
      </c>
      <c r="H96" s="21">
        <f>F96*$U$15</f>
        <v>9.2432762472077439</v>
      </c>
      <c r="I96" s="21">
        <f>F96*$W$15</f>
        <v>0.96303797468354435</v>
      </c>
      <c r="J96" s="21">
        <f t="shared" si="7"/>
        <v>59156.967982129558</v>
      </c>
      <c r="K96" s="21">
        <f t="shared" si="8"/>
        <v>6163.4430379746836</v>
      </c>
      <c r="L96" s="7" t="s">
        <v>10</v>
      </c>
      <c r="M96" s="4">
        <v>-6400</v>
      </c>
      <c r="N96" s="4"/>
      <c r="O96" s="4">
        <v>9.59</v>
      </c>
      <c r="P96" s="4"/>
      <c r="Q96" s="3"/>
      <c r="R96" s="56"/>
      <c r="S96" s="56"/>
      <c r="U96" s="84"/>
      <c r="W96" s="15"/>
    </row>
    <row r="97" spans="1:23">
      <c r="A97" s="3">
        <v>43403</v>
      </c>
      <c r="B97" s="62" t="s">
        <v>141</v>
      </c>
      <c r="C97" s="62" t="s">
        <v>108</v>
      </c>
      <c r="D97" s="59" t="s">
        <v>11</v>
      </c>
      <c r="E97" s="60">
        <v>1.5649999999999999</v>
      </c>
      <c r="F97" s="60">
        <v>1.5649999999999999</v>
      </c>
      <c r="G97" s="61">
        <v>4084.56</v>
      </c>
      <c r="H97" s="21">
        <f>F97*$U$18</f>
        <v>10.302382172131148</v>
      </c>
      <c r="I97" s="21">
        <f>F97*$W$18</f>
        <v>1.1625256147540983</v>
      </c>
      <c r="J97" s="21">
        <f t="shared" si="7"/>
        <v>65935.245901639355</v>
      </c>
      <c r="K97" s="21">
        <f t="shared" si="8"/>
        <v>7440.1639344262294</v>
      </c>
      <c r="L97" s="7" t="s">
        <v>10</v>
      </c>
      <c r="M97" s="1">
        <v>-6400</v>
      </c>
      <c r="N97" s="1"/>
      <c r="O97" s="4">
        <v>7.67</v>
      </c>
      <c r="P97" s="4"/>
      <c r="Q97" s="3"/>
      <c r="R97" s="56"/>
      <c r="S97" s="56"/>
      <c r="U97" s="84"/>
      <c r="W97" s="15"/>
    </row>
    <row r="98" spans="1:23">
      <c r="A98" s="3">
        <v>43403</v>
      </c>
      <c r="B98" s="72" t="s">
        <v>7289</v>
      </c>
      <c r="C98" s="72" t="s">
        <v>7290</v>
      </c>
      <c r="D98" s="3" t="s">
        <v>11</v>
      </c>
      <c r="E98" s="21">
        <v>1.6359999999999999</v>
      </c>
      <c r="F98" s="21">
        <v>1.6359999999999999</v>
      </c>
      <c r="G98" s="21">
        <v>3906.12</v>
      </c>
      <c r="H98" s="21">
        <f>F98*$U$20</f>
        <v>19.168619460010188</v>
      </c>
      <c r="I98" s="21">
        <f>F98*$W$20</f>
        <v>1.5084870096790624</v>
      </c>
      <c r="J98" s="21">
        <f t="shared" si="7"/>
        <v>122679.16454406521</v>
      </c>
      <c r="K98" s="21">
        <f t="shared" si="8"/>
        <v>9654.3168619459993</v>
      </c>
      <c r="L98" s="7" t="s">
        <v>10</v>
      </c>
      <c r="M98" s="1">
        <v>-6400</v>
      </c>
      <c r="N98" s="1"/>
      <c r="O98" s="4">
        <v>9.59</v>
      </c>
      <c r="P98" s="4"/>
      <c r="Q98" s="3"/>
      <c r="R98" s="56"/>
      <c r="S98" s="56"/>
      <c r="U98" s="84"/>
      <c r="W98" s="15"/>
    </row>
    <row r="99" spans="1:23">
      <c r="A99" s="3">
        <v>43403</v>
      </c>
      <c r="B99" s="72" t="s">
        <v>7291</v>
      </c>
      <c r="C99" s="72" t="s">
        <v>7292</v>
      </c>
      <c r="D99" s="3" t="s">
        <v>11</v>
      </c>
      <c r="E99" s="21">
        <v>1.7130000000000001</v>
      </c>
      <c r="F99" s="21">
        <v>1.7130000000000001</v>
      </c>
      <c r="G99" s="21">
        <v>3730.54</v>
      </c>
      <c r="H99" s="21">
        <f>F99*$U$32</f>
        <v>20.169002079002077</v>
      </c>
      <c r="I99" s="21">
        <f>F99*$W$32</f>
        <v>3.7631392931392931</v>
      </c>
      <c r="J99" s="21">
        <f t="shared" si="7"/>
        <v>129081.6133056133</v>
      </c>
      <c r="K99" s="21">
        <f t="shared" si="8"/>
        <v>24084.091476091475</v>
      </c>
      <c r="L99" s="7" t="s">
        <v>10</v>
      </c>
      <c r="M99" s="1">
        <v>-6400</v>
      </c>
      <c r="N99" s="1"/>
      <c r="O99" s="4">
        <v>9.59</v>
      </c>
      <c r="P99" s="4"/>
      <c r="Q99" s="3"/>
      <c r="R99" s="56"/>
      <c r="S99" s="56"/>
      <c r="U99" s="84"/>
      <c r="W99" s="15"/>
    </row>
    <row r="100" spans="1:23">
      <c r="A100" s="3">
        <v>43403</v>
      </c>
      <c r="B100" s="58" t="s">
        <v>7293</v>
      </c>
      <c r="C100" s="58" t="s">
        <v>37</v>
      </c>
      <c r="D100" s="3" t="s">
        <v>7294</v>
      </c>
      <c r="E100" s="21">
        <v>1.3342000000000001</v>
      </c>
      <c r="F100" s="21">
        <v>1.3342000000000001</v>
      </c>
      <c r="G100" s="21">
        <v>4791.13</v>
      </c>
      <c r="H100" s="21">
        <f>F100*$U$23</f>
        <v>43.841385435168746</v>
      </c>
      <c r="I100" s="21">
        <f>F100*$W$23</f>
        <v>3.7047945529899353</v>
      </c>
      <c r="J100" s="21">
        <f>H100*(-M100)</f>
        <v>280584.86678508</v>
      </c>
      <c r="K100" s="21">
        <f>I100*(-$M100)</f>
        <v>23710.685139135585</v>
      </c>
      <c r="L100" s="7" t="s">
        <v>10</v>
      </c>
      <c r="M100" s="1">
        <v>-6400</v>
      </c>
      <c r="N100" s="1"/>
      <c r="O100" s="4">
        <v>7.67</v>
      </c>
      <c r="P100" s="4"/>
      <c r="Q100" s="3"/>
      <c r="R100" s="56"/>
      <c r="S100" s="56"/>
      <c r="U100" s="84"/>
      <c r="W100" s="15"/>
    </row>
    <row r="101" spans="1:23">
      <c r="A101" s="3">
        <v>43403</v>
      </c>
      <c r="B101" s="58" t="s">
        <v>31</v>
      </c>
      <c r="C101" s="58" t="s">
        <v>96</v>
      </c>
      <c r="D101" s="3" t="s">
        <v>11</v>
      </c>
      <c r="E101" s="21">
        <v>0.98080000000000001</v>
      </c>
      <c r="F101" s="21">
        <v>3.6057999999999999</v>
      </c>
      <c r="G101" s="21">
        <v>6518.77</v>
      </c>
      <c r="H101" s="21"/>
      <c r="I101" s="21"/>
      <c r="J101" s="21">
        <f>H101*(-$M101)</f>
        <v>0</v>
      </c>
      <c r="K101" s="21">
        <f>I101*(-$M101)</f>
        <v>0</v>
      </c>
      <c r="L101" s="7" t="s">
        <v>10</v>
      </c>
      <c r="M101" s="1">
        <v>-6400</v>
      </c>
      <c r="N101" s="1"/>
      <c r="O101" s="4">
        <v>6.39</v>
      </c>
      <c r="Q101" s="3"/>
      <c r="R101" s="56"/>
      <c r="S101" s="56"/>
      <c r="U101" s="84"/>
      <c r="W101" s="15"/>
    </row>
    <row r="102" spans="1:23">
      <c r="A102" s="3">
        <v>43403</v>
      </c>
      <c r="B102" s="3" t="s">
        <v>5</v>
      </c>
      <c r="C102" s="3" t="s">
        <v>101</v>
      </c>
      <c r="D102" s="3" t="s">
        <v>11</v>
      </c>
      <c r="E102" s="21">
        <v>0.80369999999999997</v>
      </c>
      <c r="F102" s="21">
        <v>0.80369999999999997</v>
      </c>
      <c r="G102" s="21">
        <v>7953.63</v>
      </c>
      <c r="H102" s="21">
        <f>F102*$U$26</f>
        <v>19.826021220159149</v>
      </c>
      <c r="I102" s="21">
        <f>E102*$W$26</f>
        <v>2.6178875331564986</v>
      </c>
      <c r="J102" s="21">
        <f>H102*(-$M102)</f>
        <v>126886.53580901855</v>
      </c>
      <c r="K102" s="21">
        <f>I102*(-$M102)</f>
        <v>16754.48021220159</v>
      </c>
      <c r="L102" s="7" t="s">
        <v>10</v>
      </c>
      <c r="M102" s="4">
        <v>-6400</v>
      </c>
      <c r="N102" s="4"/>
      <c r="O102" s="4">
        <v>7.67</v>
      </c>
      <c r="P102" s="4"/>
      <c r="Q102" s="3"/>
      <c r="R102" s="56"/>
      <c r="S102" s="56"/>
      <c r="U102" s="85"/>
      <c r="W102" s="15"/>
    </row>
    <row r="103" spans="1:23">
      <c r="A103" s="3">
        <v>43403</v>
      </c>
      <c r="B103" s="3" t="s">
        <v>7</v>
      </c>
      <c r="C103" s="3" t="s">
        <v>109</v>
      </c>
      <c r="D103" s="14" t="s">
        <v>12</v>
      </c>
      <c r="E103" s="22">
        <v>1.2569999999999999</v>
      </c>
      <c r="F103" s="22">
        <v>1.2569999999999999</v>
      </c>
      <c r="G103" s="22">
        <v>5451.73</v>
      </c>
      <c r="H103" s="21"/>
      <c r="I103" s="21"/>
      <c r="J103" s="21">
        <f>H103*(-$M103)</f>
        <v>0</v>
      </c>
      <c r="K103" s="21">
        <f>I103*(-$M103)</f>
        <v>0</v>
      </c>
      <c r="L103" s="7" t="s">
        <v>10</v>
      </c>
      <c r="M103" s="13">
        <v>6852.82</v>
      </c>
      <c r="N103" s="13">
        <f>M103-6400</f>
        <v>452.81999999999971</v>
      </c>
      <c r="O103" s="4">
        <v>0</v>
      </c>
      <c r="P103" s="4"/>
      <c r="Q103" s="3"/>
      <c r="R103" s="56"/>
      <c r="S103" s="56"/>
      <c r="U103" s="85"/>
      <c r="V103" s="15"/>
      <c r="W103" s="15"/>
    </row>
    <row r="104" spans="1:23">
      <c r="A104" s="59">
        <v>43419</v>
      </c>
      <c r="B104" s="59" t="s">
        <v>4</v>
      </c>
      <c r="C104" s="59" t="s">
        <v>80</v>
      </c>
      <c r="D104" s="59" t="s">
        <v>11</v>
      </c>
      <c r="E104" s="60">
        <v>0.99199999999999999</v>
      </c>
      <c r="F104" s="60">
        <v>2.5739999999999998</v>
      </c>
      <c r="G104" s="61">
        <v>6441.95</v>
      </c>
      <c r="H104" s="21">
        <f>F104*$U$15</f>
        <v>9.3817795979151146</v>
      </c>
      <c r="I104" s="21">
        <f>F104*$W$15</f>
        <v>0.97746835443037972</v>
      </c>
      <c r="J104" s="21">
        <f>H104*(-$M104)</f>
        <v>60043.389426656737</v>
      </c>
      <c r="K104" s="21">
        <f>I104*(-$M104)</f>
        <v>6255.7974683544298</v>
      </c>
      <c r="L104" s="7" t="s">
        <v>10</v>
      </c>
      <c r="M104" s="4">
        <v>-6400</v>
      </c>
      <c r="N104" s="4"/>
      <c r="O104" s="4">
        <v>9.59</v>
      </c>
      <c r="P104" s="4"/>
      <c r="Q104" s="3"/>
      <c r="R104" s="56"/>
      <c r="S104" s="56"/>
      <c r="U104" s="85"/>
      <c r="V104" s="15"/>
      <c r="W104" s="15"/>
    </row>
    <row r="105" spans="1:23">
      <c r="A105" s="59">
        <v>43419</v>
      </c>
      <c r="B105" s="39" t="s">
        <v>7296</v>
      </c>
      <c r="C105" s="39" t="s">
        <v>7298</v>
      </c>
      <c r="D105" s="59" t="s">
        <v>11</v>
      </c>
      <c r="E105" s="21">
        <v>1.1579999999999999</v>
      </c>
      <c r="F105" s="21">
        <v>1.1579999999999999</v>
      </c>
      <c r="G105" s="20">
        <v>11040.29</v>
      </c>
      <c r="H105" s="21"/>
      <c r="I105" s="21"/>
      <c r="J105" s="21"/>
      <c r="K105" s="21"/>
      <c r="L105" s="7" t="s">
        <v>10</v>
      </c>
      <c r="M105" s="1">
        <v>-12800</v>
      </c>
      <c r="N105" s="1"/>
      <c r="O105" s="4">
        <v>15.34</v>
      </c>
      <c r="P105" s="4"/>
      <c r="Q105" s="3"/>
      <c r="R105" s="56"/>
      <c r="S105" s="56"/>
      <c r="U105" s="85"/>
      <c r="V105" s="15"/>
      <c r="W105" s="15"/>
    </row>
    <row r="106" spans="1:23">
      <c r="A106" s="59">
        <v>43420</v>
      </c>
      <c r="B106" s="72" t="s">
        <v>7289</v>
      </c>
      <c r="C106" s="72" t="s">
        <v>7290</v>
      </c>
      <c r="D106" s="14" t="s">
        <v>44</v>
      </c>
      <c r="E106" s="22">
        <v>1.591</v>
      </c>
      <c r="F106" s="22">
        <v>1.7709999999999999</v>
      </c>
      <c r="G106" s="22">
        <v>441.92</v>
      </c>
      <c r="H106" s="21">
        <f>F106*$U$20</f>
        <v>20.750382068262862</v>
      </c>
      <c r="I106" s="21">
        <f>F106*$W$20</f>
        <v>1.6329648497198164</v>
      </c>
      <c r="J106" s="21">
        <f t="shared" ref="J106:J120" si="11">H106*(-$M106)</f>
        <v>0</v>
      </c>
      <c r="K106" s="21">
        <f t="shared" ref="K106:K120" si="12">I106*(-$M106)</f>
        <v>0</v>
      </c>
      <c r="L106" s="7" t="s">
        <v>10</v>
      </c>
      <c r="M106" s="67">
        <v>0</v>
      </c>
      <c r="N106" s="67"/>
      <c r="O106" s="4">
        <v>0</v>
      </c>
      <c r="P106" s="4"/>
      <c r="Q106" s="3"/>
      <c r="R106" s="56"/>
      <c r="S106" s="56"/>
      <c r="U106" s="85"/>
      <c r="V106" s="15"/>
      <c r="W106" s="15"/>
    </row>
    <row r="107" spans="1:23">
      <c r="A107" s="59">
        <v>43420</v>
      </c>
      <c r="B107" s="62" t="s">
        <v>141</v>
      </c>
      <c r="C107" s="62" t="s">
        <v>108</v>
      </c>
      <c r="D107" s="14" t="s">
        <v>44</v>
      </c>
      <c r="E107" s="22">
        <v>1.4610000000000001</v>
      </c>
      <c r="F107" s="22">
        <v>1.621</v>
      </c>
      <c r="G107" s="22">
        <v>855.99</v>
      </c>
      <c r="H107" s="21">
        <f>F107*$U$18</f>
        <v>10.671029713114754</v>
      </c>
      <c r="I107" s="21">
        <f>F107*$W$18</f>
        <v>1.2041239754098361</v>
      </c>
      <c r="J107" s="21">
        <f t="shared" si="11"/>
        <v>0</v>
      </c>
      <c r="K107" s="21">
        <f t="shared" si="12"/>
        <v>0</v>
      </c>
      <c r="L107" s="7" t="s">
        <v>10</v>
      </c>
      <c r="M107" s="67">
        <v>0</v>
      </c>
      <c r="N107" s="67"/>
      <c r="O107" s="4">
        <v>0</v>
      </c>
      <c r="P107" s="4"/>
      <c r="Q107" s="3"/>
      <c r="R107" s="56"/>
      <c r="S107" s="56"/>
      <c r="U107" s="85"/>
      <c r="V107" s="15"/>
      <c r="W107" s="15"/>
    </row>
    <row r="108" spans="1:23">
      <c r="A108" s="3">
        <v>43434</v>
      </c>
      <c r="B108" s="3" t="s">
        <v>6</v>
      </c>
      <c r="C108" s="3" t="s">
        <v>81</v>
      </c>
      <c r="D108" s="14" t="s">
        <v>12</v>
      </c>
      <c r="E108" s="22">
        <v>1.0285</v>
      </c>
      <c r="F108" s="22">
        <v>1.0285</v>
      </c>
      <c r="G108" s="23">
        <v>4205.5</v>
      </c>
      <c r="H108" s="21"/>
      <c r="I108" s="21"/>
      <c r="J108" s="21">
        <f t="shared" si="11"/>
        <v>0</v>
      </c>
      <c r="K108" s="21">
        <f t="shared" si="12"/>
        <v>0</v>
      </c>
      <c r="L108" s="7" t="s">
        <v>10</v>
      </c>
      <c r="M108" s="13">
        <v>4323.3</v>
      </c>
      <c r="N108" s="13">
        <v>948.08</v>
      </c>
      <c r="O108" s="4">
        <v>2.16</v>
      </c>
      <c r="P108" s="4"/>
      <c r="Q108" s="3"/>
      <c r="R108" s="56"/>
      <c r="S108" s="56"/>
      <c r="U108" s="85"/>
      <c r="V108" s="15"/>
      <c r="W108" s="15"/>
    </row>
    <row r="109" spans="1:23">
      <c r="A109" s="3">
        <v>43434</v>
      </c>
      <c r="B109" s="66" t="s">
        <v>7289</v>
      </c>
      <c r="C109" s="66" t="s">
        <v>7290</v>
      </c>
      <c r="D109" s="3" t="s">
        <v>11</v>
      </c>
      <c r="E109" s="21">
        <v>1.518</v>
      </c>
      <c r="F109" s="21">
        <v>1.518</v>
      </c>
      <c r="G109" s="21">
        <v>4209.76</v>
      </c>
      <c r="H109" s="21">
        <f>F109*$U$20</f>
        <v>17.786041772796739</v>
      </c>
      <c r="I109" s="21">
        <f>F109*$W$20</f>
        <v>1.3996841569026999</v>
      </c>
      <c r="J109" s="21">
        <f t="shared" si="11"/>
        <v>113830.66734589913</v>
      </c>
      <c r="K109" s="21">
        <f t="shared" si="12"/>
        <v>8957.9786041772786</v>
      </c>
      <c r="L109" s="7" t="s">
        <v>10</v>
      </c>
      <c r="M109" s="1">
        <v>-6400</v>
      </c>
      <c r="N109" s="1"/>
      <c r="O109" s="4">
        <v>9.59</v>
      </c>
      <c r="P109" s="4"/>
      <c r="Q109" s="3"/>
      <c r="R109" s="56"/>
      <c r="S109" s="56"/>
      <c r="U109" s="85"/>
      <c r="V109" s="15"/>
      <c r="W109" s="15"/>
    </row>
    <row r="110" spans="1:23">
      <c r="A110" s="3">
        <v>43434</v>
      </c>
      <c r="B110" s="62" t="s">
        <v>7300</v>
      </c>
      <c r="C110" s="62" t="s">
        <v>7301</v>
      </c>
      <c r="D110" s="3" t="s">
        <v>11</v>
      </c>
      <c r="E110" s="21">
        <v>1.4501999999999999</v>
      </c>
      <c r="F110" s="21">
        <v>1.4501999999999999</v>
      </c>
      <c r="G110" s="21">
        <v>4407.8999999999996</v>
      </c>
      <c r="H110" s="21">
        <f>F110*$U$35</f>
        <v>9.1889757027155774</v>
      </c>
      <c r="I110" s="21">
        <f>F110*$W$35</f>
        <v>1.0067406247873136</v>
      </c>
      <c r="J110" s="21">
        <f t="shared" si="11"/>
        <v>58809.444497379693</v>
      </c>
      <c r="K110" s="21">
        <f t="shared" si="12"/>
        <v>6443.1399986388069</v>
      </c>
      <c r="L110" s="7" t="s">
        <v>10</v>
      </c>
      <c r="M110" s="1">
        <v>-6400</v>
      </c>
      <c r="N110" s="1"/>
      <c r="O110" s="4">
        <v>7.67</v>
      </c>
      <c r="P110" s="4"/>
      <c r="Q110" s="3"/>
      <c r="R110" s="56"/>
      <c r="S110" s="56"/>
      <c r="U110" s="85"/>
      <c r="V110" s="15"/>
      <c r="W110" s="15"/>
    </row>
    <row r="111" spans="1:23">
      <c r="A111" s="3">
        <v>43434</v>
      </c>
      <c r="B111" s="62" t="s">
        <v>7302</v>
      </c>
      <c r="C111" s="62" t="s">
        <v>7303</v>
      </c>
      <c r="D111" s="3" t="s">
        <v>11</v>
      </c>
      <c r="E111" s="21">
        <v>0.56699999999999995</v>
      </c>
      <c r="F111" s="21">
        <v>0.56699999999999995</v>
      </c>
      <c r="G111" s="21">
        <v>11270.56</v>
      </c>
      <c r="H111" s="21"/>
      <c r="I111" s="21"/>
      <c r="J111" s="21">
        <f t="shared" si="11"/>
        <v>0</v>
      </c>
      <c r="K111" s="21">
        <f t="shared" si="12"/>
        <v>0</v>
      </c>
      <c r="L111" s="7" t="s">
        <v>10</v>
      </c>
      <c r="M111" s="1">
        <v>-6400</v>
      </c>
      <c r="N111" s="1"/>
      <c r="O111" s="4">
        <v>9.59</v>
      </c>
      <c r="P111" s="4"/>
      <c r="Q111" s="3"/>
      <c r="R111" s="56"/>
      <c r="S111" s="56"/>
      <c r="U111" s="85"/>
      <c r="V111" s="15"/>
      <c r="W111" s="15"/>
    </row>
    <row r="112" spans="1:23">
      <c r="A112" s="3">
        <v>43434</v>
      </c>
      <c r="B112" s="66" t="s">
        <v>31</v>
      </c>
      <c r="C112" s="66" t="s">
        <v>96</v>
      </c>
      <c r="D112" s="3" t="s">
        <v>11</v>
      </c>
      <c r="E112" s="21">
        <v>1.0041</v>
      </c>
      <c r="F112" s="21">
        <v>3.6291000000000002</v>
      </c>
      <c r="G112" s="21">
        <v>6367.5</v>
      </c>
      <c r="H112" s="21"/>
      <c r="I112" s="21"/>
      <c r="J112" s="21">
        <f t="shared" si="11"/>
        <v>0</v>
      </c>
      <c r="K112" s="21">
        <f t="shared" si="12"/>
        <v>0</v>
      </c>
      <c r="L112" s="7" t="s">
        <v>10</v>
      </c>
      <c r="M112" s="1">
        <v>-6400</v>
      </c>
      <c r="N112" s="1"/>
      <c r="O112" s="4">
        <v>6.39</v>
      </c>
      <c r="P112" s="4"/>
      <c r="Q112" s="3"/>
      <c r="R112" s="56"/>
      <c r="S112" s="56"/>
      <c r="U112" s="85"/>
      <c r="V112" s="15"/>
      <c r="W112" s="15"/>
    </row>
    <row r="113" spans="1:23">
      <c r="A113" s="3">
        <v>43434</v>
      </c>
      <c r="B113" s="3" t="s">
        <v>3</v>
      </c>
      <c r="C113" s="3" t="s">
        <v>70</v>
      </c>
      <c r="D113" s="3" t="s">
        <v>11</v>
      </c>
      <c r="E113" s="21">
        <v>1.079</v>
      </c>
      <c r="F113" s="21">
        <v>1.079</v>
      </c>
      <c r="G113" s="20">
        <v>5924.31</v>
      </c>
      <c r="H113" s="21">
        <f>$F113*$U$34</f>
        <v>19.153677248677251</v>
      </c>
      <c r="I113" s="21">
        <f>$F113*$W$34</f>
        <v>1.5414285714285716</v>
      </c>
      <c r="J113" s="21">
        <f t="shared" si="11"/>
        <v>122583.53439153441</v>
      </c>
      <c r="K113" s="21">
        <f t="shared" si="12"/>
        <v>9865.1428571428587</v>
      </c>
      <c r="L113" s="7" t="s">
        <v>10</v>
      </c>
      <c r="M113" s="4">
        <v>-6400</v>
      </c>
      <c r="N113" s="4"/>
      <c r="O113" s="4">
        <v>7.67</v>
      </c>
      <c r="P113" s="4"/>
      <c r="Q113" s="3"/>
      <c r="R113" s="56"/>
      <c r="S113" s="56"/>
      <c r="U113" s="85"/>
      <c r="V113" s="15"/>
      <c r="W113" s="15"/>
    </row>
    <row r="114" spans="1:23">
      <c r="A114" s="3">
        <v>43461</v>
      </c>
      <c r="B114" s="62" t="s">
        <v>7302</v>
      </c>
      <c r="C114" s="62" t="s">
        <v>7303</v>
      </c>
      <c r="D114" s="3" t="s">
        <v>11</v>
      </c>
      <c r="E114" s="60">
        <v>0.46700000000000003</v>
      </c>
      <c r="F114" s="60">
        <v>0.46700000000000003</v>
      </c>
      <c r="G114" s="61">
        <v>13683.96</v>
      </c>
      <c r="H114" s="21"/>
      <c r="I114" s="21"/>
      <c r="J114" s="21">
        <f t="shared" si="11"/>
        <v>0</v>
      </c>
      <c r="K114" s="21">
        <f t="shared" si="12"/>
        <v>0</v>
      </c>
      <c r="L114" s="7" t="s">
        <v>10</v>
      </c>
      <c r="M114" s="1">
        <v>-6400</v>
      </c>
      <c r="N114" s="1"/>
      <c r="O114" s="4">
        <v>9.59</v>
      </c>
      <c r="Q114" s="3"/>
      <c r="R114" s="56"/>
      <c r="S114" s="56"/>
      <c r="U114" s="85"/>
      <c r="V114" s="15"/>
      <c r="W114" s="15"/>
    </row>
    <row r="115" spans="1:23">
      <c r="A115" s="3">
        <v>43461</v>
      </c>
      <c r="B115" s="59" t="s">
        <v>4</v>
      </c>
      <c r="C115" s="59" t="s">
        <v>80</v>
      </c>
      <c r="D115" s="59" t="s">
        <v>11</v>
      </c>
      <c r="E115" s="60">
        <v>0.95799999999999996</v>
      </c>
      <c r="F115" s="60">
        <v>2.536</v>
      </c>
      <c r="G115" s="61">
        <v>6670.57</v>
      </c>
      <c r="H115" s="21">
        <f>F115*$U$15</f>
        <v>9.2432762472077439</v>
      </c>
      <c r="I115" s="21">
        <f>F115*$W$15</f>
        <v>0.96303797468354435</v>
      </c>
      <c r="J115" s="21">
        <f t="shared" si="11"/>
        <v>59156.967982129558</v>
      </c>
      <c r="K115" s="21">
        <f t="shared" si="12"/>
        <v>6163.4430379746836</v>
      </c>
      <c r="L115" s="7" t="s">
        <v>10</v>
      </c>
      <c r="M115" s="4">
        <v>-6400</v>
      </c>
      <c r="N115" s="4"/>
      <c r="O115" s="4">
        <v>9.59</v>
      </c>
      <c r="P115" s="4"/>
      <c r="Q115" s="3"/>
      <c r="R115" s="56"/>
      <c r="S115" s="56"/>
      <c r="U115" s="85"/>
      <c r="V115" s="15"/>
      <c r="W115" s="15"/>
    </row>
    <row r="116" spans="1:23">
      <c r="A116" s="3">
        <v>43461</v>
      </c>
      <c r="B116" s="3" t="s">
        <v>5</v>
      </c>
      <c r="C116" s="3" t="s">
        <v>101</v>
      </c>
      <c r="D116" s="3" t="s">
        <v>11</v>
      </c>
      <c r="E116" s="21">
        <v>0.81259999999999999</v>
      </c>
      <c r="F116" s="21">
        <v>0.81259999999999999</v>
      </c>
      <c r="G116" s="20">
        <v>7866.51</v>
      </c>
      <c r="H116" s="21">
        <f>F116*$U$26</f>
        <v>20.045570291777189</v>
      </c>
      <c r="I116" s="21">
        <f>E116*$W$26</f>
        <v>2.6468774535809017</v>
      </c>
      <c r="J116" s="21">
        <f t="shared" si="11"/>
        <v>128291.64986737401</v>
      </c>
      <c r="K116" s="21">
        <f t="shared" si="12"/>
        <v>16940.015702917772</v>
      </c>
      <c r="L116" s="7" t="s">
        <v>10</v>
      </c>
      <c r="M116" s="4">
        <v>-6400</v>
      </c>
      <c r="N116" s="4"/>
      <c r="O116" s="4">
        <v>7.67</v>
      </c>
      <c r="P116" s="4"/>
      <c r="Q116" s="3"/>
      <c r="R116" s="56"/>
      <c r="S116" s="56"/>
      <c r="U116" s="85"/>
      <c r="V116" s="15"/>
      <c r="W116" s="15"/>
    </row>
    <row r="117" spans="1:23">
      <c r="A117" s="3">
        <v>43480</v>
      </c>
      <c r="B117" s="72" t="s">
        <v>7312</v>
      </c>
      <c r="C117" s="72" t="s">
        <v>96</v>
      </c>
      <c r="D117" s="3" t="s">
        <v>11</v>
      </c>
      <c r="E117" s="21">
        <v>1.2000999999999999</v>
      </c>
      <c r="F117" s="21">
        <v>2.1600999999999999</v>
      </c>
      <c r="G117" s="21">
        <v>5328.62</v>
      </c>
      <c r="H117" s="21"/>
      <c r="I117" s="21"/>
      <c r="J117" s="21">
        <f t="shared" si="11"/>
        <v>0</v>
      </c>
      <c r="K117" s="21">
        <f t="shared" si="12"/>
        <v>0</v>
      </c>
      <c r="L117" s="7" t="s">
        <v>10</v>
      </c>
      <c r="M117" s="1">
        <v>-6400</v>
      </c>
      <c r="N117" s="1"/>
      <c r="O117" s="4">
        <v>5.12</v>
      </c>
      <c r="P117" s="4"/>
      <c r="Q117" s="3"/>
      <c r="R117" s="56"/>
      <c r="S117" s="56"/>
      <c r="U117" s="85"/>
      <c r="V117" s="15"/>
      <c r="W117" s="15"/>
    </row>
    <row r="118" spans="1:23">
      <c r="A118" s="3">
        <v>43480</v>
      </c>
      <c r="B118" s="3" t="s">
        <v>7</v>
      </c>
      <c r="C118" s="3" t="s">
        <v>109</v>
      </c>
      <c r="D118" s="14" t="s">
        <v>12</v>
      </c>
      <c r="E118" s="22">
        <v>1.244</v>
      </c>
      <c r="F118" s="22">
        <v>1.244</v>
      </c>
      <c r="G118" s="23">
        <v>5451.73</v>
      </c>
      <c r="H118" s="21"/>
      <c r="I118" s="21"/>
      <c r="J118" s="21">
        <f t="shared" si="11"/>
        <v>0</v>
      </c>
      <c r="K118" s="21">
        <f t="shared" si="12"/>
        <v>0</v>
      </c>
      <c r="L118" s="7" t="s">
        <v>10</v>
      </c>
      <c r="M118" s="13">
        <v>6781.95</v>
      </c>
      <c r="N118" s="13">
        <f>M118-6400</f>
        <v>381.94999999999982</v>
      </c>
      <c r="O118" s="4">
        <v>0</v>
      </c>
      <c r="P118" s="4"/>
      <c r="Q118" s="3"/>
      <c r="R118" s="56"/>
      <c r="S118" s="56"/>
      <c r="U118" s="85"/>
      <c r="V118" s="15"/>
      <c r="W118" s="15"/>
    </row>
    <row r="119" spans="1:23">
      <c r="A119" s="3">
        <v>43496</v>
      </c>
      <c r="B119" s="62" t="s">
        <v>141</v>
      </c>
      <c r="C119" s="62" t="s">
        <v>108</v>
      </c>
      <c r="D119" s="59" t="s">
        <v>11</v>
      </c>
      <c r="E119" s="21">
        <v>1.46</v>
      </c>
      <c r="F119" s="21">
        <v>1.62</v>
      </c>
      <c r="G119" s="21">
        <v>4378.3100000000004</v>
      </c>
      <c r="H119" s="21">
        <f>F119*$U$18</f>
        <v>10.664446721311476</v>
      </c>
      <c r="I119" s="21">
        <f>F119*$W$18</f>
        <v>1.2033811475409837</v>
      </c>
      <c r="J119" s="21">
        <f t="shared" si="11"/>
        <v>68252.459016393448</v>
      </c>
      <c r="K119" s="21">
        <f t="shared" si="12"/>
        <v>7701.6393442622957</v>
      </c>
      <c r="L119" s="7" t="s">
        <v>10</v>
      </c>
      <c r="M119" s="1">
        <v>-6400</v>
      </c>
      <c r="N119" s="1"/>
      <c r="O119" s="4">
        <v>7.67</v>
      </c>
      <c r="Q119" s="3"/>
      <c r="R119" s="56"/>
      <c r="S119" s="56"/>
      <c r="U119" s="85"/>
      <c r="V119" s="15"/>
      <c r="W119" s="15"/>
    </row>
    <row r="120" spans="1:23">
      <c r="A120" s="3">
        <v>43496</v>
      </c>
      <c r="B120" s="72" t="s">
        <v>7313</v>
      </c>
      <c r="C120" s="72" t="s">
        <v>96</v>
      </c>
      <c r="D120" s="3" t="s">
        <v>11</v>
      </c>
      <c r="E120" s="21">
        <v>1.554</v>
      </c>
      <c r="F120" s="21">
        <v>2.44</v>
      </c>
      <c r="G120" s="21">
        <v>4115.1099999999997</v>
      </c>
      <c r="H120" s="21"/>
      <c r="I120" s="21"/>
      <c r="J120" s="21">
        <f t="shared" si="11"/>
        <v>0</v>
      </c>
      <c r="K120" s="21">
        <f t="shared" si="12"/>
        <v>0</v>
      </c>
      <c r="L120" s="7" t="s">
        <v>10</v>
      </c>
      <c r="M120" s="1">
        <v>-6400</v>
      </c>
      <c r="N120" s="1"/>
      <c r="O120" s="4">
        <v>5.12</v>
      </c>
      <c r="P120" s="4"/>
      <c r="Q120" s="3"/>
      <c r="R120" s="56"/>
      <c r="S120" s="56"/>
      <c r="U120" s="85"/>
      <c r="V120" s="15"/>
      <c r="W120" s="15"/>
    </row>
    <row r="121" spans="1:23">
      <c r="A121" s="3">
        <v>43531</v>
      </c>
      <c r="B121" s="72" t="s">
        <v>18</v>
      </c>
      <c r="C121" s="72" t="s">
        <v>78</v>
      </c>
      <c r="D121" s="14" t="s">
        <v>12</v>
      </c>
      <c r="E121" s="22">
        <v>5.8310000000000004</v>
      </c>
      <c r="F121" s="22">
        <v>5.8310000000000004</v>
      </c>
      <c r="G121" s="23">
        <v>1400</v>
      </c>
      <c r="H121" s="21">
        <f>F121*$U$19</f>
        <v>25.112912890420198</v>
      </c>
      <c r="I121" s="21">
        <f>F121*$W$19</f>
        <v>1.9762770578982849</v>
      </c>
      <c r="J121" s="21">
        <v>0</v>
      </c>
      <c r="K121" s="21">
        <v>0</v>
      </c>
      <c r="L121" s="5" t="s">
        <v>24</v>
      </c>
      <c r="M121" s="67">
        <v>8163.4</v>
      </c>
      <c r="N121" s="67">
        <f>M121-6481.9</f>
        <v>1681.5</v>
      </c>
      <c r="O121" s="4">
        <v>1.63</v>
      </c>
      <c r="Q121" s="3"/>
      <c r="R121" s="56"/>
      <c r="S121" s="56"/>
      <c r="U121" s="85"/>
      <c r="V121" s="15"/>
      <c r="W121" s="15"/>
    </row>
    <row r="122" spans="1:23">
      <c r="A122" s="3">
        <v>43552</v>
      </c>
      <c r="B122" s="3" t="s">
        <v>3</v>
      </c>
      <c r="C122" s="3" t="s">
        <v>70</v>
      </c>
      <c r="D122" s="3" t="s">
        <v>11</v>
      </c>
      <c r="E122" s="21">
        <v>1.052</v>
      </c>
      <c r="F122" s="21">
        <v>1.052</v>
      </c>
      <c r="G122" s="20">
        <v>6076.36</v>
      </c>
      <c r="H122" s="21">
        <f>$F122*$U$34</f>
        <v>18.674391534391539</v>
      </c>
      <c r="I122" s="21">
        <f>$F122*$W$34</f>
        <v>1.5028571428571431</v>
      </c>
      <c r="J122" s="21">
        <f t="shared" ref="J122:J128" si="13">H122*(-$M122)</f>
        <v>119516.10582010585</v>
      </c>
      <c r="K122" s="21">
        <f t="shared" ref="K122:K128" si="14">I122*(-$M122)</f>
        <v>9618.2857142857156</v>
      </c>
      <c r="L122" s="7" t="s">
        <v>10</v>
      </c>
      <c r="M122" s="4">
        <v>-6400</v>
      </c>
      <c r="N122" s="4"/>
      <c r="O122" s="4">
        <v>7.67</v>
      </c>
      <c r="Q122" s="3"/>
      <c r="R122" s="56"/>
      <c r="S122" s="56"/>
      <c r="U122" s="84"/>
      <c r="V122" s="15"/>
      <c r="W122" s="15"/>
    </row>
    <row r="123" spans="1:23">
      <c r="A123" s="3">
        <v>43552</v>
      </c>
      <c r="B123" s="62" t="s">
        <v>7302</v>
      </c>
      <c r="C123" s="62" t="s">
        <v>7303</v>
      </c>
      <c r="D123" s="3" t="s">
        <v>11</v>
      </c>
      <c r="E123" s="21">
        <v>0.51900000000000002</v>
      </c>
      <c r="F123" s="21">
        <v>0.51900000000000002</v>
      </c>
      <c r="G123" s="21">
        <v>12312.93</v>
      </c>
      <c r="H123" s="21"/>
      <c r="I123" s="21"/>
      <c r="J123" s="21">
        <f t="shared" si="13"/>
        <v>0</v>
      </c>
      <c r="K123" s="21">
        <f t="shared" si="14"/>
        <v>0</v>
      </c>
      <c r="L123" s="7" t="s">
        <v>10</v>
      </c>
      <c r="M123" s="1">
        <v>-6400</v>
      </c>
      <c r="N123" s="1"/>
      <c r="O123" s="4">
        <v>9.59</v>
      </c>
      <c r="Q123" s="3"/>
      <c r="R123" s="56"/>
      <c r="S123" s="56"/>
      <c r="U123" s="84"/>
      <c r="V123" s="15"/>
      <c r="W123" s="15"/>
    </row>
    <row r="124" spans="1:23">
      <c r="A124" s="3">
        <v>43581</v>
      </c>
      <c r="B124" s="64" t="s">
        <v>7564</v>
      </c>
      <c r="C124" s="64" t="s">
        <v>7565</v>
      </c>
      <c r="D124" s="3" t="s">
        <v>7566</v>
      </c>
      <c r="E124" s="21">
        <v>0.81399999999999995</v>
      </c>
      <c r="F124" s="21">
        <v>0.81399999999999995</v>
      </c>
      <c r="G124" s="20">
        <v>7852.99</v>
      </c>
      <c r="H124" s="21">
        <f>$F124*$U$31</f>
        <v>35.904466534128559</v>
      </c>
      <c r="I124" s="21">
        <f>$F124*$W$31</f>
        <v>2.8913452617627571</v>
      </c>
      <c r="J124" s="21">
        <f t="shared" si="13"/>
        <v>229788.58581842278</v>
      </c>
      <c r="K124" s="21">
        <f t="shared" si="14"/>
        <v>18504.609675281645</v>
      </c>
      <c r="L124" s="7" t="s">
        <v>10</v>
      </c>
      <c r="M124" s="1">
        <v>-6400</v>
      </c>
      <c r="N124" s="1"/>
      <c r="O124" s="4">
        <v>7.67</v>
      </c>
      <c r="Q124" s="3"/>
      <c r="R124" s="56"/>
      <c r="S124" s="56"/>
      <c r="U124" s="84"/>
      <c r="V124" s="15"/>
      <c r="W124" s="15"/>
    </row>
    <row r="125" spans="1:23">
      <c r="A125" s="3">
        <v>43591</v>
      </c>
      <c r="B125" s="127" t="s">
        <v>57</v>
      </c>
      <c r="C125" s="127" t="s">
        <v>103</v>
      </c>
      <c r="D125" s="14" t="s">
        <v>12</v>
      </c>
      <c r="E125" s="22">
        <v>3.2240000000000002</v>
      </c>
      <c r="F125" s="22">
        <v>3.2240000000000002</v>
      </c>
      <c r="G125" s="23">
        <v>412.1</v>
      </c>
      <c r="H125" s="21"/>
      <c r="I125" s="21"/>
      <c r="J125" s="21">
        <f t="shared" si="13"/>
        <v>0</v>
      </c>
      <c r="K125" s="21">
        <f t="shared" si="14"/>
        <v>0</v>
      </c>
      <c r="L125" s="28" t="s">
        <v>67</v>
      </c>
      <c r="M125" s="67">
        <v>1328.61</v>
      </c>
      <c r="N125" s="67"/>
      <c r="O125" s="13">
        <v>0</v>
      </c>
      <c r="Q125" s="3"/>
      <c r="R125" s="56"/>
      <c r="S125" s="56"/>
      <c r="U125" s="84"/>
      <c r="V125" s="15"/>
      <c r="W125" s="15"/>
    </row>
    <row r="126" spans="1:23">
      <c r="A126" s="3">
        <v>43600</v>
      </c>
      <c r="B126" s="126" t="s">
        <v>7291</v>
      </c>
      <c r="C126" s="126" t="s">
        <v>7292</v>
      </c>
      <c r="D126" s="14" t="s">
        <v>12</v>
      </c>
      <c r="E126" s="22">
        <v>2.6779999999999999</v>
      </c>
      <c r="F126" s="22">
        <v>2.6779999999999999</v>
      </c>
      <c r="G126" s="22">
        <v>3730.54</v>
      </c>
      <c r="H126" s="21">
        <f>F126*$U$32</f>
        <v>31.530990990990983</v>
      </c>
      <c r="I126" s="21">
        <f>F126*$W$32</f>
        <v>5.8830630630630631</v>
      </c>
      <c r="J126" s="21">
        <f t="shared" si="13"/>
        <v>-313431.9240864864</v>
      </c>
      <c r="K126" s="21">
        <f t="shared" si="14"/>
        <v>-58480.235394594602</v>
      </c>
      <c r="L126" s="7" t="s">
        <v>10</v>
      </c>
      <c r="M126" s="67">
        <v>9940.44</v>
      </c>
      <c r="N126" s="67">
        <f>M126-6400</f>
        <v>3540.4400000000005</v>
      </c>
      <c r="O126" s="4">
        <v>49.95</v>
      </c>
      <c r="Q126" s="3"/>
      <c r="U126" s="25"/>
      <c r="V126" s="15"/>
    </row>
    <row r="127" spans="1:23">
      <c r="A127" s="3">
        <v>43600</v>
      </c>
      <c r="B127" s="126" t="s">
        <v>7313</v>
      </c>
      <c r="C127" s="126" t="s">
        <v>96</v>
      </c>
      <c r="D127" s="3" t="s">
        <v>11</v>
      </c>
      <c r="E127" s="21">
        <v>1.6220000000000001</v>
      </c>
      <c r="F127" s="21">
        <v>2.5430000000000001</v>
      </c>
      <c r="G127" s="21">
        <v>3942.59</v>
      </c>
      <c r="H127" s="21"/>
      <c r="I127" s="21"/>
      <c r="J127" s="21">
        <f t="shared" si="13"/>
        <v>0</v>
      </c>
      <c r="K127" s="21">
        <f t="shared" si="14"/>
        <v>0</v>
      </c>
      <c r="L127" s="7" t="s">
        <v>10</v>
      </c>
      <c r="M127" s="1">
        <v>-6400</v>
      </c>
      <c r="N127" s="1"/>
      <c r="O127" s="4">
        <v>5.12</v>
      </c>
      <c r="Q127" s="3"/>
      <c r="V127" s="15"/>
    </row>
    <row r="128" spans="1:23">
      <c r="A128" s="3">
        <v>43600</v>
      </c>
      <c r="B128" s="126" t="s">
        <v>36</v>
      </c>
      <c r="C128" s="126" t="s">
        <v>36</v>
      </c>
      <c r="D128" s="3" t="s">
        <v>11</v>
      </c>
      <c r="E128" s="21">
        <v>3.7160000000000002</v>
      </c>
      <c r="F128" s="21">
        <v>3.7160000000000002</v>
      </c>
      <c r="G128" s="20">
        <v>1700</v>
      </c>
      <c r="H128" s="21">
        <f>F128*$U$17</f>
        <v>12.307490076808083</v>
      </c>
      <c r="I128" s="21">
        <f>F128*$W$17</f>
        <v>1.3887829269549976</v>
      </c>
      <c r="J128" s="21">
        <f t="shared" si="13"/>
        <v>77764.383750708803</v>
      </c>
      <c r="K128" s="21">
        <f t="shared" si="14"/>
        <v>8774.9693726480746</v>
      </c>
      <c r="L128" s="5" t="s">
        <v>24</v>
      </c>
      <c r="M128" s="1">
        <v>-6318.46</v>
      </c>
      <c r="N128" s="1"/>
      <c r="O128" s="4">
        <v>1.26</v>
      </c>
      <c r="Q128" s="3"/>
      <c r="V128" s="15"/>
    </row>
    <row r="129" spans="1:22">
      <c r="A129" s="3">
        <v>43615</v>
      </c>
      <c r="B129" s="126" t="s">
        <v>7313</v>
      </c>
      <c r="C129" s="126" t="s">
        <v>96</v>
      </c>
      <c r="D129" s="3" t="s">
        <v>11</v>
      </c>
      <c r="E129" s="21">
        <v>1.5940000000000001</v>
      </c>
      <c r="F129" s="21">
        <v>2.5150000000000001</v>
      </c>
      <c r="G129" s="21">
        <v>4011.84</v>
      </c>
      <c r="H129" s="21"/>
      <c r="I129" s="21"/>
      <c r="J129" s="21">
        <f t="shared" ref="J129" si="15">H129*(-$M129)</f>
        <v>0</v>
      </c>
      <c r="K129" s="21">
        <f t="shared" ref="K129" si="16">I129*(-$M129)</f>
        <v>0</v>
      </c>
      <c r="L129" s="7" t="s">
        <v>10</v>
      </c>
      <c r="M129" s="1">
        <v>-6400</v>
      </c>
      <c r="N129" s="1"/>
      <c r="O129" s="4">
        <v>5.12</v>
      </c>
      <c r="Q129" s="3"/>
      <c r="V129" s="15"/>
    </row>
    <row r="130" spans="1:22">
      <c r="A130" s="3">
        <v>43615</v>
      </c>
      <c r="B130" s="126" t="s">
        <v>7296</v>
      </c>
      <c r="C130" s="126" t="s">
        <v>7298</v>
      </c>
      <c r="D130" s="59" t="s">
        <v>11</v>
      </c>
      <c r="E130" s="21">
        <v>1.1140000000000001</v>
      </c>
      <c r="F130" s="21">
        <v>1.1140000000000001</v>
      </c>
      <c r="G130" s="20">
        <v>5738.18</v>
      </c>
      <c r="H130" s="21"/>
      <c r="I130" s="21"/>
      <c r="J130" s="21"/>
      <c r="K130" s="21"/>
      <c r="L130" s="7" t="s">
        <v>10</v>
      </c>
      <c r="M130" s="4">
        <v>-6400</v>
      </c>
      <c r="N130" s="4"/>
      <c r="O130" s="4">
        <v>7.67</v>
      </c>
      <c r="Q130" s="3"/>
      <c r="V130" s="15"/>
    </row>
    <row r="131" spans="1:22">
      <c r="A131" s="3">
        <v>43620</v>
      </c>
      <c r="B131" s="127" t="s">
        <v>57</v>
      </c>
      <c r="C131" s="127" t="s">
        <v>103</v>
      </c>
      <c r="D131" s="14" t="s">
        <v>12</v>
      </c>
      <c r="E131" s="22">
        <v>3.282</v>
      </c>
      <c r="F131" s="22">
        <v>3.282</v>
      </c>
      <c r="G131" s="23">
        <v>400.5</v>
      </c>
      <c r="H131" s="21"/>
      <c r="I131" s="21"/>
      <c r="J131" s="21">
        <f t="shared" ref="J131:J135" si="17">H131*(-$M131)</f>
        <v>0</v>
      </c>
      <c r="K131" s="21">
        <f t="shared" ref="K131:K135" si="18">I131*(-$M131)</f>
        <v>0</v>
      </c>
      <c r="L131" s="28" t="s">
        <v>67</v>
      </c>
      <c r="M131" s="67">
        <v>1314.44</v>
      </c>
      <c r="N131" s="67"/>
      <c r="O131" s="13">
        <v>0</v>
      </c>
      <c r="Q131" s="3"/>
      <c r="V131" s="15"/>
    </row>
    <row r="132" spans="1:22">
      <c r="A132" s="3">
        <v>43634</v>
      </c>
      <c r="B132" s="127" t="s">
        <v>7313</v>
      </c>
      <c r="C132" s="127" t="s">
        <v>96</v>
      </c>
      <c r="D132" s="3" t="s">
        <v>11</v>
      </c>
      <c r="E132" s="21">
        <v>1.5820000000000001</v>
      </c>
      <c r="F132" s="21">
        <v>2.5030000000000001</v>
      </c>
      <c r="G132" s="21">
        <v>4042.28</v>
      </c>
      <c r="H132" s="21"/>
      <c r="I132" s="21"/>
      <c r="J132" s="21">
        <f t="shared" si="17"/>
        <v>0</v>
      </c>
      <c r="K132" s="21">
        <f t="shared" si="18"/>
        <v>0</v>
      </c>
      <c r="L132" s="7" t="s">
        <v>10</v>
      </c>
      <c r="M132" s="1">
        <v>-6400</v>
      </c>
      <c r="N132" s="1"/>
      <c r="O132" s="4">
        <v>5.12</v>
      </c>
      <c r="Q132" s="3"/>
      <c r="V132" s="15"/>
    </row>
    <row r="133" spans="1:22">
      <c r="A133" s="3">
        <v>43634</v>
      </c>
      <c r="B133" s="127" t="s">
        <v>18</v>
      </c>
      <c r="C133" s="127" t="s">
        <v>78</v>
      </c>
      <c r="D133" s="3" t="s">
        <v>11</v>
      </c>
      <c r="E133" s="21">
        <v>5.15</v>
      </c>
      <c r="F133" s="21">
        <v>5.15</v>
      </c>
      <c r="G133" s="20">
        <v>1200</v>
      </c>
      <c r="H133" s="21">
        <f>F133*$U$19</f>
        <v>22.179986517863835</v>
      </c>
      <c r="I133" s="21">
        <f>F133*$W$19</f>
        <v>1.7454685042318929</v>
      </c>
      <c r="J133" s="21">
        <f t="shared" si="17"/>
        <v>137099.81986368063</v>
      </c>
      <c r="K133" s="21">
        <f t="shared" si="18"/>
        <v>10789.159737098345</v>
      </c>
      <c r="L133" s="5" t="s">
        <v>24</v>
      </c>
      <c r="M133" s="1">
        <v>-6181.24</v>
      </c>
      <c r="N133" s="1"/>
      <c r="O133" s="4">
        <v>1.24</v>
      </c>
      <c r="Q133" s="3"/>
      <c r="V133" s="15"/>
    </row>
    <row r="134" spans="1:22">
      <c r="A134" s="3">
        <v>43634</v>
      </c>
      <c r="B134" s="127" t="s">
        <v>19</v>
      </c>
      <c r="C134" s="127" t="s">
        <v>89</v>
      </c>
      <c r="D134" s="3" t="s">
        <v>11</v>
      </c>
      <c r="E134" s="21">
        <v>0.625</v>
      </c>
      <c r="F134" s="21">
        <v>0.625</v>
      </c>
      <c r="G134" s="20">
        <v>10200</v>
      </c>
      <c r="H134" s="21">
        <f>F134*$U$21</f>
        <v>30.470159350571254</v>
      </c>
      <c r="I134" s="21">
        <f>F134*$W$21</f>
        <v>2.0012778111846061</v>
      </c>
      <c r="J134" s="21">
        <f t="shared" si="17"/>
        <v>194286.26766386046</v>
      </c>
      <c r="K134" s="21">
        <f t="shared" si="18"/>
        <v>12760.70768190018</v>
      </c>
      <c r="L134" s="5" t="s">
        <v>24</v>
      </c>
      <c r="M134" s="1">
        <v>-6376.28</v>
      </c>
      <c r="N134" s="1"/>
      <c r="O134" s="4">
        <v>1.28</v>
      </c>
      <c r="Q134" s="3"/>
      <c r="V134" s="15"/>
    </row>
    <row r="135" spans="1:22">
      <c r="A135" s="3">
        <v>43647</v>
      </c>
      <c r="B135" s="128" t="s">
        <v>21</v>
      </c>
      <c r="C135" s="128" t="s">
        <v>94</v>
      </c>
      <c r="D135" s="3" t="s">
        <v>11</v>
      </c>
      <c r="E135" s="21">
        <v>3.052</v>
      </c>
      <c r="F135" s="21">
        <v>3.052</v>
      </c>
      <c r="G135" s="20">
        <v>2100</v>
      </c>
      <c r="H135" s="21"/>
      <c r="I135" s="21"/>
      <c r="J135" s="21">
        <f t="shared" si="17"/>
        <v>0</v>
      </c>
      <c r="K135" s="21">
        <f t="shared" si="18"/>
        <v>0</v>
      </c>
      <c r="L135" s="5" t="s">
        <v>24</v>
      </c>
      <c r="M135" s="1">
        <v>-6409.2</v>
      </c>
      <c r="N135" s="1"/>
      <c r="O135" s="4">
        <v>1.28</v>
      </c>
      <c r="Q135" s="3"/>
    </row>
    <row r="136" spans="1:22">
      <c r="A136" s="3">
        <v>43664</v>
      </c>
      <c r="B136" s="152" t="s">
        <v>57</v>
      </c>
      <c r="C136" s="152" t="s">
        <v>103</v>
      </c>
      <c r="D136" s="14" t="s">
        <v>12</v>
      </c>
      <c r="E136" s="22">
        <v>3.5550000000000002</v>
      </c>
      <c r="F136" s="22">
        <v>3.5550000000000002</v>
      </c>
      <c r="G136" s="23">
        <v>421.5</v>
      </c>
      <c r="H136" s="21"/>
      <c r="I136" s="21"/>
      <c r="J136" s="21">
        <f t="shared" ref="J136" si="19">H136*(-$M136)</f>
        <v>0</v>
      </c>
      <c r="K136" s="21">
        <f t="shared" ref="K136" si="20">I136*(-$M136)</f>
        <v>0</v>
      </c>
      <c r="L136" s="28" t="s">
        <v>67</v>
      </c>
      <c r="M136" s="67">
        <f>E136*G136</f>
        <v>1498.4325000000001</v>
      </c>
      <c r="N136" s="67"/>
      <c r="O136" s="13">
        <v>0</v>
      </c>
      <c r="Q136" s="36"/>
    </row>
    <row r="137" spans="1:22">
      <c r="A137" s="3">
        <v>43665</v>
      </c>
      <c r="B137" s="153" t="s">
        <v>57</v>
      </c>
      <c r="C137" s="153" t="s">
        <v>103</v>
      </c>
      <c r="D137" s="14" t="s">
        <v>12</v>
      </c>
      <c r="E137" s="22">
        <v>3.6230000000000002</v>
      </c>
      <c r="F137" s="22">
        <v>3.6240000000000001</v>
      </c>
      <c r="G137" s="23">
        <v>3793.5</v>
      </c>
      <c r="H137" s="21"/>
      <c r="I137" s="21"/>
      <c r="J137" s="21">
        <f t="shared" ref="J137" si="21">H137*(-$M137)</f>
        <v>0</v>
      </c>
      <c r="K137" s="21">
        <f t="shared" ref="K137" si="22">I137*(-$M137)</f>
        <v>0</v>
      </c>
      <c r="L137" s="28" t="s">
        <v>67</v>
      </c>
      <c r="M137" s="67">
        <f>E137*G137</f>
        <v>13743.8505</v>
      </c>
      <c r="N137" s="67">
        <v>1251.27</v>
      </c>
      <c r="O137" s="13">
        <v>0</v>
      </c>
      <c r="Q137" s="36"/>
    </row>
    <row r="138" spans="1:22">
      <c r="A138" s="3">
        <v>43668</v>
      </c>
      <c r="B138" s="154" t="s">
        <v>19</v>
      </c>
      <c r="C138" s="154" t="s">
        <v>89</v>
      </c>
      <c r="D138" s="14" t="s">
        <v>12</v>
      </c>
      <c r="E138" s="21">
        <v>0.63</v>
      </c>
      <c r="F138" s="21">
        <v>0.63</v>
      </c>
      <c r="G138" s="20">
        <v>64800</v>
      </c>
      <c r="H138" s="21">
        <f>F138*$U$21</f>
        <v>30.713920625375824</v>
      </c>
      <c r="I138" s="21">
        <f>F138*$W$21</f>
        <v>2.0172880336740828</v>
      </c>
      <c r="J138" s="21">
        <f t="shared" ref="J138:J140" si="23">H138*(-$M138)</f>
        <v>-1253865.0956103427</v>
      </c>
      <c r="K138" s="21">
        <f t="shared" ref="K138:K140" si="24">I138*(-$M138)</f>
        <v>-82353.766686710762</v>
      </c>
      <c r="L138" s="5" t="s">
        <v>24</v>
      </c>
      <c r="M138" s="1">
        <v>40824</v>
      </c>
      <c r="N138" s="1">
        <v>-5250.81</v>
      </c>
      <c r="O138" s="4">
        <v>8.16</v>
      </c>
      <c r="Q138" s="36"/>
    </row>
    <row r="139" spans="1:22">
      <c r="A139" s="3">
        <v>43668</v>
      </c>
      <c r="B139" s="154" t="s">
        <v>18</v>
      </c>
      <c r="C139" s="154" t="s">
        <v>78</v>
      </c>
      <c r="D139" s="3" t="s">
        <v>11</v>
      </c>
      <c r="E139" s="21">
        <v>5.1669999999999998</v>
      </c>
      <c r="F139" s="21">
        <v>5.1669999999999998</v>
      </c>
      <c r="G139" s="20">
        <v>7900</v>
      </c>
      <c r="H139" s="21">
        <f>F139*$U$19</f>
        <v>22.253202007340274</v>
      </c>
      <c r="I139" s="21">
        <f>F139*$W$19</f>
        <v>1.7512302449254737</v>
      </c>
      <c r="J139" s="21">
        <f t="shared" si="23"/>
        <v>908360.1286982249</v>
      </c>
      <c r="K139" s="21">
        <f t="shared" si="24"/>
        <v>71483.992736686399</v>
      </c>
      <c r="L139" s="5" t="s">
        <v>24</v>
      </c>
      <c r="M139" s="1">
        <v>-40819.300000000003</v>
      </c>
      <c r="N139" s="1"/>
      <c r="O139" s="4">
        <v>8.16</v>
      </c>
      <c r="Q139" s="36"/>
    </row>
    <row r="140" spans="1:22">
      <c r="A140" s="3">
        <v>43677</v>
      </c>
      <c r="B140" s="155" t="s">
        <v>7313</v>
      </c>
      <c r="C140" s="155" t="s">
        <v>96</v>
      </c>
      <c r="D140" s="3" t="s">
        <v>11</v>
      </c>
      <c r="E140" s="60">
        <v>1.645</v>
      </c>
      <c r="F140" s="60">
        <v>2.5619999999999998</v>
      </c>
      <c r="G140" s="60">
        <v>3887.47</v>
      </c>
      <c r="H140" s="21"/>
      <c r="I140" s="21"/>
      <c r="J140" s="21">
        <f t="shared" si="23"/>
        <v>0</v>
      </c>
      <c r="K140" s="21">
        <f t="shared" si="24"/>
        <v>0</v>
      </c>
      <c r="L140" s="7" t="s">
        <v>10</v>
      </c>
      <c r="M140" s="1">
        <v>-6400</v>
      </c>
      <c r="N140" s="1"/>
      <c r="O140" s="4">
        <v>5.12</v>
      </c>
      <c r="Q140" s="36"/>
    </row>
    <row r="141" spans="1:22">
      <c r="A141" s="3"/>
      <c r="B141" s="128"/>
      <c r="C141" s="128"/>
      <c r="D141" s="3"/>
      <c r="E141" s="60"/>
      <c r="F141" s="60"/>
      <c r="G141" s="61"/>
      <c r="H141" s="21"/>
      <c r="I141" s="21"/>
      <c r="J141" s="21"/>
      <c r="K141" s="21"/>
      <c r="L141" s="5"/>
      <c r="M141" s="1"/>
      <c r="N141" s="1"/>
      <c r="O141" s="4"/>
      <c r="Q141" s="36"/>
    </row>
    <row r="142" spans="1:22">
      <c r="A142" s="3"/>
      <c r="B142" s="128"/>
      <c r="C142" s="128"/>
      <c r="D142" s="3"/>
      <c r="E142" s="21"/>
      <c r="F142" s="21"/>
      <c r="G142" s="20"/>
      <c r="H142" s="21"/>
      <c r="I142" s="21"/>
      <c r="J142" s="21"/>
      <c r="K142" s="21"/>
      <c r="L142" s="5"/>
      <c r="M142" s="1"/>
      <c r="N142" s="1"/>
      <c r="O142" s="4"/>
      <c r="Q142" s="36"/>
    </row>
    <row r="143" spans="1:22">
      <c r="A143" s="3"/>
      <c r="B143" s="128"/>
      <c r="C143" s="128"/>
      <c r="D143" s="3"/>
      <c r="E143" s="21"/>
      <c r="F143" s="21"/>
      <c r="G143" s="20"/>
      <c r="H143" s="21"/>
      <c r="I143" s="21"/>
      <c r="J143" s="21">
        <f t="shared" ref="J143" si="25">H143*(-M143)</f>
        <v>0</v>
      </c>
      <c r="K143" s="21"/>
      <c r="L143" s="5"/>
      <c r="M143" s="1"/>
      <c r="N143" s="1"/>
      <c r="O143" s="4"/>
      <c r="Q143" s="36"/>
    </row>
    <row r="144" spans="1:22">
      <c r="A144" s="3"/>
      <c r="B144" s="128"/>
      <c r="C144" s="128"/>
      <c r="D144" s="3"/>
      <c r="E144" s="21"/>
      <c r="F144" s="21"/>
      <c r="G144" s="20"/>
      <c r="H144" s="21"/>
      <c r="I144" s="21"/>
      <c r="J144" s="21"/>
      <c r="K144" s="21"/>
      <c r="L144" s="5"/>
      <c r="M144" s="1"/>
      <c r="N144" s="1"/>
      <c r="O144" s="4"/>
      <c r="Q144" s="36"/>
    </row>
    <row r="145" spans="1:19">
      <c r="A145" s="3"/>
      <c r="B145" s="128"/>
      <c r="C145" s="128"/>
      <c r="D145" s="3"/>
      <c r="E145" s="21"/>
      <c r="F145" s="21"/>
      <c r="G145" s="20"/>
      <c r="H145" s="21"/>
      <c r="I145" s="21"/>
      <c r="J145" s="21"/>
      <c r="K145" s="21"/>
      <c r="L145" s="5"/>
      <c r="M145" s="1"/>
      <c r="N145" s="1"/>
      <c r="O145" s="4"/>
      <c r="Q145" s="36"/>
    </row>
    <row r="146" spans="1:19">
      <c r="A146" s="3"/>
      <c r="B146" s="128"/>
      <c r="C146" s="128"/>
      <c r="D146" s="3"/>
      <c r="E146" s="21"/>
      <c r="F146" s="21"/>
      <c r="G146" s="20"/>
      <c r="H146" s="21"/>
      <c r="I146" s="21"/>
      <c r="J146" s="21"/>
      <c r="K146" s="21"/>
      <c r="L146" s="5"/>
      <c r="M146" s="1"/>
      <c r="N146" s="1"/>
      <c r="O146" s="4"/>
      <c r="Q146" s="36"/>
    </row>
    <row r="147" spans="1:19">
      <c r="A147" s="3"/>
      <c r="B147" s="128"/>
      <c r="C147" s="128"/>
      <c r="D147" s="3"/>
      <c r="E147" s="21"/>
      <c r="F147" s="21"/>
      <c r="G147" s="20"/>
      <c r="H147" s="21"/>
      <c r="I147" s="21"/>
      <c r="J147" s="21"/>
      <c r="K147" s="21"/>
      <c r="L147" s="5"/>
      <c r="M147" s="1"/>
      <c r="N147" s="1"/>
      <c r="O147" s="4"/>
      <c r="Q147" s="36"/>
    </row>
    <row r="148" spans="1:19">
      <c r="A148" s="3"/>
      <c r="B148" s="128"/>
      <c r="C148" s="128"/>
      <c r="D148" s="3"/>
      <c r="E148" s="21"/>
      <c r="F148" s="21"/>
      <c r="G148" s="20"/>
      <c r="H148" s="21"/>
      <c r="I148" s="21"/>
      <c r="J148" s="21"/>
      <c r="K148" s="21"/>
      <c r="L148" s="5"/>
      <c r="M148" s="1"/>
      <c r="N148" s="1"/>
      <c r="O148" s="4"/>
      <c r="Q148" s="36"/>
    </row>
    <row r="149" spans="1:19">
      <c r="A149" s="3"/>
      <c r="B149" s="128"/>
      <c r="C149" s="128"/>
      <c r="D149" s="3"/>
      <c r="E149" s="21"/>
      <c r="F149" s="21"/>
      <c r="G149" s="20"/>
      <c r="H149" s="21"/>
      <c r="I149" s="21"/>
      <c r="J149" s="21"/>
      <c r="K149" s="21"/>
      <c r="L149" s="5"/>
      <c r="M149" s="1"/>
      <c r="N149" s="1"/>
      <c r="O149" s="4"/>
      <c r="Q149" s="36"/>
    </row>
    <row r="150" spans="1:19">
      <c r="A150" s="3"/>
      <c r="B150" s="128"/>
      <c r="C150" s="128"/>
      <c r="D150" s="3"/>
      <c r="E150" s="21"/>
      <c r="F150" s="21"/>
      <c r="G150" s="20"/>
      <c r="H150" s="21"/>
      <c r="I150" s="21"/>
      <c r="J150" s="21">
        <f t="shared" ref="J150" si="26">H150*(-M150)</f>
        <v>0</v>
      </c>
      <c r="K150" s="21"/>
      <c r="L150" s="5"/>
      <c r="M150" s="1"/>
      <c r="N150" s="1"/>
      <c r="O150" s="4"/>
      <c r="Q150" s="36"/>
    </row>
    <row r="151" spans="1:19">
      <c r="A151" s="3"/>
      <c r="B151" s="127"/>
      <c r="C151" s="127"/>
      <c r="D151" s="3"/>
      <c r="E151" s="21"/>
      <c r="F151" s="21"/>
      <c r="G151" s="20"/>
      <c r="H151" s="21"/>
      <c r="I151" s="21"/>
      <c r="J151" s="21"/>
      <c r="K151" s="21"/>
      <c r="L151" s="5"/>
      <c r="M151" s="1"/>
      <c r="N151" s="1"/>
      <c r="O151" s="4"/>
      <c r="Q151" s="36"/>
    </row>
    <row r="152" spans="1:19">
      <c r="A152" s="3"/>
      <c r="B152" s="128"/>
      <c r="C152" s="128"/>
      <c r="D152" s="3"/>
      <c r="E152" s="21"/>
      <c r="F152" s="21"/>
      <c r="G152" s="20"/>
      <c r="H152" s="21"/>
      <c r="I152" s="21"/>
      <c r="J152" s="21">
        <f t="shared" ref="J152" si="27">H152*(-M152)</f>
        <v>0</v>
      </c>
      <c r="K152" s="21"/>
      <c r="L152" s="5"/>
      <c r="M152" s="1"/>
      <c r="N152" s="1"/>
      <c r="O152" s="4"/>
      <c r="Q152" s="36"/>
    </row>
    <row r="153" spans="1:19">
      <c r="A153" s="3"/>
      <c r="B153" s="128"/>
      <c r="C153" s="128"/>
      <c r="D153" s="3"/>
      <c r="E153" s="21"/>
      <c r="F153" s="21"/>
      <c r="G153" s="20"/>
      <c r="H153" s="21"/>
      <c r="I153" s="21"/>
      <c r="J153" s="21"/>
      <c r="K153" s="21"/>
      <c r="L153" s="5"/>
      <c r="M153" s="1"/>
      <c r="N153" s="1"/>
      <c r="O153" s="4"/>
      <c r="Q153" s="36"/>
    </row>
    <row r="154" spans="1:19">
      <c r="A154" s="3"/>
      <c r="B154" s="128"/>
      <c r="C154" s="128"/>
      <c r="D154" s="3"/>
      <c r="E154" s="21"/>
      <c r="F154" s="21"/>
      <c r="G154" s="20"/>
      <c r="H154" s="21"/>
      <c r="I154" s="21"/>
      <c r="J154" s="21"/>
      <c r="K154" s="21"/>
      <c r="L154" s="5"/>
      <c r="M154" s="1"/>
      <c r="N154" s="1"/>
      <c r="O154" s="4"/>
      <c r="Q154" s="36"/>
    </row>
    <row r="155" spans="1:19">
      <c r="A155" s="3"/>
      <c r="B155" s="128"/>
      <c r="C155" s="128"/>
      <c r="D155" s="3"/>
      <c r="E155" s="21"/>
      <c r="F155" s="21"/>
      <c r="G155" s="20"/>
      <c r="H155" s="21"/>
      <c r="I155" s="21"/>
      <c r="J155" s="21"/>
      <c r="K155" s="21"/>
      <c r="L155" s="5"/>
      <c r="M155" s="1"/>
      <c r="N155" s="1"/>
      <c r="O155" s="4"/>
      <c r="Q155" s="36"/>
    </row>
    <row r="156" spans="1:19">
      <c r="A156" s="3"/>
      <c r="B156" s="128"/>
      <c r="C156" s="128"/>
      <c r="D156" s="3"/>
      <c r="E156" s="21"/>
      <c r="F156" s="21"/>
      <c r="G156" s="20"/>
      <c r="H156" s="21"/>
      <c r="I156" s="21"/>
      <c r="J156" s="21"/>
      <c r="K156" s="21"/>
      <c r="L156" s="5"/>
      <c r="M156" s="1"/>
      <c r="N156" s="1"/>
      <c r="O156" s="4"/>
      <c r="Q156" s="36"/>
    </row>
    <row r="157" spans="1:19">
      <c r="A157" s="3"/>
      <c r="B157" s="128"/>
      <c r="C157" s="128"/>
      <c r="D157" s="3"/>
      <c r="E157" s="21"/>
      <c r="F157" s="21"/>
      <c r="G157" s="20"/>
      <c r="H157" s="21"/>
      <c r="I157" s="21"/>
      <c r="J157" s="21"/>
      <c r="K157" s="21"/>
      <c r="L157" s="5"/>
      <c r="M157" s="1"/>
      <c r="N157" s="1"/>
      <c r="O157" s="4"/>
      <c r="Q157" s="36"/>
      <c r="S157" s="15"/>
    </row>
    <row r="158" spans="1:19">
      <c r="A158" s="3"/>
      <c r="B158" s="127"/>
      <c r="C158" s="127"/>
      <c r="D158" s="3"/>
      <c r="E158" s="21"/>
      <c r="F158" s="21"/>
      <c r="G158" s="20"/>
      <c r="H158" s="21"/>
      <c r="I158" s="21"/>
      <c r="J158" s="21">
        <f t="shared" ref="J158" si="28">H158*(-M158)</f>
        <v>0</v>
      </c>
      <c r="K158" s="21"/>
      <c r="L158" s="5"/>
      <c r="M158" s="1"/>
      <c r="N158" s="1"/>
      <c r="O158" s="4"/>
      <c r="Q158" s="36"/>
      <c r="S158" s="15"/>
    </row>
    <row r="159" spans="1:19">
      <c r="A159" s="3"/>
      <c r="B159" s="127"/>
      <c r="C159" s="127"/>
      <c r="D159" s="3"/>
      <c r="E159" s="21"/>
      <c r="F159" s="21"/>
      <c r="G159" s="20"/>
      <c r="H159" s="21"/>
      <c r="I159" s="21"/>
      <c r="J159" s="21"/>
      <c r="K159" s="21"/>
      <c r="L159" s="5"/>
      <c r="M159" s="1"/>
      <c r="N159" s="1"/>
      <c r="O159" s="4"/>
      <c r="Q159" s="36"/>
      <c r="S159" s="15"/>
    </row>
    <row r="160" spans="1:19">
      <c r="A160" s="3"/>
      <c r="B160" s="64"/>
      <c r="C160" s="64"/>
      <c r="D160" s="3"/>
      <c r="E160" s="21"/>
      <c r="F160" s="21"/>
      <c r="G160" s="20"/>
      <c r="H160" s="21"/>
      <c r="I160" s="21"/>
      <c r="J160" s="21"/>
      <c r="K160" s="21"/>
      <c r="L160" s="5"/>
      <c r="M160" s="1"/>
      <c r="N160" s="1"/>
      <c r="O160" s="4"/>
      <c r="Q160" s="36"/>
      <c r="S160" s="15"/>
    </row>
    <row r="161" spans="1:19">
      <c r="A161" s="3"/>
      <c r="B161" s="64"/>
      <c r="C161" s="64"/>
      <c r="D161" s="3"/>
      <c r="E161" s="21"/>
      <c r="F161" s="21"/>
      <c r="G161" s="20"/>
      <c r="H161" s="21"/>
      <c r="I161" s="21"/>
      <c r="J161" s="21"/>
      <c r="K161" s="21"/>
      <c r="L161" s="5"/>
      <c r="M161" s="1"/>
      <c r="N161" s="1"/>
      <c r="O161" s="4"/>
      <c r="Q161" s="36"/>
      <c r="S161" s="15"/>
    </row>
    <row r="162" spans="1:19">
      <c r="A162" s="3"/>
      <c r="B162" s="64"/>
      <c r="C162" s="64"/>
      <c r="D162" s="3"/>
      <c r="E162" s="21"/>
      <c r="F162" s="21"/>
      <c r="G162" s="20"/>
      <c r="H162" s="21"/>
      <c r="I162" s="21"/>
      <c r="J162" s="21"/>
      <c r="K162" s="21"/>
      <c r="L162" s="5"/>
      <c r="M162" s="1"/>
      <c r="N162" s="1"/>
      <c r="O162" s="4"/>
      <c r="Q162" s="36"/>
      <c r="S162" s="15"/>
    </row>
    <row r="163" spans="1:19">
      <c r="A163" s="3"/>
      <c r="B163" s="64"/>
      <c r="C163" s="64"/>
      <c r="D163" s="3"/>
      <c r="E163" s="21"/>
      <c r="F163" s="21"/>
      <c r="G163" s="20"/>
      <c r="H163" s="21"/>
      <c r="I163" s="21"/>
      <c r="J163" s="21"/>
      <c r="K163" s="21"/>
      <c r="L163" s="5"/>
      <c r="M163" s="1"/>
      <c r="N163" s="1"/>
      <c r="O163" s="4"/>
      <c r="Q163" s="36"/>
      <c r="S163" s="15"/>
    </row>
    <row r="164" spans="1:19">
      <c r="A164" s="3"/>
      <c r="B164" s="64"/>
      <c r="C164" s="64"/>
      <c r="D164" s="3"/>
      <c r="E164" s="21"/>
      <c r="F164" s="21"/>
      <c r="G164" s="20"/>
      <c r="H164" s="21"/>
      <c r="I164" s="21"/>
      <c r="J164" s="21"/>
      <c r="K164" s="21"/>
      <c r="L164" s="5"/>
      <c r="M164" s="1"/>
      <c r="N164" s="1"/>
      <c r="O164" s="4"/>
      <c r="Q164" s="36"/>
      <c r="S164" s="15"/>
    </row>
    <row r="165" spans="1:19">
      <c r="A165" s="3"/>
      <c r="B165" s="64"/>
      <c r="C165" s="64"/>
      <c r="D165" s="3"/>
      <c r="E165" s="21"/>
      <c r="F165" s="21"/>
      <c r="G165" s="20"/>
      <c r="H165" s="21"/>
      <c r="I165" s="21"/>
      <c r="J165" s="21">
        <f t="shared" ref="J165" si="29">H165*(-M165)</f>
        <v>0</v>
      </c>
      <c r="K165" s="21"/>
      <c r="L165" s="5"/>
      <c r="M165" s="1"/>
      <c r="N165" s="1"/>
      <c r="O165" s="4"/>
      <c r="Q165" s="36"/>
    </row>
    <row r="166" spans="1:19">
      <c r="A166" s="3"/>
      <c r="B166" s="39"/>
      <c r="C166" s="39"/>
      <c r="D166" s="3"/>
      <c r="E166" s="21"/>
      <c r="F166" s="21"/>
      <c r="G166" s="20"/>
      <c r="H166" s="21"/>
      <c r="I166" s="21"/>
      <c r="J166" s="21"/>
      <c r="K166" s="21"/>
      <c r="L166" s="5"/>
      <c r="M166" s="1"/>
      <c r="N166" s="1"/>
      <c r="O166" s="4"/>
      <c r="Q166" s="36"/>
    </row>
    <row r="167" spans="1:19">
      <c r="A167" s="3"/>
      <c r="B167" s="39"/>
      <c r="C167" s="39"/>
      <c r="D167" s="3"/>
      <c r="E167" s="21"/>
      <c r="F167" s="21"/>
      <c r="G167" s="20"/>
      <c r="H167" s="21"/>
      <c r="I167" s="21"/>
      <c r="J167" s="21">
        <f t="shared" ref="J167" si="30">H167*(-M167)</f>
        <v>0</v>
      </c>
      <c r="K167" s="21"/>
      <c r="L167" s="5"/>
      <c r="M167" s="1"/>
      <c r="N167" s="1"/>
      <c r="O167" s="4"/>
    </row>
    <row r="168" spans="1:19">
      <c r="A168" s="3"/>
      <c r="B168" s="39"/>
      <c r="C168" s="39"/>
      <c r="D168" s="3"/>
      <c r="E168" s="21"/>
      <c r="F168" s="21"/>
      <c r="G168" s="20"/>
      <c r="H168" s="21"/>
      <c r="I168" s="21"/>
      <c r="J168" s="21">
        <f t="shared" ref="J168:J178" si="31">H168*(-M168)</f>
        <v>0</v>
      </c>
      <c r="K168" s="21"/>
      <c r="L168" s="5"/>
      <c r="M168" s="1"/>
      <c r="N168" s="1"/>
      <c r="O168" s="4"/>
    </row>
    <row r="169" spans="1:19">
      <c r="A169" s="3"/>
      <c r="B169" s="39"/>
      <c r="C169" s="39"/>
      <c r="D169" s="3"/>
      <c r="E169" s="21"/>
      <c r="F169" s="21"/>
      <c r="G169" s="20"/>
      <c r="H169" s="21"/>
      <c r="I169" s="21"/>
      <c r="J169" s="21"/>
      <c r="K169" s="21"/>
      <c r="L169" s="5"/>
      <c r="M169" s="1"/>
      <c r="N169" s="1"/>
      <c r="O169" s="4"/>
    </row>
    <row r="170" spans="1:19">
      <c r="A170" s="3"/>
      <c r="B170" s="39"/>
      <c r="C170" s="39"/>
      <c r="D170" s="3"/>
      <c r="E170" s="21"/>
      <c r="F170" s="21"/>
      <c r="G170" s="20"/>
      <c r="H170" s="21"/>
      <c r="I170" s="21"/>
      <c r="J170" s="21">
        <f t="shared" si="31"/>
        <v>0</v>
      </c>
      <c r="K170" s="21"/>
      <c r="L170" s="5"/>
      <c r="M170" s="1"/>
      <c r="N170" s="1"/>
      <c r="O170" s="4"/>
    </row>
    <row r="171" spans="1:19">
      <c r="A171" s="3"/>
      <c r="B171" s="39"/>
      <c r="C171" s="39"/>
      <c r="D171" s="3"/>
      <c r="E171" s="21"/>
      <c r="F171" s="21"/>
      <c r="G171" s="20"/>
      <c r="H171" s="21"/>
      <c r="I171" s="21"/>
      <c r="J171" s="21">
        <f t="shared" si="31"/>
        <v>0</v>
      </c>
      <c r="K171" s="21"/>
      <c r="L171" s="5"/>
      <c r="M171" s="1"/>
      <c r="N171" s="1"/>
      <c r="O171" s="4"/>
    </row>
    <row r="172" spans="1:19">
      <c r="A172" s="3">
        <v>43688</v>
      </c>
      <c r="D172" s="3"/>
      <c r="E172" s="3"/>
      <c r="F172" s="3"/>
      <c r="G172" s="3"/>
      <c r="H172" s="3"/>
      <c r="I172" s="3"/>
      <c r="J172" s="21">
        <f t="shared" si="31"/>
        <v>0</v>
      </c>
      <c r="K172" s="21"/>
      <c r="L172" s="8" t="s">
        <v>128</v>
      </c>
      <c r="M172" s="1">
        <f>SUM(T4:T6)+T8</f>
        <v>838537.39999999991</v>
      </c>
      <c r="N172" s="1"/>
      <c r="O172" s="1"/>
      <c r="P172" t="s">
        <v>27</v>
      </c>
    </row>
    <row r="173" spans="1:19">
      <c r="A173" s="3"/>
      <c r="B173" s="2"/>
      <c r="C173" s="2"/>
      <c r="D173" s="3"/>
      <c r="E173" s="3"/>
      <c r="F173" s="3"/>
      <c r="G173" s="3"/>
      <c r="H173" s="3"/>
      <c r="I173" s="3"/>
      <c r="J173" s="21">
        <f t="shared" si="31"/>
        <v>0</v>
      </c>
      <c r="K173" s="21"/>
      <c r="M173" s="1"/>
      <c r="N173" s="1"/>
      <c r="O173" s="4"/>
      <c r="P173" t="s">
        <v>28</v>
      </c>
    </row>
    <row r="174" spans="1:19">
      <c r="A174" s="3"/>
      <c r="B174" s="2"/>
      <c r="C174" s="2"/>
      <c r="D174" s="3"/>
      <c r="E174" s="3"/>
      <c r="F174" s="3"/>
      <c r="G174" s="3"/>
      <c r="H174" s="3"/>
      <c r="I174" s="3"/>
      <c r="J174" s="21">
        <f t="shared" si="31"/>
        <v>0</v>
      </c>
      <c r="K174" s="21"/>
      <c r="M174" s="1"/>
      <c r="N174" s="1"/>
      <c r="O174" s="4"/>
    </row>
    <row r="175" spans="1:19">
      <c r="A175" s="3"/>
      <c r="B175" s="2"/>
      <c r="C175" s="2"/>
      <c r="D175" s="3"/>
      <c r="E175" s="3"/>
      <c r="F175" s="3"/>
      <c r="G175" s="3"/>
      <c r="H175" s="3"/>
      <c r="I175" s="3"/>
      <c r="J175" s="21">
        <f t="shared" si="31"/>
        <v>0</v>
      </c>
      <c r="K175" s="21"/>
      <c r="M175" s="1"/>
      <c r="N175" s="1"/>
      <c r="O175" s="4"/>
    </row>
    <row r="176" spans="1:19">
      <c r="A176" s="3"/>
      <c r="D176" s="3"/>
      <c r="E176" s="3"/>
      <c r="F176" s="3"/>
      <c r="G176" s="3"/>
      <c r="H176" s="3"/>
      <c r="I176" s="3"/>
      <c r="J176" s="21">
        <f t="shared" si="31"/>
        <v>0</v>
      </c>
      <c r="K176" s="21"/>
      <c r="L176" s="8" t="s">
        <v>26</v>
      </c>
      <c r="M176" s="12">
        <f>XIRR($M2:$M175,$A2:$A175)</f>
        <v>8.5424140095710741E-2</v>
      </c>
      <c r="N176" s="12"/>
      <c r="O176" s="12"/>
    </row>
    <row r="177" spans="10:14">
      <c r="J177" s="21">
        <f t="shared" si="31"/>
        <v>0</v>
      </c>
      <c r="K177" s="21"/>
      <c r="L177" s="3">
        <v>43235</v>
      </c>
      <c r="M177" s="16">
        <v>0.15763732790946963</v>
      </c>
      <c r="N177" s="16"/>
    </row>
    <row r="178" spans="10:14">
      <c r="J178" s="21">
        <f t="shared" si="31"/>
        <v>0</v>
      </c>
      <c r="K178" s="21"/>
      <c r="L178" s="3">
        <v>43259</v>
      </c>
      <c r="M178" s="16">
        <v>4.7603145241737366E-2</v>
      </c>
      <c r="N178" s="16"/>
    </row>
    <row r="179" spans="10:14">
      <c r="L179" s="3">
        <v>43166</v>
      </c>
      <c r="M179" s="16">
        <v>0.25530000000000003</v>
      </c>
      <c r="N179" s="16"/>
    </row>
  </sheetData>
  <autoFilter ref="A1:X140" xr:uid="{00000000-0009-0000-0000-000000000000}"/>
  <sortState ref="A2:F57">
    <sortCondition ref="A1"/>
  </sortState>
  <mergeCells count="7">
    <mergeCell ref="AA24:AA25"/>
    <mergeCell ref="AA28:AA29"/>
    <mergeCell ref="AA39:AA41"/>
    <mergeCell ref="AA22:AA23"/>
    <mergeCell ref="AA17:AA18"/>
    <mergeCell ref="AA19:AA20"/>
    <mergeCell ref="AA30:AA31"/>
  </mergeCells>
  <phoneticPr fontId="3" type="noConversion"/>
  <conditionalFormatting sqref="O2:O16 O26:O42 O19:O24 O105 O160:O163 O124 O126 O158 O151">
    <cfRule type="cellIs" dxfId="98" priority="138" operator="greaterThan">
      <formula>3</formula>
    </cfRule>
  </conditionalFormatting>
  <conditionalFormatting sqref="O43:O47 O172:O174">
    <cfRule type="cellIs" dxfId="97" priority="137" operator="greaterThan">
      <formula>3</formula>
    </cfRule>
  </conditionalFormatting>
  <conditionalFormatting sqref="O48">
    <cfRule type="cellIs" dxfId="96" priority="135" operator="greaterThan">
      <formula>3</formula>
    </cfRule>
  </conditionalFormatting>
  <conditionalFormatting sqref="O49">
    <cfRule type="cellIs" dxfId="95" priority="134" operator="greaterThan">
      <formula>3</formula>
    </cfRule>
  </conditionalFormatting>
  <conditionalFormatting sqref="O50">
    <cfRule type="cellIs" dxfId="94" priority="133" operator="greaterThan">
      <formula>3</formula>
    </cfRule>
  </conditionalFormatting>
  <conditionalFormatting sqref="O52">
    <cfRule type="cellIs" dxfId="93" priority="132" operator="greaterThan">
      <formula>3</formula>
    </cfRule>
  </conditionalFormatting>
  <conditionalFormatting sqref="O53">
    <cfRule type="cellIs" dxfId="92" priority="131" operator="greaterThan">
      <formula>3</formula>
    </cfRule>
  </conditionalFormatting>
  <conditionalFormatting sqref="O54 O60 O78">
    <cfRule type="cellIs" dxfId="91" priority="130" operator="greaterThan">
      <formula>3</formula>
    </cfRule>
  </conditionalFormatting>
  <conditionalFormatting sqref="O51">
    <cfRule type="cellIs" dxfId="90" priority="129" operator="greaterThan">
      <formula>3</formula>
    </cfRule>
  </conditionalFormatting>
  <conditionalFormatting sqref="O25">
    <cfRule type="cellIs" dxfId="89" priority="127" operator="greaterThan">
      <formula>3</formula>
    </cfRule>
  </conditionalFormatting>
  <conditionalFormatting sqref="O55">
    <cfRule type="cellIs" dxfId="88" priority="125" operator="greaterThan">
      <formula>3</formula>
    </cfRule>
  </conditionalFormatting>
  <conditionalFormatting sqref="O56">
    <cfRule type="cellIs" dxfId="87" priority="124" operator="greaterThan">
      <formula>3</formula>
    </cfRule>
  </conditionalFormatting>
  <conditionalFormatting sqref="O57">
    <cfRule type="cellIs" dxfId="86" priority="122" operator="greaterThan">
      <formula>3</formula>
    </cfRule>
  </conditionalFormatting>
  <conditionalFormatting sqref="O58">
    <cfRule type="cellIs" dxfId="85" priority="121" operator="greaterThan">
      <formula>3</formula>
    </cfRule>
  </conditionalFormatting>
  <conditionalFormatting sqref="O59">
    <cfRule type="cellIs" dxfId="84" priority="120" operator="greaterThan">
      <formula>3</formula>
    </cfRule>
  </conditionalFormatting>
  <conditionalFormatting sqref="O70">
    <cfRule type="cellIs" dxfId="83" priority="119" operator="greaterThan">
      <formula>3</formula>
    </cfRule>
  </conditionalFormatting>
  <conditionalFormatting sqref="O61">
    <cfRule type="cellIs" dxfId="82" priority="117" operator="greaterThan">
      <formula>3</formula>
    </cfRule>
  </conditionalFormatting>
  <conditionalFormatting sqref="O62:O63 O69">
    <cfRule type="cellIs" dxfId="81" priority="116" operator="greaterThan">
      <formula>3</formula>
    </cfRule>
  </conditionalFormatting>
  <conditionalFormatting sqref="O66">
    <cfRule type="cellIs" dxfId="80" priority="112" operator="greaterThan">
      <formula>3</formula>
    </cfRule>
  </conditionalFormatting>
  <conditionalFormatting sqref="O65">
    <cfRule type="cellIs" dxfId="79" priority="113" operator="greaterThan">
      <formula>3</formula>
    </cfRule>
  </conditionalFormatting>
  <conditionalFormatting sqref="O64">
    <cfRule type="cellIs" dxfId="78" priority="114" operator="greaterThan">
      <formula>3</formula>
    </cfRule>
  </conditionalFormatting>
  <conditionalFormatting sqref="O68">
    <cfRule type="cellIs" dxfId="77" priority="110" operator="greaterThan">
      <formula>3</formula>
    </cfRule>
  </conditionalFormatting>
  <conditionalFormatting sqref="O67">
    <cfRule type="cellIs" dxfId="76" priority="111" operator="greaterThan">
      <formula>3</formula>
    </cfRule>
  </conditionalFormatting>
  <conditionalFormatting sqref="O17:O18">
    <cfRule type="cellIs" dxfId="75" priority="109" operator="greaterThan">
      <formula>3</formula>
    </cfRule>
  </conditionalFormatting>
  <conditionalFormatting sqref="O77">
    <cfRule type="cellIs" dxfId="74" priority="108" operator="greaterThan">
      <formula>3</formula>
    </cfRule>
  </conditionalFormatting>
  <conditionalFormatting sqref="O71">
    <cfRule type="cellIs" dxfId="73" priority="107" operator="greaterThan">
      <formula>3</formula>
    </cfRule>
  </conditionalFormatting>
  <conditionalFormatting sqref="O74">
    <cfRule type="cellIs" dxfId="72" priority="106" operator="greaterThan">
      <formula>3</formula>
    </cfRule>
  </conditionalFormatting>
  <conditionalFormatting sqref="O76">
    <cfRule type="cellIs" dxfId="71" priority="105" operator="greaterThan">
      <formula>3</formula>
    </cfRule>
  </conditionalFormatting>
  <conditionalFormatting sqref="O72">
    <cfRule type="cellIs" dxfId="70" priority="102" operator="greaterThan">
      <formula>3</formula>
    </cfRule>
  </conditionalFormatting>
  <conditionalFormatting sqref="O79">
    <cfRule type="cellIs" dxfId="69" priority="101" operator="greaterThan">
      <formula>3</formula>
    </cfRule>
  </conditionalFormatting>
  <conditionalFormatting sqref="O81">
    <cfRule type="cellIs" dxfId="68" priority="100" operator="greaterThan">
      <formula>3</formula>
    </cfRule>
  </conditionalFormatting>
  <conditionalFormatting sqref="O82">
    <cfRule type="cellIs" dxfId="67" priority="99" operator="greaterThan">
      <formula>3</formula>
    </cfRule>
  </conditionalFormatting>
  <conditionalFormatting sqref="O84">
    <cfRule type="cellIs" dxfId="66" priority="98" operator="greaterThan">
      <formula>3</formula>
    </cfRule>
  </conditionalFormatting>
  <conditionalFormatting sqref="O166:O171">
    <cfRule type="cellIs" dxfId="65" priority="93" operator="greaterThan">
      <formula>3</formula>
    </cfRule>
  </conditionalFormatting>
  <conditionalFormatting sqref="O85">
    <cfRule type="cellIs" dxfId="64" priority="92" operator="greaterThan">
      <formula>3</formula>
    </cfRule>
  </conditionalFormatting>
  <conditionalFormatting sqref="O86">
    <cfRule type="cellIs" dxfId="63" priority="91" operator="greaterThan">
      <formula>3</formula>
    </cfRule>
  </conditionalFormatting>
  <conditionalFormatting sqref="O87">
    <cfRule type="cellIs" dxfId="62" priority="90" operator="greaterThan">
      <formula>3</formula>
    </cfRule>
  </conditionalFormatting>
  <conditionalFormatting sqref="O88">
    <cfRule type="cellIs" dxfId="61" priority="89" operator="greaterThan">
      <formula>3</formula>
    </cfRule>
  </conditionalFormatting>
  <conditionalFormatting sqref="O89">
    <cfRule type="cellIs" dxfId="60" priority="87" operator="greaterThan">
      <formula>3</formula>
    </cfRule>
  </conditionalFormatting>
  <conditionalFormatting sqref="O90">
    <cfRule type="cellIs" dxfId="59" priority="86" operator="greaterThan">
      <formula>3</formula>
    </cfRule>
  </conditionalFormatting>
  <conditionalFormatting sqref="O75">
    <cfRule type="cellIs" dxfId="58" priority="83" operator="greaterThan">
      <formula>3</formula>
    </cfRule>
  </conditionalFormatting>
  <conditionalFormatting sqref="O92">
    <cfRule type="cellIs" dxfId="57" priority="82" operator="greaterThan">
      <formula>3</formula>
    </cfRule>
  </conditionalFormatting>
  <conditionalFormatting sqref="O91">
    <cfRule type="cellIs" dxfId="56" priority="81" operator="greaterThan">
      <formula>3</formula>
    </cfRule>
  </conditionalFormatting>
  <conditionalFormatting sqref="O93">
    <cfRule type="cellIs" dxfId="55" priority="80" operator="greaterThan">
      <formula>3</formula>
    </cfRule>
  </conditionalFormatting>
  <conditionalFormatting sqref="O95">
    <cfRule type="cellIs" dxfId="54" priority="77" operator="greaterThan">
      <formula>3</formula>
    </cfRule>
  </conditionalFormatting>
  <conditionalFormatting sqref="O94">
    <cfRule type="cellIs" dxfId="53" priority="78" operator="greaterThan">
      <formula>3</formula>
    </cfRule>
  </conditionalFormatting>
  <conditionalFormatting sqref="O96">
    <cfRule type="cellIs" dxfId="52" priority="75" operator="greaterThan">
      <formula>3</formula>
    </cfRule>
  </conditionalFormatting>
  <conditionalFormatting sqref="O97">
    <cfRule type="cellIs" dxfId="51" priority="74" operator="greaterThan">
      <formula>3</formula>
    </cfRule>
  </conditionalFormatting>
  <conditionalFormatting sqref="O98">
    <cfRule type="cellIs" dxfId="50" priority="72" operator="greaterThan">
      <formula>3</formula>
    </cfRule>
  </conditionalFormatting>
  <conditionalFormatting sqref="O99">
    <cfRule type="cellIs" dxfId="49" priority="71" operator="greaterThan">
      <formula>3</formula>
    </cfRule>
  </conditionalFormatting>
  <conditionalFormatting sqref="O100">
    <cfRule type="cellIs" dxfId="48" priority="70" operator="greaterThan">
      <formula>3</formula>
    </cfRule>
  </conditionalFormatting>
  <conditionalFormatting sqref="O101">
    <cfRule type="cellIs" dxfId="47" priority="69" operator="greaterThan">
      <formula>3</formula>
    </cfRule>
  </conditionalFormatting>
  <conditionalFormatting sqref="O102">
    <cfRule type="cellIs" dxfId="46" priority="68" operator="greaterThan">
      <formula>3</formula>
    </cfRule>
  </conditionalFormatting>
  <conditionalFormatting sqref="O103">
    <cfRule type="cellIs" dxfId="45" priority="65" operator="greaterThan">
      <formula>3</formula>
    </cfRule>
  </conditionalFormatting>
  <conditionalFormatting sqref="O104">
    <cfRule type="cellIs" dxfId="44" priority="64" operator="greaterThan">
      <formula>3</formula>
    </cfRule>
  </conditionalFormatting>
  <conditionalFormatting sqref="O164:O165">
    <cfRule type="cellIs" dxfId="43" priority="63" operator="greaterThan">
      <formula>3</formula>
    </cfRule>
  </conditionalFormatting>
  <conditionalFormatting sqref="O106">
    <cfRule type="cellIs" dxfId="42" priority="59" operator="greaterThan">
      <formula>3</formula>
    </cfRule>
  </conditionalFormatting>
  <conditionalFormatting sqref="O107">
    <cfRule type="cellIs" dxfId="41" priority="57" operator="greaterThan">
      <formula>3</formula>
    </cfRule>
  </conditionalFormatting>
  <conditionalFormatting sqref="O108">
    <cfRule type="cellIs" dxfId="40" priority="52" operator="greaterThan">
      <formula>3</formula>
    </cfRule>
  </conditionalFormatting>
  <conditionalFormatting sqref="O109">
    <cfRule type="cellIs" dxfId="39" priority="51" operator="greaterThan">
      <formula>3</formula>
    </cfRule>
  </conditionalFormatting>
  <conditionalFormatting sqref="O110">
    <cfRule type="cellIs" dxfId="38" priority="50" operator="greaterThan">
      <formula>3</formula>
    </cfRule>
  </conditionalFormatting>
  <conditionalFormatting sqref="O113">
    <cfRule type="cellIs" dxfId="37" priority="46" operator="greaterThan">
      <formula>3</formula>
    </cfRule>
  </conditionalFormatting>
  <conditionalFormatting sqref="O111">
    <cfRule type="cellIs" dxfId="36" priority="48" operator="greaterThan">
      <formula>3</formula>
    </cfRule>
  </conditionalFormatting>
  <conditionalFormatting sqref="O112">
    <cfRule type="cellIs" dxfId="35" priority="47" operator="greaterThan">
      <formula>3</formula>
    </cfRule>
  </conditionalFormatting>
  <conditionalFormatting sqref="O114">
    <cfRule type="cellIs" dxfId="34" priority="45" operator="greaterThan">
      <formula>3</formula>
    </cfRule>
  </conditionalFormatting>
  <conditionalFormatting sqref="O115">
    <cfRule type="cellIs" dxfId="33" priority="44" operator="greaterThan">
      <formula>3</formula>
    </cfRule>
  </conditionalFormatting>
  <conditionalFormatting sqref="O116">
    <cfRule type="cellIs" dxfId="32" priority="43" operator="greaterThan">
      <formula>3</formula>
    </cfRule>
  </conditionalFormatting>
  <conditionalFormatting sqref="O117">
    <cfRule type="cellIs" dxfId="31" priority="42" operator="greaterThan">
      <formula>3</formula>
    </cfRule>
  </conditionalFormatting>
  <conditionalFormatting sqref="O118">
    <cfRule type="cellIs" dxfId="30" priority="41" operator="greaterThan">
      <formula>3</formula>
    </cfRule>
  </conditionalFormatting>
  <conditionalFormatting sqref="O119">
    <cfRule type="cellIs" dxfId="29" priority="40" operator="greaterThan">
      <formula>3</formula>
    </cfRule>
  </conditionalFormatting>
  <conditionalFormatting sqref="O120">
    <cfRule type="cellIs" dxfId="28" priority="38" operator="greaterThan">
      <formula>3</formula>
    </cfRule>
  </conditionalFormatting>
  <conditionalFormatting sqref="O73">
    <cfRule type="cellIs" dxfId="27" priority="36" operator="greaterThan">
      <formula>3</formula>
    </cfRule>
  </conditionalFormatting>
  <conditionalFormatting sqref="O80">
    <cfRule type="cellIs" dxfId="26" priority="35" operator="greaterThan">
      <formula>3</formula>
    </cfRule>
  </conditionalFormatting>
  <conditionalFormatting sqref="O83">
    <cfRule type="cellIs" dxfId="25" priority="34" operator="greaterThan">
      <formula>3</formula>
    </cfRule>
  </conditionalFormatting>
  <conditionalFormatting sqref="O122">
    <cfRule type="cellIs" dxfId="24" priority="33" operator="greaterThan">
      <formula>3</formula>
    </cfRule>
  </conditionalFormatting>
  <conditionalFormatting sqref="O123">
    <cfRule type="cellIs" dxfId="23" priority="32" operator="greaterThan">
      <formula>3</formula>
    </cfRule>
  </conditionalFormatting>
  <conditionalFormatting sqref="O121">
    <cfRule type="cellIs" dxfId="22" priority="31" operator="greaterThan">
      <formula>3</formula>
    </cfRule>
  </conditionalFormatting>
  <conditionalFormatting sqref="O130">
    <cfRule type="cellIs" dxfId="21" priority="25" operator="greaterThan">
      <formula>3</formula>
    </cfRule>
  </conditionalFormatting>
  <conditionalFormatting sqref="O127">
    <cfRule type="cellIs" dxfId="20" priority="29" operator="greaterThan">
      <formula>3</formula>
    </cfRule>
  </conditionalFormatting>
  <conditionalFormatting sqref="O128">
    <cfRule type="cellIs" dxfId="19" priority="28" operator="greaterThan">
      <formula>3</formula>
    </cfRule>
  </conditionalFormatting>
  <conditionalFormatting sqref="O129">
    <cfRule type="cellIs" dxfId="18" priority="27" operator="greaterThan">
      <formula>3</formula>
    </cfRule>
  </conditionalFormatting>
  <conditionalFormatting sqref="O131">
    <cfRule type="cellIs" dxfId="17" priority="24" operator="greaterThan">
      <formula>3</formula>
    </cfRule>
  </conditionalFormatting>
  <conditionalFormatting sqref="O159">
    <cfRule type="cellIs" dxfId="16" priority="22" operator="greaterThan">
      <formula>3</formula>
    </cfRule>
  </conditionalFormatting>
  <conditionalFormatting sqref="O132">
    <cfRule type="cellIs" dxfId="15" priority="20" operator="greaterThan">
      <formula>3</formula>
    </cfRule>
  </conditionalFormatting>
  <conditionalFormatting sqref="O134">
    <cfRule type="cellIs" dxfId="14" priority="17" operator="greaterThan">
      <formula>3</formula>
    </cfRule>
  </conditionalFormatting>
  <conditionalFormatting sqref="O133">
    <cfRule type="cellIs" dxfId="13" priority="18" operator="greaterThan">
      <formula>3</formula>
    </cfRule>
  </conditionalFormatting>
  <conditionalFormatting sqref="O125">
    <cfRule type="cellIs" dxfId="12" priority="16" operator="greaterThan">
      <formula>3</formula>
    </cfRule>
  </conditionalFormatting>
  <conditionalFormatting sqref="O135">
    <cfRule type="cellIs" dxfId="11" priority="15" operator="greaterThan">
      <formula>3</formula>
    </cfRule>
  </conditionalFormatting>
  <conditionalFormatting sqref="O154:O157 O152">
    <cfRule type="cellIs" dxfId="10" priority="14" operator="greaterThan">
      <formula>3</formula>
    </cfRule>
  </conditionalFormatting>
  <conditionalFormatting sqref="O153">
    <cfRule type="cellIs" dxfId="9" priority="13" operator="greaterThan">
      <formula>3</formula>
    </cfRule>
  </conditionalFormatting>
  <conditionalFormatting sqref="O145:O148 O143">
    <cfRule type="cellIs" dxfId="8" priority="12" operator="greaterThan">
      <formula>3</formula>
    </cfRule>
  </conditionalFormatting>
  <conditionalFormatting sqref="O149:O150">
    <cfRule type="cellIs" dxfId="7" priority="11" operator="greaterThan">
      <formula>3</formula>
    </cfRule>
  </conditionalFormatting>
  <conditionalFormatting sqref="O144">
    <cfRule type="cellIs" dxfId="6" priority="10" operator="greaterThan">
      <formula>3</formula>
    </cfRule>
  </conditionalFormatting>
  <conditionalFormatting sqref="O141:O142">
    <cfRule type="cellIs" dxfId="5" priority="9" operator="greaterThan">
      <formula>3</formula>
    </cfRule>
  </conditionalFormatting>
  <conditionalFormatting sqref="O136">
    <cfRule type="cellIs" dxfId="4" priority="7" operator="greaterThan">
      <formula>3</formula>
    </cfRule>
  </conditionalFormatting>
  <conditionalFormatting sqref="O137">
    <cfRule type="cellIs" dxfId="3" priority="6" operator="greaterThan">
      <formula>3</formula>
    </cfRule>
  </conditionalFormatting>
  <conditionalFormatting sqref="O138">
    <cfRule type="cellIs" dxfId="2" priority="3" operator="greaterThan">
      <formula>3</formula>
    </cfRule>
  </conditionalFormatting>
  <conditionalFormatting sqref="O139">
    <cfRule type="cellIs" dxfId="1" priority="2" operator="greaterThan">
      <formula>3</formula>
    </cfRule>
  </conditionalFormatting>
  <conditionalFormatting sqref="O140">
    <cfRule type="cellIs" dxfId="0" priority="1" operator="greaterThan">
      <formula>3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6EB99-07DB-43C5-9E67-D60426E4EA57}">
  <sheetPr codeName="Sheet12"/>
  <dimension ref="A1:F64"/>
  <sheetViews>
    <sheetView workbookViewId="0">
      <selection activeCell="F42" sqref="F42"/>
    </sheetView>
  </sheetViews>
  <sheetFormatPr defaultColWidth="8.875" defaultRowHeight="14.25"/>
  <cols>
    <col min="1" max="1" width="9.125" bestFit="1" customWidth="1"/>
    <col min="2" max="2" width="17.125" bestFit="1" customWidth="1"/>
    <col min="3" max="3" width="9.5" bestFit="1" customWidth="1"/>
    <col min="4" max="4" width="7.5" bestFit="1" customWidth="1"/>
  </cols>
  <sheetData>
    <row r="1" spans="1:6">
      <c r="A1" s="15">
        <v>43738</v>
      </c>
      <c r="B1" t="s">
        <v>111</v>
      </c>
      <c r="C1">
        <v>100032</v>
      </c>
      <c r="D1">
        <v>2.6859999999999999</v>
      </c>
      <c r="F1" s="25"/>
    </row>
    <row r="2" spans="1:6">
      <c r="A2" s="15">
        <v>43738</v>
      </c>
      <c r="B2" t="s">
        <v>112</v>
      </c>
      <c r="C2">
        <v>510050</v>
      </c>
      <c r="D2">
        <v>2.948</v>
      </c>
      <c r="F2" s="25"/>
    </row>
    <row r="3" spans="1:6">
      <c r="A3" s="15">
        <v>43738</v>
      </c>
      <c r="B3" t="s">
        <v>113</v>
      </c>
      <c r="C3">
        <v>510300</v>
      </c>
      <c r="D3">
        <v>3.8797999999999999</v>
      </c>
      <c r="F3" s="25"/>
    </row>
    <row r="4" spans="1:6">
      <c r="A4" s="15">
        <v>43738</v>
      </c>
      <c r="B4" t="s">
        <v>7620</v>
      </c>
      <c r="C4">
        <v>100038</v>
      </c>
      <c r="D4">
        <v>1.952</v>
      </c>
      <c r="F4" s="25"/>
    </row>
    <row r="5" spans="1:6">
      <c r="A5" s="15">
        <v>43738</v>
      </c>
      <c r="B5" t="s">
        <v>18</v>
      </c>
      <c r="C5">
        <v>510500</v>
      </c>
      <c r="D5">
        <v>5.3403999999999998</v>
      </c>
      <c r="F5" s="25"/>
    </row>
    <row r="6" spans="1:6">
      <c r="A6" s="15">
        <v>43738</v>
      </c>
      <c r="B6" t="s">
        <v>7621</v>
      </c>
      <c r="C6">
        <v>161017</v>
      </c>
      <c r="D6">
        <v>1.9630000000000001</v>
      </c>
      <c r="F6" s="25"/>
    </row>
    <row r="7" spans="1:6">
      <c r="A7" s="15">
        <v>43738</v>
      </c>
      <c r="B7" t="s">
        <v>19</v>
      </c>
      <c r="C7">
        <v>512100</v>
      </c>
      <c r="D7">
        <v>0.66520000000000001</v>
      </c>
      <c r="F7" s="25"/>
    </row>
    <row r="8" spans="1:6">
      <c r="A8" s="15">
        <v>43738</v>
      </c>
      <c r="B8" t="s">
        <v>114</v>
      </c>
      <c r="C8">
        <v>159915</v>
      </c>
      <c r="D8">
        <v>1.5669</v>
      </c>
      <c r="F8" s="25"/>
    </row>
    <row r="9" spans="1:6">
      <c r="A9" s="15">
        <v>43738</v>
      </c>
      <c r="B9" t="s">
        <v>7622</v>
      </c>
      <c r="C9">
        <v>110026</v>
      </c>
      <c r="D9">
        <v>1.6890000000000001</v>
      </c>
      <c r="F9" s="25"/>
    </row>
    <row r="10" spans="1:6">
      <c r="A10" s="15">
        <v>43738</v>
      </c>
      <c r="B10" t="s">
        <v>7717</v>
      </c>
      <c r="C10">
        <v>159938</v>
      </c>
      <c r="D10">
        <v>1.3139000000000001</v>
      </c>
      <c r="F10" s="25"/>
    </row>
    <row r="11" spans="1:6">
      <c r="A11" s="15">
        <v>43738</v>
      </c>
      <c r="B11" t="s">
        <v>116</v>
      </c>
      <c r="C11">
        <v>1180</v>
      </c>
      <c r="D11">
        <v>0.82010000000000005</v>
      </c>
      <c r="F11" s="25"/>
    </row>
    <row r="12" spans="1:6">
      <c r="A12" s="15">
        <v>43738</v>
      </c>
      <c r="B12" t="s">
        <v>117</v>
      </c>
      <c r="C12">
        <v>968</v>
      </c>
      <c r="D12">
        <v>0.9425</v>
      </c>
      <c r="F12" s="25"/>
    </row>
    <row r="13" spans="1:6">
      <c r="A13" s="15">
        <v>43738</v>
      </c>
      <c r="B13" t="s">
        <v>22</v>
      </c>
      <c r="C13">
        <v>512880</v>
      </c>
      <c r="D13">
        <v>0.93979999999999997</v>
      </c>
      <c r="F13" s="25"/>
    </row>
    <row r="14" spans="1:6">
      <c r="A14" s="15">
        <v>43738</v>
      </c>
      <c r="B14" t="s">
        <v>20</v>
      </c>
      <c r="C14">
        <v>512580</v>
      </c>
      <c r="D14">
        <v>0.72850000000000004</v>
      </c>
      <c r="F14" s="25"/>
    </row>
    <row r="15" spans="1:6">
      <c r="A15" s="15">
        <v>43738</v>
      </c>
      <c r="B15" t="s">
        <v>118</v>
      </c>
      <c r="C15">
        <v>1064</v>
      </c>
      <c r="D15">
        <v>0.54730000000000001</v>
      </c>
      <c r="F15" s="25"/>
    </row>
    <row r="16" spans="1:6">
      <c r="A16" s="15">
        <v>43738</v>
      </c>
      <c r="B16" t="s">
        <v>23</v>
      </c>
      <c r="C16">
        <v>512980</v>
      </c>
      <c r="D16">
        <v>0.75039999999999996</v>
      </c>
      <c r="F16" s="25"/>
    </row>
    <row r="17" spans="1:6">
      <c r="A17" s="15">
        <v>43738</v>
      </c>
      <c r="B17" t="s">
        <v>7623</v>
      </c>
      <c r="C17">
        <v>4752</v>
      </c>
      <c r="D17">
        <v>0.75449999999999995</v>
      </c>
      <c r="F17" s="25"/>
    </row>
    <row r="18" spans="1:6">
      <c r="A18" s="15">
        <v>43738</v>
      </c>
      <c r="B18" t="s">
        <v>7288</v>
      </c>
      <c r="C18">
        <v>110022</v>
      </c>
      <c r="D18">
        <v>2.8860000000000001</v>
      </c>
      <c r="F18" s="25"/>
    </row>
    <row r="19" spans="1:6">
      <c r="A19" s="15">
        <v>43738</v>
      </c>
      <c r="B19" t="s">
        <v>119</v>
      </c>
      <c r="C19">
        <v>1469</v>
      </c>
      <c r="D19">
        <v>1.0722</v>
      </c>
      <c r="F19" s="25"/>
    </row>
    <row r="20" spans="1:6">
      <c r="A20" s="15">
        <v>43735</v>
      </c>
      <c r="B20" t="s">
        <v>120</v>
      </c>
      <c r="C20">
        <v>614</v>
      </c>
      <c r="D20">
        <v>1.1339999999999999</v>
      </c>
      <c r="F20" s="25"/>
    </row>
    <row r="21" spans="1:6">
      <c r="A21" s="15">
        <v>43738</v>
      </c>
      <c r="B21" t="s">
        <v>121</v>
      </c>
      <c r="C21">
        <v>71</v>
      </c>
      <c r="D21">
        <v>1.4693000000000001</v>
      </c>
      <c r="F21" s="25"/>
    </row>
    <row r="22" spans="1:6">
      <c r="A22" s="15">
        <v>43735</v>
      </c>
      <c r="B22" t="s">
        <v>7297</v>
      </c>
      <c r="C22">
        <v>164906</v>
      </c>
      <c r="D22">
        <v>1.1619999999999999</v>
      </c>
      <c r="F22" s="25"/>
    </row>
    <row r="23" spans="1:6">
      <c r="A23" s="15">
        <v>43738</v>
      </c>
      <c r="B23" t="s">
        <v>122</v>
      </c>
      <c r="C23">
        <v>3376</v>
      </c>
      <c r="D23">
        <v>1.0754999999999999</v>
      </c>
      <c r="F23" s="25"/>
    </row>
    <row r="24" spans="1:6">
      <c r="A24" s="15">
        <v>43735</v>
      </c>
      <c r="B24" t="s">
        <v>123</v>
      </c>
      <c r="C24">
        <v>1061</v>
      </c>
      <c r="D24">
        <v>1.538</v>
      </c>
      <c r="F24" s="25"/>
    </row>
    <row r="25" spans="1:6">
      <c r="A25" s="15">
        <v>43738</v>
      </c>
      <c r="B25" t="s">
        <v>7624</v>
      </c>
      <c r="C25">
        <v>340001</v>
      </c>
      <c r="D25">
        <v>3.7810999999999999</v>
      </c>
      <c r="F25" s="25"/>
    </row>
    <row r="26" spans="1:6">
      <c r="A26" s="15">
        <v>43738</v>
      </c>
      <c r="B26" t="s">
        <v>7625</v>
      </c>
      <c r="C26">
        <v>519977</v>
      </c>
      <c r="D26">
        <v>2.2978999999999998</v>
      </c>
      <c r="F26" s="25"/>
    </row>
    <row r="27" spans="1:6">
      <c r="A27" s="15">
        <v>43738</v>
      </c>
      <c r="B27" t="s">
        <v>7626</v>
      </c>
      <c r="C27">
        <v>110027</v>
      </c>
      <c r="D27">
        <v>2.581</v>
      </c>
      <c r="F27" s="25"/>
    </row>
    <row r="28" spans="1:6">
      <c r="A28" s="15">
        <v>43735</v>
      </c>
      <c r="B28" t="s">
        <v>7627</v>
      </c>
      <c r="C28">
        <v>162411</v>
      </c>
      <c r="D28">
        <v>0.40300000000000002</v>
      </c>
      <c r="F28" s="25"/>
    </row>
    <row r="29" spans="1:6">
      <c r="A29" s="15">
        <v>43738</v>
      </c>
      <c r="B29" t="s">
        <v>21</v>
      </c>
      <c r="C29">
        <v>518880</v>
      </c>
      <c r="D29">
        <v>1.286</v>
      </c>
      <c r="F29" s="25"/>
    </row>
    <row r="30" spans="1:6">
      <c r="A30" s="15"/>
      <c r="F30" s="25"/>
    </row>
    <row r="31" spans="1:6">
      <c r="A31" s="15" t="s">
        <v>7628</v>
      </c>
      <c r="B31">
        <v>9.7899999999999991</v>
      </c>
      <c r="C31">
        <v>1.02</v>
      </c>
      <c r="D31">
        <v>0.1331</v>
      </c>
      <c r="F31" s="25"/>
    </row>
    <row r="32" spans="1:6">
      <c r="A32" s="15" t="s">
        <v>7629</v>
      </c>
      <c r="B32">
        <v>10.24</v>
      </c>
      <c r="C32">
        <v>1.2</v>
      </c>
      <c r="D32">
        <v>0.12570000000000001</v>
      </c>
    </row>
    <row r="33" spans="1:4">
      <c r="A33" t="s">
        <v>7630</v>
      </c>
      <c r="B33">
        <v>12.85</v>
      </c>
      <c r="C33">
        <v>1.45</v>
      </c>
      <c r="D33">
        <v>0.1222</v>
      </c>
    </row>
    <row r="34" spans="1:4">
      <c r="A34" t="s">
        <v>7630</v>
      </c>
      <c r="B34">
        <v>12.85</v>
      </c>
      <c r="C34">
        <v>1.45</v>
      </c>
      <c r="D34">
        <v>0.1222</v>
      </c>
    </row>
    <row r="35" spans="1:4">
      <c r="A35" t="s">
        <v>7631</v>
      </c>
      <c r="B35">
        <v>23</v>
      </c>
      <c r="C35">
        <v>1.81</v>
      </c>
      <c r="D35">
        <v>7.4200000000000002E-2</v>
      </c>
    </row>
    <row r="36" spans="1:4">
      <c r="A36" t="s">
        <v>7631</v>
      </c>
      <c r="B36">
        <v>23</v>
      </c>
      <c r="C36">
        <v>1.81</v>
      </c>
      <c r="D36">
        <v>7.4200000000000002E-2</v>
      </c>
    </row>
    <row r="37" spans="1:4">
      <c r="A37" t="s">
        <v>7632</v>
      </c>
      <c r="B37">
        <v>32.43</v>
      </c>
      <c r="C37">
        <v>2.13</v>
      </c>
      <c r="D37">
        <v>5.5100000000000003E-2</v>
      </c>
    </row>
    <row r="38" spans="1:4">
      <c r="A38" t="s">
        <v>7633</v>
      </c>
      <c r="B38">
        <v>55.5</v>
      </c>
      <c r="C38">
        <v>4.6900000000000004</v>
      </c>
      <c r="D38">
        <v>8.8999999999999996E-2</v>
      </c>
    </row>
    <row r="39" spans="1:4">
      <c r="A39" t="s">
        <v>7633</v>
      </c>
      <c r="B39">
        <v>55.5</v>
      </c>
      <c r="C39">
        <v>4.6900000000000004</v>
      </c>
      <c r="D39">
        <v>8.8999999999999996E-2</v>
      </c>
    </row>
    <row r="40" spans="1:4">
      <c r="A40" t="s">
        <v>7634</v>
      </c>
      <c r="B40">
        <v>30.13</v>
      </c>
      <c r="C40">
        <v>3.72</v>
      </c>
      <c r="D40">
        <v>0.1011</v>
      </c>
    </row>
    <row r="41" spans="1:4">
      <c r="A41" t="s">
        <v>7634</v>
      </c>
      <c r="B41">
        <v>30.13</v>
      </c>
      <c r="C41">
        <v>3.72</v>
      </c>
      <c r="D41">
        <v>0.1011</v>
      </c>
    </row>
    <row r="42" spans="1:4">
      <c r="A42" t="s">
        <v>7635</v>
      </c>
      <c r="B42">
        <v>23.25</v>
      </c>
      <c r="C42">
        <v>3.07</v>
      </c>
      <c r="D42">
        <v>0.15690000000000001</v>
      </c>
    </row>
    <row r="43" spans="1:4">
      <c r="A43" t="s">
        <v>7636</v>
      </c>
      <c r="B43">
        <v>29.65</v>
      </c>
      <c r="C43">
        <v>1.64</v>
      </c>
      <c r="D43">
        <v>5.5300000000000002E-2</v>
      </c>
    </row>
    <row r="44" spans="1:4">
      <c r="A44" t="s">
        <v>7637</v>
      </c>
      <c r="B44">
        <v>26.42</v>
      </c>
      <c r="C44">
        <v>2.15</v>
      </c>
      <c r="D44">
        <v>9.7799999999999998E-2</v>
      </c>
    </row>
    <row r="45" spans="1:4">
      <c r="A45" t="s">
        <v>7637</v>
      </c>
      <c r="B45">
        <v>26.42</v>
      </c>
      <c r="C45">
        <v>2.15</v>
      </c>
      <c r="D45">
        <v>9.7799999999999998E-2</v>
      </c>
    </row>
    <row r="46" spans="1:4">
      <c r="A46" t="s">
        <v>7638</v>
      </c>
      <c r="B46">
        <v>33.28</v>
      </c>
      <c r="C46">
        <v>2.68</v>
      </c>
      <c r="D46">
        <v>7.7600000000000002E-2</v>
      </c>
    </row>
    <row r="47" spans="1:4">
      <c r="A47" t="s">
        <v>7638</v>
      </c>
      <c r="B47">
        <v>33.28</v>
      </c>
      <c r="C47">
        <v>2.68</v>
      </c>
      <c r="D47">
        <v>7.7600000000000002E-2</v>
      </c>
    </row>
    <row r="48" spans="1:4">
      <c r="A48" t="s">
        <v>7639</v>
      </c>
      <c r="B48">
        <v>33.979999999999997</v>
      </c>
      <c r="C48">
        <v>6.34</v>
      </c>
      <c r="D48">
        <v>0.1885</v>
      </c>
    </row>
    <row r="50" spans="1:3">
      <c r="A50" t="s">
        <v>7629</v>
      </c>
      <c r="B50">
        <v>16</v>
      </c>
      <c r="C50">
        <v>2897.7</v>
      </c>
    </row>
    <row r="51" spans="1:3">
      <c r="A51" t="s">
        <v>7630</v>
      </c>
      <c r="B51">
        <v>300</v>
      </c>
      <c r="C51">
        <v>3814.53</v>
      </c>
    </row>
    <row r="52" spans="1:3">
      <c r="A52" t="s">
        <v>7631</v>
      </c>
      <c r="B52">
        <v>905</v>
      </c>
      <c r="C52">
        <v>4940.8999999999996</v>
      </c>
    </row>
    <row r="53" spans="1:3">
      <c r="A53" t="s">
        <v>7632</v>
      </c>
      <c r="B53">
        <v>852</v>
      </c>
      <c r="C53">
        <v>5232.3900000000003</v>
      </c>
    </row>
    <row r="54" spans="1:3">
      <c r="A54" t="s">
        <v>114</v>
      </c>
      <c r="B54">
        <v>399006</v>
      </c>
      <c r="C54">
        <v>1627.55</v>
      </c>
    </row>
    <row r="55" spans="1:3">
      <c r="A55" t="s">
        <v>7628</v>
      </c>
      <c r="B55">
        <v>922</v>
      </c>
      <c r="C55">
        <v>4193.8900000000003</v>
      </c>
    </row>
    <row r="56" spans="1:3">
      <c r="A56" t="s">
        <v>7635</v>
      </c>
      <c r="B56">
        <v>399812</v>
      </c>
      <c r="C56">
        <v>7047.57</v>
      </c>
    </row>
    <row r="57" spans="1:3">
      <c r="A57" t="s">
        <v>7634</v>
      </c>
      <c r="B57">
        <v>991</v>
      </c>
      <c r="C57">
        <v>9482.43</v>
      </c>
    </row>
    <row r="58" spans="1:3">
      <c r="A58" t="s">
        <v>7638</v>
      </c>
      <c r="B58">
        <v>399971</v>
      </c>
      <c r="C58">
        <v>1237.1500000000001</v>
      </c>
    </row>
    <row r="59" spans="1:3">
      <c r="A59" t="s">
        <v>7637</v>
      </c>
      <c r="B59">
        <v>827</v>
      </c>
      <c r="C59">
        <v>1171.27</v>
      </c>
    </row>
    <row r="60" spans="1:3">
      <c r="A60" t="s">
        <v>7640</v>
      </c>
      <c r="B60">
        <v>990</v>
      </c>
      <c r="C60">
        <v>13606.43</v>
      </c>
    </row>
    <row r="61" spans="1:3">
      <c r="A61" t="s">
        <v>7641</v>
      </c>
      <c r="B61">
        <v>992</v>
      </c>
      <c r="C61">
        <v>5784.04</v>
      </c>
    </row>
    <row r="62" spans="1:3">
      <c r="A62" t="s">
        <v>7636</v>
      </c>
      <c r="B62">
        <v>399975</v>
      </c>
      <c r="C62">
        <v>711.09</v>
      </c>
    </row>
    <row r="63" spans="1:3">
      <c r="A63" t="s">
        <v>7642</v>
      </c>
      <c r="B63" t="s">
        <v>7643</v>
      </c>
      <c r="C63">
        <v>26092.27</v>
      </c>
    </row>
    <row r="64" spans="1:3">
      <c r="A64" t="s">
        <v>120</v>
      </c>
      <c r="B64" t="s">
        <v>7644</v>
      </c>
      <c r="C64">
        <v>12428.08</v>
      </c>
    </row>
  </sheetData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7"/>
  <sheetViews>
    <sheetView zoomScaleNormal="100" workbookViewId="0">
      <pane ySplit="1" topLeftCell="A2" activePane="bottomLeft" state="frozen"/>
      <selection pane="bottomLeft" activeCell="F49" sqref="F49"/>
    </sheetView>
  </sheetViews>
  <sheetFormatPr defaultColWidth="11" defaultRowHeight="14.25"/>
  <cols>
    <col min="1" max="1" width="17.375" style="116" bestFit="1" customWidth="1"/>
    <col min="2" max="2" width="19.375" style="116" bestFit="1" customWidth="1"/>
    <col min="3" max="3" width="20.125" style="116" customWidth="1"/>
    <col min="4" max="4" width="15.125" style="116" bestFit="1" customWidth="1"/>
    <col min="5" max="5" width="9" style="116" bestFit="1" customWidth="1"/>
    <col min="6" max="6" width="13" style="116" bestFit="1" customWidth="1"/>
    <col min="7" max="7" width="10.375" style="116" bestFit="1" customWidth="1"/>
    <col min="8" max="8" width="7.875" style="116" bestFit="1" customWidth="1"/>
    <col min="9" max="9" width="7.5" style="136" bestFit="1" customWidth="1"/>
    <col min="10" max="10" width="9" style="136" customWidth="1"/>
    <col min="11" max="13" width="15.125" style="116" bestFit="1" customWidth="1"/>
    <col min="14" max="14" width="29.125" style="116" customWidth="1"/>
    <col min="15" max="16" width="9.125" style="116" bestFit="1" customWidth="1"/>
    <col min="17" max="16384" width="11" style="116"/>
  </cols>
  <sheetData>
    <row r="1" spans="1:15">
      <c r="A1" s="115" t="s">
        <v>7410</v>
      </c>
      <c r="B1" s="115" t="s">
        <v>7411</v>
      </c>
      <c r="C1" s="115" t="s">
        <v>7412</v>
      </c>
      <c r="D1" s="115" t="s">
        <v>7540</v>
      </c>
      <c r="E1" s="115" t="s">
        <v>7433</v>
      </c>
      <c r="F1" s="115" t="s">
        <v>7414</v>
      </c>
      <c r="G1" s="115" t="s">
        <v>7619</v>
      </c>
      <c r="H1" s="115" t="s">
        <v>7413</v>
      </c>
      <c r="I1" s="135" t="s">
        <v>61</v>
      </c>
      <c r="K1" s="115" t="s">
        <v>7436</v>
      </c>
      <c r="M1" s="125"/>
      <c r="N1" s="115"/>
    </row>
    <row r="2" spans="1:15">
      <c r="A2" s="176" t="str">
        <f>"A股"&amp;" , "&amp;TEXT(SUM(E2:E20),"0.00%")</f>
        <v>A股 , 48.33%</v>
      </c>
      <c r="B2" s="176" t="str">
        <f>"大盘股"&amp;" , "&amp;TEXT(SUM(E2:E4),"0.00%")</f>
        <v>大盘股 , 5.21%</v>
      </c>
      <c r="C2" s="117" t="str">
        <f>"上证50"&amp;" , "&amp;TEXT(SUM(E2:E2),"0.00%")</f>
        <v>上证50 , 0.62%</v>
      </c>
      <c r="D2" s="117" t="s">
        <v>7541</v>
      </c>
      <c r="E2" s="118">
        <f t="shared" ref="E2:E33" si="0">F2/$F$34</f>
        <v>6.2274972287382786E-3</v>
      </c>
      <c r="F2" s="35">
        <f t="shared" ref="F2:F25" si="1">SUM(G2:H2)</f>
        <v>7951.5</v>
      </c>
      <c r="G2" s="140">
        <v>7951.5</v>
      </c>
      <c r="H2" s="35"/>
      <c r="I2" s="139">
        <v>510050</v>
      </c>
      <c r="K2" s="115">
        <f>K4+K6+K8+K10</f>
        <v>1222553.75</v>
      </c>
      <c r="M2" s="125"/>
      <c r="N2" s="139"/>
      <c r="O2"/>
    </row>
    <row r="3" spans="1:15">
      <c r="A3" s="176"/>
      <c r="B3" s="177"/>
      <c r="C3" s="176" t="str">
        <f>"沪深300"&amp;" , "&amp;TEXT(SUM(E3:E4),"0.00%")</f>
        <v>沪深300 , 4.59%</v>
      </c>
      <c r="D3" s="117" t="s">
        <v>7542</v>
      </c>
      <c r="E3" s="118">
        <f t="shared" si="0"/>
        <v>2.7574306694295978E-2</v>
      </c>
      <c r="F3" s="35">
        <f t="shared" si="1"/>
        <v>35207.9</v>
      </c>
      <c r="G3" s="140">
        <v>35207.9</v>
      </c>
      <c r="H3" s="35"/>
      <c r="I3" s="139">
        <v>510300</v>
      </c>
      <c r="K3" s="115" t="s">
        <v>7437</v>
      </c>
      <c r="M3" s="115"/>
      <c r="N3" s="139"/>
      <c r="O3"/>
    </row>
    <row r="4" spans="1:15">
      <c r="A4" s="176"/>
      <c r="B4" s="177"/>
      <c r="C4" s="177"/>
      <c r="D4" s="117" t="s">
        <v>7543</v>
      </c>
      <c r="E4" s="118">
        <f t="shared" si="0"/>
        <v>1.8280224264772736E-2</v>
      </c>
      <c r="F4" s="35">
        <f t="shared" si="1"/>
        <v>23340.87</v>
      </c>
      <c r="G4" s="151">
        <v>23340.87</v>
      </c>
      <c r="I4" s="139">
        <v>100038</v>
      </c>
      <c r="K4" s="115">
        <v>800000</v>
      </c>
      <c r="M4" s="115"/>
      <c r="N4" s="139"/>
      <c r="O4"/>
    </row>
    <row r="5" spans="1:15">
      <c r="A5" s="176"/>
      <c r="B5" s="176" t="str">
        <f>"中小盘股"&amp;" , "&amp;TEXT(SUM(E5:E9),"0.00%")</f>
        <v>中小盘股 , 18.89%</v>
      </c>
      <c r="C5" s="176" t="str">
        <f>"中证500"&amp;" , "&amp;TEXT(SUM(E5:E6),"0.00%")</f>
        <v>中证500 , 17.12%</v>
      </c>
      <c r="D5" s="117" t="s">
        <v>7545</v>
      </c>
      <c r="E5" s="118">
        <f t="shared" si="0"/>
        <v>0.15931162029601925</v>
      </c>
      <c r="F5" s="35">
        <f t="shared" si="1"/>
        <v>203415</v>
      </c>
      <c r="G5" s="140">
        <v>203415</v>
      </c>
      <c r="H5" s="35"/>
      <c r="I5" s="139">
        <v>510500</v>
      </c>
      <c r="K5" s="115" t="s">
        <v>7434</v>
      </c>
      <c r="M5" s="115"/>
      <c r="N5" s="139"/>
      <c r="O5"/>
    </row>
    <row r="6" spans="1:15">
      <c r="A6" s="176"/>
      <c r="B6" s="176"/>
      <c r="C6" s="176"/>
      <c r="D6" s="117" t="s">
        <v>7544</v>
      </c>
      <c r="E6" s="118">
        <f t="shared" si="0"/>
        <v>1.1896982824387992E-2</v>
      </c>
      <c r="F6" s="35">
        <f t="shared" si="1"/>
        <v>15190.51</v>
      </c>
      <c r="G6" s="141">
        <v>15190.51</v>
      </c>
      <c r="H6" s="35"/>
      <c r="I6" s="139">
        <v>161017</v>
      </c>
      <c r="K6" s="115">
        <v>100000</v>
      </c>
      <c r="N6" s="139"/>
      <c r="O6"/>
    </row>
    <row r="7" spans="1:15">
      <c r="A7" s="176"/>
      <c r="B7" s="176"/>
      <c r="C7" s="117" t="str">
        <f>"中证1000"&amp;" , "&amp;TEXT(SUM(E7:E7),"0.00%")</f>
        <v>中证1000 , 0.00%</v>
      </c>
      <c r="D7" s="117" t="s">
        <v>7546</v>
      </c>
      <c r="E7" s="118">
        <f t="shared" si="0"/>
        <v>0</v>
      </c>
      <c r="F7" s="35">
        <f t="shared" si="1"/>
        <v>0</v>
      </c>
      <c r="G7" s="140">
        <v>0</v>
      </c>
      <c r="H7" s="35"/>
      <c r="I7" s="139">
        <v>512100</v>
      </c>
      <c r="K7" s="115" t="s">
        <v>7435</v>
      </c>
      <c r="N7" s="139"/>
      <c r="O7"/>
    </row>
    <row r="8" spans="1:15">
      <c r="A8" s="176"/>
      <c r="B8" s="176"/>
      <c r="C8" s="176" t="str">
        <f>"创业板"&amp;" , "&amp;TEXT(SUM(E8:E9),"0.00%")</f>
        <v>创业板 , 1.77%</v>
      </c>
      <c r="D8" s="117" t="s">
        <v>7547</v>
      </c>
      <c r="E8" s="118">
        <f t="shared" si="0"/>
        <v>1.1312327230320782E-2</v>
      </c>
      <c r="F8" s="35">
        <f t="shared" si="1"/>
        <v>14444</v>
      </c>
      <c r="G8" s="140">
        <v>14444</v>
      </c>
      <c r="H8" s="35"/>
      <c r="I8" s="139">
        <v>159915</v>
      </c>
      <c r="K8" s="115">
        <v>0</v>
      </c>
      <c r="N8" s="139"/>
      <c r="O8"/>
    </row>
    <row r="9" spans="1:15">
      <c r="A9" s="176"/>
      <c r="B9" s="176"/>
      <c r="C9" s="176"/>
      <c r="D9" s="117" t="s">
        <v>7453</v>
      </c>
      <c r="E9" s="118">
        <f t="shared" si="0"/>
        <v>6.3376992201934464E-3</v>
      </c>
      <c r="F9" s="35">
        <f t="shared" si="1"/>
        <v>8092.21</v>
      </c>
      <c r="G9" s="141">
        <v>8092.21</v>
      </c>
      <c r="H9" s="35"/>
      <c r="I9" s="139">
        <v>110026</v>
      </c>
      <c r="K9" s="115" t="s">
        <v>7438</v>
      </c>
      <c r="N9" s="139"/>
      <c r="O9"/>
    </row>
    <row r="10" spans="1:15">
      <c r="A10" s="176"/>
      <c r="B10" s="117" t="str">
        <f>"红利价值"&amp;" , "&amp;TEXT(SUM(E10:E10),"0.00%")</f>
        <v>红利价值 , 5.56%</v>
      </c>
      <c r="C10" s="117" t="str">
        <f>"中证红利"&amp;" , "&amp;TEXT(SUM(E10:E10),"0.00%")</f>
        <v>中证红利 , 5.56%</v>
      </c>
      <c r="D10" s="117" t="s">
        <v>7454</v>
      </c>
      <c r="E10" s="118">
        <f t="shared" si="0"/>
        <v>5.5594543385711861E-2</v>
      </c>
      <c r="F10" s="35">
        <f t="shared" si="1"/>
        <v>70985.179999999993</v>
      </c>
      <c r="G10" s="141">
        <v>70985.179999999993</v>
      </c>
      <c r="H10" s="35"/>
      <c r="I10" s="139">
        <v>100032</v>
      </c>
      <c r="K10" s="115">
        <v>322553.75</v>
      </c>
      <c r="N10" s="139"/>
      <c r="O10"/>
    </row>
    <row r="11" spans="1:15">
      <c r="A11" s="176"/>
      <c r="B11" s="176" t="str">
        <f>"行业股"&amp;" , "&amp;TEXT(SUM(E11:E20),"0.00%")</f>
        <v>行业股 , 18.68%</v>
      </c>
      <c r="C11" s="117" t="str">
        <f>"养老产业"&amp;" , "&amp;TEXT(SUM(E11:E11),"0.00%")</f>
        <v>养老产业 , 4.69%</v>
      </c>
      <c r="D11" s="117" t="s">
        <v>7456</v>
      </c>
      <c r="E11" s="118">
        <f t="shared" si="0"/>
        <v>4.6865270636934298E-2</v>
      </c>
      <c r="F11" s="35">
        <f t="shared" si="1"/>
        <v>59839.32</v>
      </c>
      <c r="G11" s="141">
        <v>59839.32</v>
      </c>
      <c r="H11" s="35"/>
      <c r="I11" s="139">
        <v>968</v>
      </c>
      <c r="N11" s="139"/>
      <c r="O11"/>
    </row>
    <row r="12" spans="1:15">
      <c r="A12" s="176"/>
      <c r="B12" s="176"/>
      <c r="C12" s="176" t="str">
        <f>"全指医药"&amp;" , "&amp;TEXT(SUM(E12:E13),"0.00%")</f>
        <v>全指医药 , 4.11%</v>
      </c>
      <c r="D12" s="117" t="s">
        <v>7548</v>
      </c>
      <c r="E12" s="118">
        <f t="shared" si="0"/>
        <v>1.4785283743068946E-2</v>
      </c>
      <c r="F12" s="35">
        <f t="shared" si="1"/>
        <v>18878.400000000001</v>
      </c>
      <c r="G12" s="140">
        <v>18878.400000000001</v>
      </c>
      <c r="H12" s="35"/>
      <c r="I12" s="139">
        <v>159938</v>
      </c>
      <c r="N12" s="139"/>
      <c r="O12"/>
    </row>
    <row r="13" spans="1:15">
      <c r="A13" s="176"/>
      <c r="B13" s="176"/>
      <c r="C13" s="176"/>
      <c r="D13" s="117" t="s">
        <v>7457</v>
      </c>
      <c r="E13" s="118">
        <f t="shared" si="0"/>
        <v>2.6343452812049223E-2</v>
      </c>
      <c r="F13" s="35">
        <f t="shared" si="1"/>
        <v>33636.300000000003</v>
      </c>
      <c r="G13" s="151">
        <v>33636.300000000003</v>
      </c>
      <c r="I13" s="139">
        <v>1180</v>
      </c>
      <c r="N13" s="139"/>
      <c r="O13"/>
    </row>
    <row r="14" spans="1:15">
      <c r="A14" s="176"/>
      <c r="B14" s="176"/>
      <c r="C14" s="174" t="str">
        <f>"中证传媒"&amp;" , "&amp;TEXT(SUM(E14:E15),"0.00%")</f>
        <v>中证传媒 , 2.47%</v>
      </c>
      <c r="D14" s="157" t="s">
        <v>7562</v>
      </c>
      <c r="E14" s="118">
        <f t="shared" si="0"/>
        <v>4.6404350474819342E-3</v>
      </c>
      <c r="F14" s="35">
        <f t="shared" si="1"/>
        <v>5925.08</v>
      </c>
      <c r="G14" s="151">
        <v>5925.08</v>
      </c>
      <c r="H14" s="156"/>
      <c r="I14" s="139">
        <v>4752</v>
      </c>
      <c r="N14" s="139"/>
      <c r="O14"/>
    </row>
    <row r="15" spans="1:15">
      <c r="A15" s="176"/>
      <c r="B15" s="176"/>
      <c r="C15" s="174"/>
      <c r="D15" s="117" t="s">
        <v>49</v>
      </c>
      <c r="E15" s="118">
        <f t="shared" si="0"/>
        <v>2.0083375078410542E-2</v>
      </c>
      <c r="F15" s="35">
        <f t="shared" si="1"/>
        <v>25643.200000000001</v>
      </c>
      <c r="G15" s="140">
        <v>25643.200000000001</v>
      </c>
      <c r="H15" s="35"/>
      <c r="I15" s="139">
        <v>512980</v>
      </c>
      <c r="K15" s="121"/>
      <c r="N15" s="139"/>
      <c r="O15"/>
    </row>
    <row r="16" spans="1:15">
      <c r="A16" s="176"/>
      <c r="B16" s="176"/>
      <c r="C16" s="176" t="str">
        <f>"中证环保"&amp;" , "&amp;TEXT(SUM(E16:E17),"0.00%")</f>
        <v>中证环保 , 3.22%</v>
      </c>
      <c r="D16" s="117" t="s">
        <v>7461</v>
      </c>
      <c r="E16" s="118">
        <f t="shared" si="0"/>
        <v>1.9271368648585249E-2</v>
      </c>
      <c r="F16" s="35">
        <f t="shared" si="1"/>
        <v>24606.400000000001</v>
      </c>
      <c r="G16" s="140">
        <v>24606.400000000001</v>
      </c>
      <c r="I16" s="139">
        <v>512580</v>
      </c>
      <c r="N16" s="139"/>
      <c r="O16"/>
    </row>
    <row r="17" spans="1:15">
      <c r="A17" s="176"/>
      <c r="B17" s="176"/>
      <c r="C17" s="176"/>
      <c r="D17" s="117" t="s">
        <v>7549</v>
      </c>
      <c r="E17" s="118">
        <f t="shared" si="0"/>
        <v>1.2917324352976624E-2</v>
      </c>
      <c r="F17" s="35">
        <f t="shared" si="1"/>
        <v>16493.32</v>
      </c>
      <c r="G17" s="151">
        <v>7335.96</v>
      </c>
      <c r="H17" s="35">
        <f>交易明细!T5</f>
        <v>9157.36</v>
      </c>
      <c r="I17" s="139">
        <v>1064</v>
      </c>
      <c r="N17" s="139"/>
      <c r="O17"/>
    </row>
    <row r="18" spans="1:15">
      <c r="A18" s="176"/>
      <c r="B18" s="176"/>
      <c r="C18" s="117" t="str">
        <f>"全指消费"&amp;" , "&amp;TEXT(SUM(E18:E18),"0.00%")</f>
        <v>全指消费 , 0.00%</v>
      </c>
      <c r="D18" s="117" t="s">
        <v>7550</v>
      </c>
      <c r="E18" s="118">
        <f t="shared" si="0"/>
        <v>0</v>
      </c>
      <c r="F18" s="35">
        <f t="shared" si="1"/>
        <v>0</v>
      </c>
      <c r="G18" s="35"/>
      <c r="H18" s="35"/>
      <c r="I18" s="139">
        <v>110022</v>
      </c>
      <c r="N18" s="139"/>
      <c r="O18"/>
    </row>
    <row r="19" spans="1:15">
      <c r="A19" s="176"/>
      <c r="B19" s="176"/>
      <c r="C19" s="117" t="str">
        <f>"金融地产"&amp;" , "&amp;TEXT(SUM(E19:E19),"0.00%")</f>
        <v>金融地产 , 1.78%</v>
      </c>
      <c r="D19" s="117" t="s">
        <v>7551</v>
      </c>
      <c r="E19" s="118">
        <f t="shared" si="0"/>
        <v>1.7772007547587232E-2</v>
      </c>
      <c r="F19" s="35">
        <f t="shared" si="1"/>
        <v>22691.96</v>
      </c>
      <c r="G19" s="141">
        <v>22691.96</v>
      </c>
      <c r="H19" s="35"/>
      <c r="I19" s="139">
        <v>1469</v>
      </c>
      <c r="N19" s="139"/>
      <c r="O19"/>
    </row>
    <row r="20" spans="1:15">
      <c r="A20" s="176"/>
      <c r="B20" s="176"/>
      <c r="C20" s="117" t="str">
        <f>"证券公司"&amp;" , "&amp;TEXT(SUM(E20:E20),"0.00%")</f>
        <v>证券公司 , 2.41%</v>
      </c>
      <c r="D20" s="117" t="s">
        <v>7552</v>
      </c>
      <c r="E20" s="118">
        <f t="shared" si="0"/>
        <v>2.4099157262948746E-2</v>
      </c>
      <c r="F20" s="35">
        <f t="shared" si="1"/>
        <v>30770.7</v>
      </c>
      <c r="G20" s="140">
        <v>30770.7</v>
      </c>
      <c r="H20" s="35"/>
      <c r="I20" s="139">
        <v>512880</v>
      </c>
      <c r="N20" s="139"/>
      <c r="O20"/>
    </row>
    <row r="21" spans="1:15">
      <c r="A21" s="176" t="str">
        <f>"海外新兴"&amp;" , "&amp;TEXT(SUM(E21:E22),"0.00%")</f>
        <v>海外新兴 , 1.80%</v>
      </c>
      <c r="B21" s="117" t="str">
        <f>"香港"&amp;" , "&amp;TEXT(SUM(E21:E21),"0.00%")</f>
        <v>香港 , 0.28%</v>
      </c>
      <c r="C21" s="117" t="str">
        <f>"恒生"&amp;" , "&amp;TEXT(SUM(E21:E21),"0.00%")</f>
        <v>恒生 , 0.28%</v>
      </c>
      <c r="D21" s="117" t="s">
        <v>7553</v>
      </c>
      <c r="E21" s="118">
        <f t="shared" si="0"/>
        <v>2.7509615595623553E-3</v>
      </c>
      <c r="F21" s="35">
        <f t="shared" si="1"/>
        <v>3512.53</v>
      </c>
      <c r="G21" s="141">
        <v>3512.53</v>
      </c>
      <c r="H21" s="35"/>
      <c r="I21" s="139">
        <v>71</v>
      </c>
      <c r="N21" s="139"/>
      <c r="O21"/>
    </row>
    <row r="22" spans="1:15">
      <c r="A22" s="176"/>
      <c r="B22" s="117" t="str">
        <f>"海外互联"&amp;" , "&amp;TEXT(SUM(E22:E22),"0.00%")</f>
        <v>海外互联 , 1.53%</v>
      </c>
      <c r="C22" s="117" t="str">
        <f>"海外互联网"&amp;" , "&amp;TEXT(SUM(E22:E22),"0.00%")</f>
        <v>海外互联网 , 1.53%</v>
      </c>
      <c r="D22" s="117" t="s">
        <v>7470</v>
      </c>
      <c r="E22" s="118">
        <f t="shared" si="0"/>
        <v>1.5269433178629712E-2</v>
      </c>
      <c r="F22" s="35">
        <f t="shared" si="1"/>
        <v>19496.580000000002</v>
      </c>
      <c r="G22" s="141">
        <v>19496.580000000002</v>
      </c>
      <c r="H22" s="35"/>
      <c r="I22" s="139">
        <v>164906</v>
      </c>
      <c r="N22" s="139"/>
      <c r="O22"/>
    </row>
    <row r="23" spans="1:15">
      <c r="A23" s="117" t="str">
        <f>"海外成熟"&amp;" , "&amp;TEXT(SUM(E23:E23),"0.00%")</f>
        <v>海外成熟 , 1.83%</v>
      </c>
      <c r="B23" s="117" t="str">
        <f>"海外成熟"&amp;" , "&amp;TEXT(SUM(E23:E23),"0.00%")</f>
        <v>海外成熟 , 1.83%</v>
      </c>
      <c r="C23" s="117" t="str">
        <f>"德国30"&amp;" , "&amp;TEXT(SUM(E23:E23),"0.00%")</f>
        <v>德国30 , 1.83%</v>
      </c>
      <c r="D23" s="117" t="s">
        <v>7554</v>
      </c>
      <c r="E23" s="118">
        <f t="shared" si="0"/>
        <v>1.8334201389718301E-2</v>
      </c>
      <c r="F23" s="35">
        <f t="shared" si="1"/>
        <v>23409.79</v>
      </c>
      <c r="G23" s="141">
        <v>23409.79</v>
      </c>
      <c r="H23" s="35"/>
      <c r="I23" s="139">
        <v>614</v>
      </c>
      <c r="N23" s="139"/>
      <c r="O23"/>
    </row>
    <row r="24" spans="1:15">
      <c r="A24" s="176" t="str">
        <f>"商品"&amp;" , "&amp;TEXT(SUM(E24:E26),"0.00%")</f>
        <v>商品 , 2.37%</v>
      </c>
      <c r="B24" s="117" t="str">
        <f>"原油"&amp;" , "&amp;TEXT(SUM(E24:E24),"0.00%")</f>
        <v>原油 , 1.18%</v>
      </c>
      <c r="C24" s="117" t="str">
        <f>"原油"&amp;" , "&amp;TEXT(SUM(E24:E24),"0.00%")</f>
        <v>原油 , 1.18%</v>
      </c>
      <c r="D24" s="117" t="s">
        <v>7555</v>
      </c>
      <c r="E24" s="118">
        <f t="shared" si="0"/>
        <v>1.1762486427596038E-2</v>
      </c>
      <c r="F24" s="35">
        <f t="shared" si="1"/>
        <v>15018.78</v>
      </c>
      <c r="G24" s="141">
        <v>15018.78</v>
      </c>
      <c r="H24" s="35"/>
      <c r="I24" s="139">
        <v>162411</v>
      </c>
      <c r="N24" s="139"/>
      <c r="O24"/>
    </row>
    <row r="25" spans="1:15">
      <c r="A25" s="176"/>
      <c r="B25" s="117" t="str">
        <f>"黄金"&amp;" , "&amp;TEXT(SUM(E25:E25),"0.00%")</f>
        <v>黄金 , 1.20%</v>
      </c>
      <c r="C25" s="117" t="str">
        <f>"黄金"&amp;" , "&amp;TEXT(SUM(E25:E25),"0.00%")</f>
        <v>黄金 , 1.20%</v>
      </c>
      <c r="D25" s="117" t="s">
        <v>7556</v>
      </c>
      <c r="E25" s="118">
        <f t="shared" si="0"/>
        <v>1.1968636439612448E-2</v>
      </c>
      <c r="F25" s="35">
        <f t="shared" si="1"/>
        <v>15282</v>
      </c>
      <c r="G25" s="140">
        <v>15282</v>
      </c>
      <c r="H25" s="35"/>
      <c r="I25" s="139">
        <v>518880</v>
      </c>
      <c r="N25" s="139"/>
      <c r="O25"/>
    </row>
    <row r="26" spans="1:15">
      <c r="A26" s="176"/>
      <c r="B26" s="117" t="str">
        <f>"白银"&amp;" , "&amp;TEXT(SUM(E26:E26),"0.00%")</f>
        <v>白银 , 0.00%</v>
      </c>
      <c r="C26" s="117" t="str">
        <f>"白银"&amp;" , "&amp;TEXT(SUM(E26:E26),"0.00%")</f>
        <v>白银 , 0.00%</v>
      </c>
      <c r="D26" s="117" t="s">
        <v>7557</v>
      </c>
      <c r="E26" s="118">
        <f t="shared" si="0"/>
        <v>0</v>
      </c>
      <c r="F26" s="127">
        <f>K8</f>
        <v>0</v>
      </c>
      <c r="G26" s="35"/>
      <c r="H26" s="35"/>
      <c r="I26" s="139">
        <v>0</v>
      </c>
      <c r="J26" s="118"/>
      <c r="N26" s="139"/>
      <c r="O26"/>
    </row>
    <row r="27" spans="1:15">
      <c r="A27" s="176" t="str">
        <f>"债券"&amp;" , "&amp;TEXT(SUM(E27:E30),"0.00%")</f>
        <v>债券 , 6.63%</v>
      </c>
      <c r="B27" s="176" t="str">
        <f>"国内债券"&amp;" , "&amp;TEXT(SUM(E27:E29),"0.00%")</f>
        <v>国内债券 , 6.05%</v>
      </c>
      <c r="C27" s="176" t="str">
        <f>"可转债"&amp;" , "&amp;TEXT(SUM(E27:E29),"0.00%")</f>
        <v>可转债 , 6.05%</v>
      </c>
      <c r="D27" s="117" t="s">
        <v>7474</v>
      </c>
      <c r="E27" s="118">
        <f t="shared" si="0"/>
        <v>2.8776973740692605E-2</v>
      </c>
      <c r="F27" s="35">
        <f t="shared" ref="F27:F32" si="2">SUM(G27:H27)</f>
        <v>36743.51</v>
      </c>
      <c r="G27" s="141">
        <v>36743.51</v>
      </c>
      <c r="H27" s="35"/>
      <c r="I27" s="139">
        <v>340001</v>
      </c>
      <c r="J27" s="118"/>
      <c r="N27" s="139"/>
      <c r="O27"/>
    </row>
    <row r="28" spans="1:15">
      <c r="A28" s="176"/>
      <c r="B28" s="176"/>
      <c r="C28" s="176"/>
      <c r="D28" s="117" t="s">
        <v>7475</v>
      </c>
      <c r="E28" s="118">
        <f t="shared" si="0"/>
        <v>5.5834526998970995E-3</v>
      </c>
      <c r="F28" s="35">
        <f t="shared" si="2"/>
        <v>7129.16</v>
      </c>
      <c r="G28" s="141">
        <v>7129.16</v>
      </c>
      <c r="H28" s="35"/>
      <c r="I28" s="139">
        <v>519977</v>
      </c>
      <c r="N28" s="139"/>
      <c r="O28"/>
    </row>
    <row r="29" spans="1:15">
      <c r="A29" s="176"/>
      <c r="B29" s="176"/>
      <c r="C29" s="176"/>
      <c r="D29" s="117" t="s">
        <v>7477</v>
      </c>
      <c r="E29" s="118">
        <f t="shared" si="0"/>
        <v>2.6114371136968302E-2</v>
      </c>
      <c r="F29" s="35">
        <f t="shared" si="2"/>
        <v>33343.800000000003</v>
      </c>
      <c r="G29" s="141">
        <v>33343.800000000003</v>
      </c>
      <c r="H29" s="35"/>
      <c r="I29" s="139">
        <v>110027</v>
      </c>
      <c r="N29" s="139"/>
      <c r="O29"/>
    </row>
    <row r="30" spans="1:15">
      <c r="A30" s="176"/>
      <c r="B30" s="117" t="str">
        <f>"海外债券"&amp;" , "&amp;TEXT(SUM(E30:E30),"0.00%")</f>
        <v>海外债券 , 0.59%</v>
      </c>
      <c r="C30" s="117" t="str">
        <f>"美元债"&amp;" , "&amp;TEXT(SUM(E30:E30),"0.00%")</f>
        <v>美元债 , 0.59%</v>
      </c>
      <c r="D30" s="117" t="s">
        <v>7558</v>
      </c>
      <c r="E30" s="118">
        <f t="shared" si="0"/>
        <v>5.8697147274486472E-3</v>
      </c>
      <c r="F30" s="35">
        <f t="shared" si="2"/>
        <v>7494.67</v>
      </c>
      <c r="G30" s="141">
        <v>7494.67</v>
      </c>
      <c r="H30" s="35"/>
      <c r="I30" s="139">
        <v>1061</v>
      </c>
      <c r="N30" s="139"/>
      <c r="O30"/>
    </row>
    <row r="31" spans="1:15">
      <c r="A31" s="176" t="str">
        <f>"现金"&amp;" , "&amp;TEXT(SUM(E31:E32),"0.00%")</f>
        <v>现金 , 13.76%</v>
      </c>
      <c r="B31" s="117" t="str">
        <f>"低风险理财"&amp;" , "&amp;TEXT(SUM(E31:E31),"0.00%")</f>
        <v>低风险理财 , 5.18%</v>
      </c>
      <c r="C31" s="117" t="str">
        <f>"货币基金"&amp;" , "&amp;TEXT(SUM(E31:E31),"0.00%")</f>
        <v>货币基金 , 5.18%</v>
      </c>
      <c r="D31" s="117" t="s">
        <v>7559</v>
      </c>
      <c r="E31" s="118">
        <f t="shared" si="0"/>
        <v>5.1800465271539156E-2</v>
      </c>
      <c r="F31" s="35">
        <f t="shared" si="2"/>
        <v>66140.759999999995</v>
      </c>
      <c r="G31" s="35">
        <f>交易明细!T8</f>
        <v>66140.759999999995</v>
      </c>
      <c r="H31" s="35"/>
      <c r="I31" s="139"/>
      <c r="O31" s="120"/>
    </row>
    <row r="32" spans="1:15">
      <c r="A32" s="176"/>
      <c r="B32" s="117" t="str">
        <f>"中低风险理财"&amp;" , "&amp;TEXT(SUM(E32:E32),"0.00%")</f>
        <v>中低风险理财 , 8.58%</v>
      </c>
      <c r="C32" s="117" t="str">
        <f>"地产定期"&amp;" , "&amp;TEXT(SUM(E32:E32),"0.00%")</f>
        <v>地产定期 , 8.58%</v>
      </c>
      <c r="D32" s="117" t="s">
        <v>7431</v>
      </c>
      <c r="E32" s="118">
        <f t="shared" si="0"/>
        <v>8.5837099449124737E-2</v>
      </c>
      <c r="F32" s="35">
        <f t="shared" si="2"/>
        <v>109600</v>
      </c>
      <c r="G32" s="35">
        <f>100000+9600</f>
        <v>109600</v>
      </c>
      <c r="H32" s="35"/>
      <c r="I32" s="139"/>
      <c r="N32" s="119"/>
      <c r="O32" s="119"/>
    </row>
    <row r="33" spans="1:16">
      <c r="A33" s="117" t="str">
        <f>"冻结资金"&amp;" , "&amp;TEXT(SUM(E33:E33),"0.00%")</f>
        <v>冻结资金 , 25.26%</v>
      </c>
      <c r="B33" s="117" t="str">
        <f>"住房公积金"&amp;" , "&amp;TEXT(SUM(E33:E33),"0.00%")</f>
        <v>住房公积金 , 25.26%</v>
      </c>
      <c r="C33" s="117" t="str">
        <f>"公积金"&amp;" , "&amp;TEXT(SUM(E33:E33),"0.00%")</f>
        <v>公积金 , 25.26%</v>
      </c>
      <c r="D33" s="117" t="s">
        <v>7560</v>
      </c>
      <c r="E33" s="118">
        <f t="shared" si="0"/>
        <v>0.25261932770472734</v>
      </c>
      <c r="F33" s="35">
        <f>K10</f>
        <v>322553.75</v>
      </c>
      <c r="G33" s="35"/>
      <c r="H33" s="35"/>
      <c r="I33" s="139"/>
      <c r="O33" s="120"/>
    </row>
    <row r="34" spans="1:16">
      <c r="C34" s="115"/>
      <c r="D34" s="115" t="s">
        <v>7414</v>
      </c>
      <c r="E34" s="120">
        <f>SUM(E2:E33)</f>
        <v>1</v>
      </c>
      <c r="F34" s="35">
        <f>SUM(F2:F33)</f>
        <v>1276837.1800000002</v>
      </c>
      <c r="H34" s="115"/>
      <c r="I34" s="135"/>
      <c r="N34" s="119"/>
      <c r="O34" s="119"/>
    </row>
    <row r="35" spans="1:16">
      <c r="D35" s="115" t="s">
        <v>7432</v>
      </c>
      <c r="E35" s="122">
        <f>F34/$K$2-1</f>
        <v>4.4401671501150819E-2</v>
      </c>
      <c r="G35" s="137"/>
      <c r="H35" s="115"/>
      <c r="I35" s="135"/>
      <c r="P35" s="120"/>
    </row>
    <row r="36" spans="1:16">
      <c r="G36" s="137"/>
      <c r="O36" s="119"/>
    </row>
    <row r="37" spans="1:16">
      <c r="A37" s="123"/>
      <c r="G37" s="137"/>
      <c r="P37" s="120"/>
    </row>
    <row r="38" spans="1:16">
      <c r="A38" s="115" t="s">
        <v>7439</v>
      </c>
      <c r="B38" s="115" t="s">
        <v>7443</v>
      </c>
      <c r="C38" s="115" t="s">
        <v>7440</v>
      </c>
      <c r="D38" s="115" t="s">
        <v>7441</v>
      </c>
      <c r="E38" s="115" t="s">
        <v>7444</v>
      </c>
      <c r="F38" s="115" t="s">
        <v>7442</v>
      </c>
      <c r="G38" s="137"/>
      <c r="M38" s="161"/>
      <c r="N38" s="35"/>
      <c r="O38" s="35"/>
      <c r="P38" s="34"/>
    </row>
    <row r="39" spans="1:16">
      <c r="A39" s="115" t="str">
        <f>C2</f>
        <v>上证50 , 0.62%</v>
      </c>
      <c r="B39" s="35">
        <f>SUMIFS(交易明细!M:M,交易明细!M:M,"&lt;0",交易明细!C:C,"=50ETF",交易明细!D:D,"=买入")*-1 - SUMIFS(交易明细!M:M,交易明细!M:M,"&gt;0",交易明细!C:C,"=50ETF",交易明细!D:D,"=卖出")</f>
        <v>6443.49</v>
      </c>
      <c r="C39" s="35">
        <f>F2</f>
        <v>7951.5</v>
      </c>
      <c r="D39" s="34">
        <f t="shared" ref="D39:D63" si="3">C39/B39-1</f>
        <v>0.23403621329434832</v>
      </c>
      <c r="E39" s="34">
        <f>IF((B39&gt;0)*AND(C39&lt;&gt;0),B39/$K$2,0)</f>
        <v>5.2705167359717309E-3</v>
      </c>
      <c r="F39" s="34">
        <f t="shared" ref="F39:F62" si="4">(C39-B39)/$K$2</f>
        <v>1.2334917789913124E-3</v>
      </c>
      <c r="G39" s="137"/>
      <c r="H39" s="118"/>
      <c r="L39" s="162"/>
      <c r="M39" s="161"/>
      <c r="N39" s="35"/>
      <c r="O39" s="35"/>
      <c r="P39" s="34"/>
    </row>
    <row r="40" spans="1:16">
      <c r="A40" s="115" t="str">
        <f>C3</f>
        <v>沪深300 , 4.59%</v>
      </c>
      <c r="B40" s="35">
        <f>SUMIFS(交易明细!M:M,交易明细!M:M,"&lt;0",交易明细!C:C,"=300ETF",交易明细!D:D,"=买入")*-1 - SUMIFS(交易明细!M:M,交易明细!M:M,"&gt;0",交易明细!C:C,"=300ETF",交易明细!D:D,"=卖出")</f>
        <v>51004.06</v>
      </c>
      <c r="C40" s="35">
        <f>F3+F4</f>
        <v>58548.770000000004</v>
      </c>
      <c r="D40" s="34">
        <f t="shared" si="3"/>
        <v>0.1479237143082337</v>
      </c>
      <c r="E40" s="34">
        <f t="shared" ref="E40:E62" si="5">IF((B40&gt;0)*AND(C40&lt;&gt;0),B40/$K$2,0)</f>
        <v>4.1719278191245171E-2</v>
      </c>
      <c r="F40" s="34">
        <f t="shared" si="4"/>
        <v>6.1712705883074726E-3</v>
      </c>
      <c r="G40" s="137"/>
      <c r="H40" s="118"/>
      <c r="L40" s="162"/>
      <c r="M40" s="161"/>
      <c r="N40" s="35"/>
      <c r="O40" s="35"/>
      <c r="P40" s="34"/>
    </row>
    <row r="41" spans="1:16">
      <c r="A41" s="115" t="str">
        <f>C5</f>
        <v>中证500 , 17.12%</v>
      </c>
      <c r="B41" s="35">
        <f>SUMIFS(交易明细!M:M,交易明细!M:M,"&lt;0",交易明细!C:C,"=500ETF",交易明细!D:D,"=买入")*-1 - SUMIFS(交易明细!M:M,交易明细!M:M,"&gt;0",交易明细!C:C,"=500ETF",交易明细!D:D,"=卖出")</f>
        <v>226925.85</v>
      </c>
      <c r="C41" s="35">
        <f>F5+F6</f>
        <v>218605.51</v>
      </c>
      <c r="D41" s="34">
        <f t="shared" si="3"/>
        <v>-3.6665457020432002E-2</v>
      </c>
      <c r="E41" s="34">
        <f t="shared" si="5"/>
        <v>0.18561625613597765</v>
      </c>
      <c r="F41" s="34">
        <f t="shared" si="4"/>
        <v>-6.8057048616471843E-3</v>
      </c>
      <c r="G41" s="137"/>
      <c r="H41" s="118"/>
      <c r="M41" s="161"/>
      <c r="N41" s="35"/>
      <c r="O41" s="35"/>
      <c r="P41" s="34"/>
    </row>
    <row r="42" spans="1:16">
      <c r="A42" s="115" t="str">
        <f>C7</f>
        <v>中证1000 , 0.00%</v>
      </c>
      <c r="B42" s="35">
        <f>SUMIFS(交易明细!M:M,交易明细!M:M,"&lt;0",交易明细!C:C,"=1000ETF",交易明细!D:D,"=买入")*-1 - SUMIFS(交易明细!M:M,交易明细!M:M,"&gt;0",交易明细!C:C,"=1000ETF",交易明细!D:D,"=卖出")</f>
        <v>5250.8099999999977</v>
      </c>
      <c r="C42" s="35">
        <f>F7</f>
        <v>0</v>
      </c>
      <c r="D42" s="34">
        <f t="shared" si="3"/>
        <v>-1</v>
      </c>
      <c r="E42" s="34">
        <f t="shared" si="5"/>
        <v>0</v>
      </c>
      <c r="F42" s="34">
        <f t="shared" si="4"/>
        <v>-4.2949522669248671E-3</v>
      </c>
      <c r="G42" s="137"/>
      <c r="H42" s="118"/>
      <c r="M42" s="161"/>
      <c r="N42" s="35"/>
      <c r="O42" s="35"/>
      <c r="P42" s="34"/>
    </row>
    <row r="43" spans="1:16">
      <c r="A43" s="115" t="str">
        <f>C8</f>
        <v>创业板 , 1.77%</v>
      </c>
      <c r="B43" s="35">
        <f>SUMIFS(交易明细!M:M,交易明细!M:M,"&lt;0",交易明细!C:C,"=创业板",交易明细!D:D,"=买入")*-1 - SUMIFS(交易明细!M:M,交易明细!M:M,"&gt;0",交易明细!C:C,"=创业板",交易明细!D:D,"=卖出")</f>
        <v>19268.489999999998</v>
      </c>
      <c r="C43" s="35">
        <f>F8+F9</f>
        <v>22536.21</v>
      </c>
      <c r="D43" s="34">
        <f t="shared" si="3"/>
        <v>0.16958879497044155</v>
      </c>
      <c r="E43" s="34">
        <f t="shared" si="5"/>
        <v>1.576085305042825E-2</v>
      </c>
      <c r="F43" s="34">
        <f t="shared" si="4"/>
        <v>2.6728640765283336E-3</v>
      </c>
      <c r="G43" s="137"/>
      <c r="H43" s="118"/>
      <c r="M43" s="161"/>
      <c r="N43" s="35"/>
      <c r="O43" s="35"/>
      <c r="P43" s="34"/>
    </row>
    <row r="44" spans="1:16">
      <c r="A44" s="115" t="str">
        <f>C10</f>
        <v>中证红利 , 5.56%</v>
      </c>
      <c r="B44" s="35">
        <f>SUMIFS(交易明细!M:M,交易明细!M:M,"&lt;0",交易明细!C:C,"=红利",交易明细!D:D,"=买入")*-1 - SUMIFS(交易明细!M:M,交易明细!M:M,"&gt;0",交易明细!C:C,"=红利",交易明细!D:D,"=卖出")</f>
        <v>66320</v>
      </c>
      <c r="C44" s="35">
        <f>F10</f>
        <v>70985.179999999993</v>
      </c>
      <c r="D44" s="34">
        <f t="shared" si="3"/>
        <v>7.0343486127864896E-2</v>
      </c>
      <c r="E44" s="34">
        <f t="shared" si="5"/>
        <v>5.4247103654951778E-2</v>
      </c>
      <c r="F44" s="34">
        <f t="shared" si="4"/>
        <v>3.8159303834289439E-3</v>
      </c>
      <c r="H44" s="118"/>
      <c r="M44" s="161"/>
      <c r="N44" s="35"/>
      <c r="O44" s="35"/>
      <c r="P44" s="34"/>
    </row>
    <row r="45" spans="1:16">
      <c r="A45" s="115" t="str">
        <f>C11</f>
        <v>养老产业 , 4.69%</v>
      </c>
      <c r="B45" s="35">
        <f>SUMIFS(交易明细!M:M,交易明细!M:M,"&lt;0",交易明细!C:C,"=养老",交易明细!D:D,"=买入")*-1 - SUMIFS(交易明细!M:M,交易明细!M:M,"&gt;0",交易明细!C:C,"=养老",交易明细!D:D,"=卖出")</f>
        <v>58200</v>
      </c>
      <c r="C45" s="35">
        <f>F11</f>
        <v>59839.32</v>
      </c>
      <c r="D45" s="34">
        <f t="shared" si="3"/>
        <v>2.8167010309278373E-2</v>
      </c>
      <c r="E45" s="34">
        <f t="shared" si="5"/>
        <v>4.7605268888995675E-2</v>
      </c>
      <c r="F45" s="34">
        <f t="shared" si="4"/>
        <v>1.340898099572309E-3</v>
      </c>
      <c r="H45" s="118"/>
      <c r="M45" s="161"/>
      <c r="N45" s="35"/>
      <c r="O45" s="35"/>
      <c r="P45" s="34"/>
    </row>
    <row r="46" spans="1:16">
      <c r="A46" s="115" t="str">
        <f>C12</f>
        <v>全指医药 , 4.11%</v>
      </c>
      <c r="B46" s="35">
        <f>SUMIFS(交易明细!M:M,交易明细!M:M,"&lt;0",交易明细!C:C,"=医药",交易明细!D:D,"=买入")*-1 - SUMIFS(交易明细!M:M,交易明细!M:M,"&gt;0",交易明细!C:C,"=医药",交易明细!D:D,"=卖出")</f>
        <v>48860.979999999996</v>
      </c>
      <c r="C46" s="35">
        <f>F12+F13</f>
        <v>52514.700000000004</v>
      </c>
      <c r="D46" s="34">
        <f t="shared" si="3"/>
        <v>7.4777869784846906E-2</v>
      </c>
      <c r="E46" s="34">
        <f t="shared" si="5"/>
        <v>3.9966324589000686E-2</v>
      </c>
      <c r="F46" s="34">
        <f t="shared" si="4"/>
        <v>2.9885966158952181E-3</v>
      </c>
      <c r="H46" s="118"/>
      <c r="M46" s="161"/>
      <c r="N46" s="35"/>
      <c r="O46" s="35"/>
      <c r="P46" s="34"/>
    </row>
    <row r="47" spans="1:16">
      <c r="A47" s="115" t="str">
        <f>C14</f>
        <v>中证传媒 , 2.47%</v>
      </c>
      <c r="B47" s="35">
        <f>SUMIFS(交易明细!M:M,交易明细!M:M,"&lt;0",交易明细!C:C,"=传媒",交易明细!D:D,"=买入")*-1 - SUMIFS(交易明细!M:M,交易明细!M:M,"&gt;0",交易明细!C:C,"=传媒",交易明细!D:D,"=卖出")</f>
        <v>36020.33</v>
      </c>
      <c r="C47" s="35">
        <f>F15</f>
        <v>25643.200000000001</v>
      </c>
      <c r="D47" s="34">
        <f t="shared" si="3"/>
        <v>-0.28809091976669843</v>
      </c>
      <c r="E47" s="34">
        <f t="shared" si="5"/>
        <v>2.9463187201380719E-2</v>
      </c>
      <c r="F47" s="34">
        <f t="shared" si="4"/>
        <v>-8.4880767001041888E-3</v>
      </c>
      <c r="H47" s="118"/>
      <c r="M47" s="161"/>
      <c r="N47" s="35"/>
      <c r="O47" s="35"/>
      <c r="P47" s="34"/>
    </row>
    <row r="48" spans="1:16">
      <c r="A48" s="115" t="str">
        <f>C16</f>
        <v>中证环保 , 3.22%</v>
      </c>
      <c r="B48" s="35">
        <f>SUMIFS(交易明细!M:M,交易明细!M:M,"&lt;0",交易明细!C:C,"=环保",交易明细!D:D,"=买入")*-1 - SUMIFS(交易明细!M:M,交易明细!M:M,"&gt;0",交易明细!C:C,"=环保",交易明细!D:D,"=卖出")</f>
        <v>48055.229999999996</v>
      </c>
      <c r="C48" s="35">
        <f>F16+F17</f>
        <v>41099.72</v>
      </c>
      <c r="D48" s="34">
        <f t="shared" si="3"/>
        <v>-0.14473991696637378</v>
      </c>
      <c r="E48" s="34">
        <f t="shared" si="5"/>
        <v>3.9307253362070992E-2</v>
      </c>
      <c r="F48" s="34">
        <f t="shared" si="4"/>
        <v>-5.6893285878023723E-3</v>
      </c>
      <c r="H48" s="118"/>
      <c r="M48" s="161"/>
      <c r="N48" s="35"/>
      <c r="O48" s="35"/>
      <c r="P48" s="34"/>
    </row>
    <row r="49" spans="1:16">
      <c r="A49" s="115" t="str">
        <f t="shared" ref="A49:A58" si="6">C18</f>
        <v>全指消费 , 0.00%</v>
      </c>
      <c r="B49" s="35">
        <f>SUMIFS(交易明细!M:M,交易明细!M:M,"&lt;0",交易明细!C:C,"=消费",交易明细!D:D,"=买入")*-1 - SUMIFS(交易明细!M:M,交易明细!M:M,"&gt;0",交易明细!C:C,"=消费",交易明细!D:D,"=卖出")</f>
        <v>-3540.4400000000005</v>
      </c>
      <c r="C49" s="35">
        <f t="shared" ref="C49:C57" si="7">F18</f>
        <v>0</v>
      </c>
      <c r="D49" s="34">
        <f t="shared" si="3"/>
        <v>-1</v>
      </c>
      <c r="E49" s="34">
        <f t="shared" si="5"/>
        <v>0</v>
      </c>
      <c r="F49" s="34">
        <f t="shared" si="4"/>
        <v>2.8959381131504446E-3</v>
      </c>
      <c r="H49" s="118"/>
      <c r="M49" s="161"/>
      <c r="N49" s="35"/>
      <c r="O49" s="35"/>
      <c r="P49" s="34"/>
    </row>
    <row r="50" spans="1:16">
      <c r="A50" s="115" t="str">
        <f t="shared" si="6"/>
        <v>金融地产 , 1.78%</v>
      </c>
      <c r="B50" s="35">
        <f>SUMIFS(交易明细!M:M,交易明细!M:M,"&lt;0",交易明细!C:C,"=金融地产",交易明细!D:D,"=买入")*-1 - SUMIFS(交易明细!M:M,交易明细!M:M,"&gt;0",交易明细!C:C,"=金融地产",交易明细!D:D,"=卖出")</f>
        <v>19200</v>
      </c>
      <c r="C50" s="35">
        <f t="shared" si="7"/>
        <v>22691.96</v>
      </c>
      <c r="D50" s="34">
        <f t="shared" si="3"/>
        <v>0.18187291666666661</v>
      </c>
      <c r="E50" s="34">
        <f t="shared" si="5"/>
        <v>1.5704830973689295E-2</v>
      </c>
      <c r="F50" s="34">
        <f t="shared" si="4"/>
        <v>2.856283414941878E-3</v>
      </c>
      <c r="H50" s="118"/>
      <c r="M50" s="161"/>
      <c r="N50" s="35"/>
      <c r="O50" s="35"/>
      <c r="P50" s="34"/>
    </row>
    <row r="51" spans="1:16">
      <c r="A51" s="115" t="str">
        <f t="shared" si="6"/>
        <v>证券公司 , 2.41%</v>
      </c>
      <c r="B51" s="35">
        <f>SUMIFS(交易明细!M:M,交易明细!M:M,"&lt;0",交易明细!C:C,"=证券",交易明细!D:D,"=买入")*-1 - SUMIFS(交易明细!M:M,交易明细!M:M,"&gt;0",交易明细!C:C,"=证券",交易明细!D:D,"=卖出")</f>
        <v>25572.12</v>
      </c>
      <c r="C51" s="35">
        <f t="shared" si="7"/>
        <v>30770.7</v>
      </c>
      <c r="D51" s="34">
        <f t="shared" si="3"/>
        <v>0.20329092777603108</v>
      </c>
      <c r="E51" s="34">
        <f t="shared" si="5"/>
        <v>2.0916969908276014E-2</v>
      </c>
      <c r="F51" s="34">
        <f t="shared" si="4"/>
        <v>4.2522302189167563E-3</v>
      </c>
      <c r="H51" s="118"/>
      <c r="M51" s="161"/>
      <c r="N51" s="35"/>
      <c r="O51" s="35"/>
      <c r="P51" s="34"/>
    </row>
    <row r="52" spans="1:16">
      <c r="A52" s="115" t="str">
        <f t="shared" si="6"/>
        <v>恒生 , 0.28%</v>
      </c>
      <c r="B52" s="35">
        <f>SUMIFS(交易明细!M:M,交易明细!M:M,"&lt;0",交易明细!C:C,"=恒生",交易明细!D:D,"=买入")*-1 - SUMIFS(交易明细!M:M,交易明细!M:M,"&gt;0",交易明细!C:C,"=恒生",交易明细!D:D,"=卖出")</f>
        <v>6400</v>
      </c>
      <c r="C52" s="35">
        <f t="shared" si="7"/>
        <v>3512.53</v>
      </c>
      <c r="D52" s="34">
        <f t="shared" si="3"/>
        <v>-0.45116718749999996</v>
      </c>
      <c r="E52" s="34">
        <f t="shared" si="5"/>
        <v>5.2349436578964324E-3</v>
      </c>
      <c r="F52" s="34">
        <f t="shared" si="4"/>
        <v>-2.3618348068540954E-3</v>
      </c>
      <c r="H52" s="118"/>
      <c r="M52" s="161"/>
      <c r="N52" s="35"/>
      <c r="O52" s="35"/>
      <c r="P52" s="34"/>
    </row>
    <row r="53" spans="1:16">
      <c r="A53" s="115" t="str">
        <f t="shared" si="6"/>
        <v>海外互联网 , 1.53%</v>
      </c>
      <c r="B53" s="35">
        <f>SUMIFS(交易明细!M:M,交易明细!M:M,"&lt;0",交易明细!C:C,"=海外互联网",交易明细!D:D,"=买入")*-1 - SUMIFS(交易明细!M:M,交易明细!M:M,"&gt;0",交易明细!C:C,"=海外互联网",交易明细!D:D,"=卖出")</f>
        <v>19200</v>
      </c>
      <c r="C53" s="35">
        <f t="shared" si="7"/>
        <v>19496.580000000002</v>
      </c>
      <c r="D53" s="34">
        <f t="shared" si="3"/>
        <v>1.5446875000000082E-2</v>
      </c>
      <c r="E53" s="34">
        <f t="shared" si="5"/>
        <v>1.5704830973689295E-2</v>
      </c>
      <c r="F53" s="34">
        <f t="shared" si="4"/>
        <v>2.4259056094670827E-4</v>
      </c>
      <c r="H53" s="118"/>
      <c r="M53" s="161"/>
      <c r="N53" s="35"/>
      <c r="O53" s="35"/>
      <c r="P53" s="34"/>
    </row>
    <row r="54" spans="1:16">
      <c r="A54" s="115" t="str">
        <f t="shared" si="6"/>
        <v>德国30 , 1.83%</v>
      </c>
      <c r="B54" s="35">
        <f>SUMIFS(交易明细!M:M,交易明细!M:M,"&lt;0",交易明细!C:C,"=德国30",交易明细!D:D,"=买入")*-1 - SUMIFS(交易明细!M:M,交易明细!M:M,"&gt;0",交易明细!C:C,"=德国30",交易明细!D:D,"=卖出")</f>
        <v>22600</v>
      </c>
      <c r="C54" s="35">
        <f t="shared" si="7"/>
        <v>23409.79</v>
      </c>
      <c r="D54" s="34">
        <f t="shared" si="3"/>
        <v>3.583141592920347E-2</v>
      </c>
      <c r="E54" s="34">
        <f t="shared" si="5"/>
        <v>1.8485894791946775E-2</v>
      </c>
      <c r="F54" s="34">
        <f t="shared" si="4"/>
        <v>6.6237578511374321E-4</v>
      </c>
      <c r="H54" s="118"/>
      <c r="M54" s="161"/>
      <c r="N54" s="35"/>
      <c r="O54" s="35"/>
      <c r="P54" s="34"/>
    </row>
    <row r="55" spans="1:16">
      <c r="A55" s="115" t="str">
        <f t="shared" si="6"/>
        <v>原油 , 1.18%</v>
      </c>
      <c r="B55" s="35">
        <f>SUMIFS(交易明细!M:M,交易明细!M:M,"&lt;0",交易明细!C:C,"=原油",交易明细!D:D,"=买入")*-1 - SUMIFS(交易明细!M:M,交易明细!M:M,"&gt;0",交易明细!C:C,"=原油",交易明细!D:D,"=卖出")</f>
        <v>19200</v>
      </c>
      <c r="C55" s="35">
        <f t="shared" si="7"/>
        <v>15018.78</v>
      </c>
      <c r="D55" s="34">
        <f t="shared" si="3"/>
        <v>-0.21777187499999995</v>
      </c>
      <c r="E55" s="34">
        <f t="shared" si="5"/>
        <v>1.5704830973689295E-2</v>
      </c>
      <c r="F55" s="34">
        <f t="shared" si="4"/>
        <v>-3.4200704876983933E-3</v>
      </c>
      <c r="H55" s="118"/>
      <c r="M55" s="161"/>
      <c r="N55" s="35"/>
      <c r="O55" s="35"/>
      <c r="P55" s="34"/>
    </row>
    <row r="56" spans="1:16">
      <c r="A56" s="115" t="str">
        <f t="shared" si="6"/>
        <v>黄金 , 1.20%</v>
      </c>
      <c r="B56" s="35">
        <f>SUMIFS(交易明细!M:M,交易明细!M:M,"&lt;0",交易明细!C:C,"=黄金",交易明细!D:D,"=买入")*-1 - SUMIFS(交易明细!M:M,交易明细!M:M,"&gt;0",交易明细!C:C,"=黄金",交易明细!D:D,"=卖出")</f>
        <v>12852.09</v>
      </c>
      <c r="C56" s="35">
        <f t="shared" si="7"/>
        <v>15282</v>
      </c>
      <c r="D56" s="34">
        <f t="shared" si="3"/>
        <v>0.18906730345025591</v>
      </c>
      <c r="E56" s="34">
        <f t="shared" si="5"/>
        <v>1.0512494849408461E-2</v>
      </c>
      <c r="F56" s="34">
        <f t="shared" si="4"/>
        <v>1.987569053712362E-3</v>
      </c>
      <c r="H56" s="118"/>
      <c r="M56" s="161"/>
      <c r="N56" s="35"/>
      <c r="O56" s="35"/>
      <c r="P56" s="34"/>
    </row>
    <row r="57" spans="1:16">
      <c r="A57" s="115" t="str">
        <f t="shared" si="6"/>
        <v>白银 , 0.00%</v>
      </c>
      <c r="B57" s="35">
        <f>SUMIFS(交易明细!M:M,交易明细!M:M,"&lt;0",交易明细!C:C,"=白银",交易明细!D:D,"=买入")*-1 - SUMIFS(交易明细!M:M,交易明细!M:M,"&gt;0",交易明细!C:C,"=白银",交易明细!D:D,"=卖出")</f>
        <v>-1251.2729999999974</v>
      </c>
      <c r="C57" s="35">
        <f t="shared" si="7"/>
        <v>0</v>
      </c>
      <c r="D57" s="34">
        <f t="shared" si="3"/>
        <v>-1</v>
      </c>
      <c r="E57" s="34">
        <f t="shared" si="5"/>
        <v>0</v>
      </c>
      <c r="F57" s="34">
        <f t="shared" si="4"/>
        <v>1.0234911961948482E-3</v>
      </c>
      <c r="H57" s="118"/>
      <c r="M57" s="161"/>
      <c r="N57" s="35"/>
      <c r="O57" s="35"/>
      <c r="P57" s="34"/>
    </row>
    <row r="58" spans="1:16">
      <c r="A58" s="115" t="str">
        <f t="shared" si="6"/>
        <v>可转债 , 6.05%</v>
      </c>
      <c r="B58" s="35">
        <f>SUMIFS(交易明细!M:M,交易明细!M:M,"&lt;0",交易明细!C:C,"=可转债",交易明细!D:D,"=买入")*-1 - SUMIFS(交易明细!M:M,交易明细!M:M,"&gt;0",交易明细!C:C,"=可转债",交易明细!D:D,"=卖出")</f>
        <v>70400</v>
      </c>
      <c r="C58" s="35">
        <f>F27+F28+F29</f>
        <v>77216.47</v>
      </c>
      <c r="D58" s="34">
        <f t="shared" si="3"/>
        <v>9.6824857954545429E-2</v>
      </c>
      <c r="E58" s="34">
        <f t="shared" si="5"/>
        <v>5.7584380236860751E-2</v>
      </c>
      <c r="F58" s="34">
        <f t="shared" si="4"/>
        <v>5.5755994368345777E-3</v>
      </c>
      <c r="H58" s="118"/>
      <c r="M58" s="161"/>
      <c r="N58" s="35"/>
      <c r="O58" s="35"/>
      <c r="P58" s="34"/>
    </row>
    <row r="59" spans="1:16">
      <c r="A59" s="115" t="str">
        <f>C30</f>
        <v>美元债 , 0.59%</v>
      </c>
      <c r="B59" s="35">
        <f>SUMIFS(交易明细!M:M,交易明细!M:M,"&lt;0",交易明细!C:C,"=海外债",交易明细!D:D,"=买入")*-1 - SUMIFS(交易明细!M:M,交易明细!M:M,"&gt;0",交易明细!C:C,"=海外债",交易明细!D:D,"=卖出")</f>
        <v>5145.119999999999</v>
      </c>
      <c r="C59" s="35">
        <f>F30</f>
        <v>7494.67</v>
      </c>
      <c r="D59" s="34">
        <f t="shared" si="3"/>
        <v>0.45665601579749393</v>
      </c>
      <c r="E59" s="34">
        <f t="shared" si="5"/>
        <v>4.2085020801743882E-3</v>
      </c>
      <c r="F59" s="34">
        <f t="shared" si="4"/>
        <v>1.9218377924079013E-3</v>
      </c>
      <c r="H59" s="118"/>
      <c r="M59" s="161"/>
      <c r="N59" s="35"/>
      <c r="O59" s="35"/>
      <c r="P59" s="34"/>
    </row>
    <row r="60" spans="1:16">
      <c r="A60" s="115" t="str">
        <f>C31</f>
        <v>货币基金 , 5.18%</v>
      </c>
      <c r="B60" s="35">
        <f>G31</f>
        <v>66140.759999999995</v>
      </c>
      <c r="C60" s="35">
        <f>F31</f>
        <v>66140.759999999995</v>
      </c>
      <c r="D60" s="34">
        <f t="shared" si="3"/>
        <v>0</v>
      </c>
      <c r="E60" s="34">
        <f t="shared" si="5"/>
        <v>5.4100492514132813E-2</v>
      </c>
      <c r="F60" s="34">
        <f t="shared" si="4"/>
        <v>0</v>
      </c>
      <c r="H60" s="118"/>
      <c r="M60" s="161"/>
      <c r="N60" s="161"/>
      <c r="O60" s="35"/>
      <c r="P60" s="34"/>
    </row>
    <row r="61" spans="1:16">
      <c r="A61" s="115" t="str">
        <f>C32</f>
        <v>地产定期 , 8.58%</v>
      </c>
      <c r="B61" s="115">
        <f>K6</f>
        <v>100000</v>
      </c>
      <c r="C61" s="35">
        <f>F32</f>
        <v>109600</v>
      </c>
      <c r="D61" s="34">
        <f t="shared" si="3"/>
        <v>9.6000000000000085E-2</v>
      </c>
      <c r="E61" s="34">
        <f t="shared" si="5"/>
        <v>8.1795994654631748E-2</v>
      </c>
      <c r="F61" s="34">
        <f t="shared" si="4"/>
        <v>7.8524154868446477E-3</v>
      </c>
      <c r="H61" s="118"/>
      <c r="M61" s="161"/>
      <c r="N61" s="161"/>
      <c r="O61" s="35"/>
      <c r="P61" s="34"/>
    </row>
    <row r="62" spans="1:16">
      <c r="A62" s="115" t="str">
        <f>C33</f>
        <v>公积金 , 25.26%</v>
      </c>
      <c r="B62" s="115">
        <f>K10</f>
        <v>322553.75</v>
      </c>
      <c r="C62" s="35">
        <f>F33</f>
        <v>322553.75</v>
      </c>
      <c r="D62" s="34">
        <f t="shared" si="3"/>
        <v>0</v>
      </c>
      <c r="E62" s="34">
        <f t="shared" si="5"/>
        <v>0.26383604810831424</v>
      </c>
      <c r="F62" s="34">
        <f t="shared" si="4"/>
        <v>0</v>
      </c>
      <c r="H62" s="118"/>
    </row>
    <row r="63" spans="1:16">
      <c r="A63" s="115" t="str">
        <f>D34</f>
        <v>总市值</v>
      </c>
      <c r="B63" s="115">
        <f>SUM(B38:B62)</f>
        <v>1250821.3670000001</v>
      </c>
      <c r="C63" s="78">
        <f>SUM(C38:C62)</f>
        <v>1270912.1000000001</v>
      </c>
      <c r="D63" s="77">
        <f t="shared" si="3"/>
        <v>1.6062032141476834E-2</v>
      </c>
      <c r="E63" s="115"/>
    </row>
    <row r="67" spans="1:4">
      <c r="A67" s="115" t="str">
        <f>基金成本!A1</f>
        <v>名称</v>
      </c>
      <c r="B67" s="115" t="str">
        <f>基金成本!B1</f>
        <v>代码</v>
      </c>
      <c r="C67" s="115" t="s">
        <v>7481</v>
      </c>
      <c r="D67" s="115" t="s">
        <v>7314</v>
      </c>
    </row>
    <row r="68" spans="1:4">
      <c r="A68" s="115" t="str">
        <f>基金成本!A2</f>
        <v>50ETF</v>
      </c>
      <c r="B68" s="115">
        <f>基金成本!B2</f>
        <v>510050</v>
      </c>
      <c r="C68" s="35">
        <f>G2</f>
        <v>7951.5</v>
      </c>
      <c r="D68" s="34">
        <f t="shared" ref="D68:D96" si="8">C68/$C$97</f>
        <v>9.9739848521116364E-3</v>
      </c>
    </row>
    <row r="69" spans="1:4">
      <c r="A69" s="115" t="str">
        <f>基金成本!A3</f>
        <v>300ETF</v>
      </c>
      <c r="B69" s="115" t="str">
        <f>基金成本!B3</f>
        <v>510300</v>
      </c>
      <c r="C69" s="35">
        <f>G3</f>
        <v>35207.9</v>
      </c>
      <c r="D69" s="34">
        <f t="shared" si="8"/>
        <v>4.4163121583935268E-2</v>
      </c>
    </row>
    <row r="70" spans="1:4">
      <c r="A70" s="115" t="str">
        <f>基金成本!A4</f>
        <v>富国300</v>
      </c>
      <c r="B70" s="115" t="str">
        <f>基金成本!B4</f>
        <v>100038</v>
      </c>
      <c r="C70" s="35">
        <f>G4</f>
        <v>23340.87</v>
      </c>
      <c r="D70" s="34">
        <f t="shared" si="8"/>
        <v>2.9277681420500148E-2</v>
      </c>
    </row>
    <row r="71" spans="1:4">
      <c r="A71" s="115" t="str">
        <f>基金成本!A5</f>
        <v>500ETF</v>
      </c>
      <c r="B71" s="115">
        <f>基金成本!B5</f>
        <v>510050</v>
      </c>
      <c r="C71" s="35">
        <f t="shared" ref="C71:C77" si="9">G5</f>
        <v>203415</v>
      </c>
      <c r="D71" s="34">
        <f t="shared" si="8"/>
        <v>0.25515413804845483</v>
      </c>
    </row>
    <row r="72" spans="1:4">
      <c r="A72" s="115" t="str">
        <f>基金成本!A6</f>
        <v>富国500</v>
      </c>
      <c r="B72" s="115" t="str">
        <f>基金成本!B6</f>
        <v>161017</v>
      </c>
      <c r="C72" s="35">
        <f t="shared" si="9"/>
        <v>15190.51</v>
      </c>
      <c r="D72" s="34">
        <f t="shared" si="8"/>
        <v>1.9054256006520824E-2</v>
      </c>
    </row>
    <row r="73" spans="1:4">
      <c r="A73" s="115" t="str">
        <f>基金成本!A7</f>
        <v>1000ETF</v>
      </c>
      <c r="B73" s="115">
        <f>基金成本!B7</f>
        <v>510050</v>
      </c>
      <c r="C73" s="35">
        <f t="shared" si="9"/>
        <v>0</v>
      </c>
      <c r="D73" s="34">
        <f t="shared" si="8"/>
        <v>0</v>
      </c>
    </row>
    <row r="74" spans="1:4">
      <c r="A74" s="115" t="str">
        <f>基金成本!A8</f>
        <v>创业板</v>
      </c>
      <c r="B74" s="115" t="str">
        <f>基金成本!B8</f>
        <v>159915</v>
      </c>
      <c r="C74" s="35">
        <f t="shared" si="9"/>
        <v>14444</v>
      </c>
      <c r="D74" s="34">
        <f t="shared" si="8"/>
        <v>1.811786923271087E-2</v>
      </c>
    </row>
    <row r="75" spans="1:4">
      <c r="A75" s="115" t="str">
        <f>基金成本!A9</f>
        <v>易方达创业板</v>
      </c>
      <c r="B75" s="115" t="str">
        <f>基金成本!B9</f>
        <v>110026</v>
      </c>
      <c r="C75" s="35">
        <f t="shared" si="9"/>
        <v>8092.21</v>
      </c>
      <c r="D75" s="34">
        <f t="shared" si="8"/>
        <v>1.0150484809168876E-2</v>
      </c>
    </row>
    <row r="76" spans="1:4">
      <c r="A76" s="115" t="str">
        <f>基金成本!A10</f>
        <v>富国中证红利</v>
      </c>
      <c r="B76" s="115" t="str">
        <f>基金成本!B10</f>
        <v>100032</v>
      </c>
      <c r="C76" s="35">
        <f t="shared" si="9"/>
        <v>70985.179999999993</v>
      </c>
      <c r="D76" s="34">
        <f t="shared" si="8"/>
        <v>8.90404464622295E-2</v>
      </c>
    </row>
    <row r="77" spans="1:4">
      <c r="A77" s="115" t="str">
        <f>基金成本!A12</f>
        <v>广发养老</v>
      </c>
      <c r="B77" s="115" t="str">
        <f>基金成本!B12</f>
        <v>000968</v>
      </c>
      <c r="C77" s="35">
        <f t="shared" si="9"/>
        <v>59839.32</v>
      </c>
      <c r="D77" s="34">
        <f t="shared" si="8"/>
        <v>7.5059607777232085E-2</v>
      </c>
    </row>
    <row r="78" spans="1:4">
      <c r="A78" s="115" t="str">
        <f>基金成本!A13</f>
        <v>医药ETF</v>
      </c>
      <c r="B78" s="115" t="str">
        <f>基金成本!B13</f>
        <v>159938</v>
      </c>
      <c r="C78" s="35">
        <f>G12</f>
        <v>18878.400000000001</v>
      </c>
      <c r="D78" s="34">
        <f t="shared" si="8"/>
        <v>2.368017048759408E-2</v>
      </c>
    </row>
    <row r="79" spans="1:4">
      <c r="A79" s="115" t="str">
        <f>基金成本!A14</f>
        <v>广发医药</v>
      </c>
      <c r="B79" s="115" t="str">
        <f>基金成本!B14</f>
        <v>001180</v>
      </c>
      <c r="C79" s="35">
        <f>G13</f>
        <v>33636.300000000003</v>
      </c>
      <c r="D79" s="34">
        <f t="shared" si="8"/>
        <v>4.2191781007493261E-2</v>
      </c>
    </row>
    <row r="80" spans="1:4">
      <c r="A80" s="115" t="str">
        <f>基金成本!A15</f>
        <v>传媒ETF</v>
      </c>
      <c r="B80" s="115" t="str">
        <f>基金成本!B15</f>
        <v>512980</v>
      </c>
      <c r="C80" s="35">
        <f>G15</f>
        <v>25643.200000000001</v>
      </c>
      <c r="D80" s="34">
        <f t="shared" si="8"/>
        <v>3.216561508642006E-2</v>
      </c>
    </row>
    <row r="81" spans="1:4">
      <c r="A81" s="125" t="str">
        <f>基金成本!A16</f>
        <v>广发传媒</v>
      </c>
      <c r="B81" s="125" t="str">
        <f>基金成本!B16</f>
        <v>004752</v>
      </c>
      <c r="C81" s="35">
        <f>G16</f>
        <v>24606.400000000001</v>
      </c>
      <c r="D81" s="34">
        <f t="shared" si="8"/>
        <v>3.0865102290762721E-2</v>
      </c>
    </row>
    <row r="82" spans="1:4">
      <c r="A82" s="115" t="str">
        <f>基金成本!A17</f>
        <v>环保ETF</v>
      </c>
      <c r="B82" s="115" t="str">
        <f>基金成本!B17</f>
        <v>512580</v>
      </c>
      <c r="C82" s="35">
        <f>G16</f>
        <v>24606.400000000001</v>
      </c>
      <c r="D82" s="34">
        <f t="shared" si="8"/>
        <v>3.0865102290762721E-2</v>
      </c>
    </row>
    <row r="83" spans="1:4">
      <c r="A83" s="115" t="str">
        <f>基金成本!A18</f>
        <v>广发环保</v>
      </c>
      <c r="B83" s="115" t="str">
        <f>基金成本!B18</f>
        <v>001064</v>
      </c>
      <c r="C83" s="80">
        <f>G17+H17</f>
        <v>16493.32</v>
      </c>
      <c r="D83" s="34">
        <f t="shared" si="8"/>
        <v>2.0688439142429717E-2</v>
      </c>
    </row>
    <row r="84" spans="1:4">
      <c r="A84" s="115" t="str">
        <f>基金成本!A19</f>
        <v>易方达消费</v>
      </c>
      <c r="B84" s="115" t="str">
        <f>基金成本!B19</f>
        <v>110022</v>
      </c>
      <c r="C84" s="35">
        <f t="shared" ref="C84:C85" si="10">G18</f>
        <v>0</v>
      </c>
      <c r="D84" s="34">
        <f t="shared" si="8"/>
        <v>0</v>
      </c>
    </row>
    <row r="85" spans="1:4">
      <c r="A85" s="115" t="str">
        <f>基金成本!A20</f>
        <v>广发金融地产</v>
      </c>
      <c r="B85" s="115" t="str">
        <f>基金成本!B20</f>
        <v>001469</v>
      </c>
      <c r="C85" s="35">
        <f t="shared" si="10"/>
        <v>22691.96</v>
      </c>
      <c r="D85" s="34">
        <f t="shared" si="8"/>
        <v>2.8463719462330776E-2</v>
      </c>
    </row>
    <row r="86" spans="1:4">
      <c r="A86" s="115" t="str">
        <f>基金成本!A21</f>
        <v>证券ETF</v>
      </c>
      <c r="B86" s="115" t="str">
        <f>基金成本!B21</f>
        <v>512880</v>
      </c>
      <c r="C86" s="35">
        <f>G20</f>
        <v>30770.7</v>
      </c>
      <c r="D86" s="34">
        <f t="shared" si="8"/>
        <v>3.8597308141718106E-2</v>
      </c>
    </row>
    <row r="87" spans="1:4">
      <c r="A87" s="115" t="str">
        <f>基金成本!A22</f>
        <v>华夏恒生ETF</v>
      </c>
      <c r="B87" s="115" t="str">
        <f>基金成本!B22</f>
        <v>000071</v>
      </c>
      <c r="C87" s="35">
        <f t="shared" ref="C87:C96" si="11">G21</f>
        <v>3512.53</v>
      </c>
      <c r="D87" s="34">
        <f t="shared" si="8"/>
        <v>4.4059512057583712E-3</v>
      </c>
    </row>
    <row r="88" spans="1:4">
      <c r="A88" s="115" t="str">
        <f>基金成本!A23</f>
        <v>交银海外互联网</v>
      </c>
      <c r="B88" s="115" t="str">
        <f>基金成本!B23</f>
        <v>164906</v>
      </c>
      <c r="C88" s="35">
        <f t="shared" si="11"/>
        <v>19496.580000000002</v>
      </c>
      <c r="D88" s="34">
        <f t="shared" si="8"/>
        <v>2.4455586189773341E-2</v>
      </c>
    </row>
    <row r="89" spans="1:4">
      <c r="A89" s="115" t="str">
        <f>基金成本!A24</f>
        <v>华安德国30</v>
      </c>
      <c r="B89" s="115" t="str">
        <f>基金成本!B24</f>
        <v>000614</v>
      </c>
      <c r="C89" s="35">
        <f t="shared" si="11"/>
        <v>23409.79</v>
      </c>
      <c r="D89" s="34">
        <f t="shared" si="8"/>
        <v>2.9364131403020119E-2</v>
      </c>
    </row>
    <row r="90" spans="1:4">
      <c r="A90" s="115" t="str">
        <f>基金成本!A25</f>
        <v>华宝油气</v>
      </c>
      <c r="B90" s="115" t="str">
        <f>基金成本!B25</f>
        <v>162411</v>
      </c>
      <c r="C90" s="35">
        <f t="shared" si="11"/>
        <v>15018.78</v>
      </c>
      <c r="D90" s="34">
        <f t="shared" si="8"/>
        <v>1.8838846031213885E-2</v>
      </c>
    </row>
    <row r="91" spans="1:4">
      <c r="A91" s="115" t="str">
        <f>基金成本!A26</f>
        <v>黄金ETF</v>
      </c>
      <c r="B91" s="115" t="str">
        <f>基金成本!B26</f>
        <v>518880</v>
      </c>
      <c r="C91" s="35">
        <f t="shared" si="11"/>
        <v>15282</v>
      </c>
      <c r="D91" s="34">
        <f t="shared" si="8"/>
        <v>1.9169016727657678E-2</v>
      </c>
    </row>
    <row r="92" spans="1:4">
      <c r="A92" s="115" t="str">
        <f>基金成本!A27</f>
        <v>兴全可转债</v>
      </c>
      <c r="B92" s="115">
        <f>基金成本!B27</f>
        <v>340001</v>
      </c>
      <c r="C92" s="35">
        <f t="shared" si="11"/>
        <v>0</v>
      </c>
      <c r="D92" s="34">
        <f t="shared" si="8"/>
        <v>0</v>
      </c>
    </row>
    <row r="93" spans="1:4">
      <c r="A93" s="115" t="str">
        <f>基金成本!A28</f>
        <v>易方达安心债</v>
      </c>
      <c r="B93" s="115">
        <f>基金成本!B28</f>
        <v>110027</v>
      </c>
      <c r="C93" s="35">
        <f t="shared" si="11"/>
        <v>36743.51</v>
      </c>
      <c r="D93" s="34">
        <f t="shared" si="8"/>
        <v>4.6089318009609817E-2</v>
      </c>
    </row>
    <row r="94" spans="1:4">
      <c r="A94" s="115" t="str">
        <f>基金成本!A29</f>
        <v>长信可转债</v>
      </c>
      <c r="B94" s="115">
        <f>基金成本!B29</f>
        <v>519977</v>
      </c>
      <c r="C94" s="35">
        <f t="shared" si="11"/>
        <v>7129.16</v>
      </c>
      <c r="D94" s="34">
        <f t="shared" si="8"/>
        <v>8.9424805191825694E-3</v>
      </c>
    </row>
    <row r="95" spans="1:4">
      <c r="A95" s="115" t="str">
        <f>基金成本!A30</f>
        <v>华夏海外债</v>
      </c>
      <c r="B95" s="115" t="str">
        <f>基金成本!B30</f>
        <v>001061</v>
      </c>
      <c r="C95" s="35">
        <f t="shared" si="11"/>
        <v>33343.800000000003</v>
      </c>
      <c r="D95" s="34">
        <f t="shared" si="8"/>
        <v>4.1824882866357292E-2</v>
      </c>
    </row>
    <row r="96" spans="1:4">
      <c r="A96" s="115" t="s">
        <v>7430</v>
      </c>
      <c r="B96" s="115" t="s">
        <v>7482</v>
      </c>
      <c r="C96" s="35">
        <f t="shared" si="11"/>
        <v>7494.67</v>
      </c>
      <c r="D96" s="34">
        <f t="shared" si="8"/>
        <v>9.4009589450513142E-3</v>
      </c>
    </row>
    <row r="97" spans="3:4">
      <c r="C97" s="35">
        <f>SUM(C68:C96)</f>
        <v>797223.99000000011</v>
      </c>
      <c r="D97" s="81">
        <f>SUM(D68:D96)</f>
        <v>0.99999999999999967</v>
      </c>
    </row>
  </sheetData>
  <mergeCells count="16">
    <mergeCell ref="A31:A32"/>
    <mergeCell ref="A24:A26"/>
    <mergeCell ref="C27:C29"/>
    <mergeCell ref="B27:B29"/>
    <mergeCell ref="A27:A30"/>
    <mergeCell ref="C12:C13"/>
    <mergeCell ref="A21:A22"/>
    <mergeCell ref="B2:B4"/>
    <mergeCell ref="C3:C4"/>
    <mergeCell ref="C5:C6"/>
    <mergeCell ref="C8:C9"/>
    <mergeCell ref="B5:B9"/>
    <mergeCell ref="C14:C15"/>
    <mergeCell ref="C16:C17"/>
    <mergeCell ref="B11:B20"/>
    <mergeCell ref="A2:A20"/>
  </mergeCells>
  <phoneticPr fontId="3" type="noConversion"/>
  <conditionalFormatting sqref="F39:F6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39:E6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80A83-67CA-428E-9E6E-B4078D49C422}">
  <sheetPr codeName="Sheet9"/>
  <dimension ref="A1:N11"/>
  <sheetViews>
    <sheetView workbookViewId="0">
      <selection activeCell="G45" sqref="G45"/>
    </sheetView>
  </sheetViews>
  <sheetFormatPr defaultColWidth="8.875" defaultRowHeight="14.25"/>
  <cols>
    <col min="1" max="6" width="9" bestFit="1" customWidth="1"/>
    <col min="7" max="8" width="7.125" bestFit="1" customWidth="1"/>
    <col min="9" max="9" width="11" bestFit="1" customWidth="1"/>
    <col min="10" max="10" width="9.5" bestFit="1" customWidth="1"/>
    <col min="11" max="11" width="11.125" bestFit="1" customWidth="1"/>
    <col min="12" max="12" width="11" bestFit="1" customWidth="1"/>
    <col min="13" max="13" width="11.875" bestFit="1" customWidth="1"/>
    <col min="14" max="15" width="13.875" bestFit="1" customWidth="1"/>
  </cols>
  <sheetData>
    <row r="1" spans="1:14">
      <c r="A1" t="s">
        <v>7574</v>
      </c>
      <c r="B1" t="s">
        <v>7575</v>
      </c>
      <c r="C1" t="s">
        <v>7576</v>
      </c>
      <c r="D1" t="s">
        <v>7577</v>
      </c>
      <c r="E1" t="s">
        <v>7578</v>
      </c>
      <c r="F1" t="s">
        <v>7579</v>
      </c>
      <c r="G1" t="s">
        <v>7580</v>
      </c>
      <c r="H1" t="s">
        <v>7581</v>
      </c>
      <c r="I1" t="s">
        <v>7582</v>
      </c>
      <c r="J1" t="s">
        <v>7583</v>
      </c>
      <c r="K1" t="s">
        <v>7584</v>
      </c>
      <c r="L1" t="s">
        <v>7585</v>
      </c>
      <c r="M1" t="s">
        <v>7586</v>
      </c>
      <c r="N1" t="s">
        <v>7587</v>
      </c>
    </row>
    <row r="2" spans="1:14">
      <c r="A2" t="s">
        <v>7678</v>
      </c>
      <c r="B2" t="s">
        <v>112</v>
      </c>
      <c r="C2">
        <v>2700</v>
      </c>
      <c r="D2">
        <v>2700</v>
      </c>
      <c r="E2" t="s">
        <v>7679</v>
      </c>
      <c r="F2" t="s">
        <v>7679</v>
      </c>
      <c r="G2">
        <v>2.3370000000000002</v>
      </c>
      <c r="H2" t="s">
        <v>7680</v>
      </c>
      <c r="I2" s="163">
        <v>7951.5</v>
      </c>
      <c r="J2">
        <v>1641.6</v>
      </c>
      <c r="K2" t="s">
        <v>7681</v>
      </c>
      <c r="L2" t="s">
        <v>7645</v>
      </c>
      <c r="M2" t="s">
        <v>7646</v>
      </c>
      <c r="N2" t="s">
        <v>7682</v>
      </c>
    </row>
    <row r="3" spans="1:14">
      <c r="A3" t="s">
        <v>7683</v>
      </c>
      <c r="B3" t="s">
        <v>113</v>
      </c>
      <c r="C3">
        <v>9100</v>
      </c>
      <c r="D3">
        <v>9100</v>
      </c>
      <c r="E3" t="s">
        <v>7679</v>
      </c>
      <c r="F3" t="s">
        <v>7679</v>
      </c>
      <c r="G3">
        <v>3.4470000000000001</v>
      </c>
      <c r="H3" t="s">
        <v>7684</v>
      </c>
      <c r="I3" s="163">
        <v>35207.9</v>
      </c>
      <c r="J3">
        <v>3840.2</v>
      </c>
      <c r="K3" t="s">
        <v>7685</v>
      </c>
      <c r="L3" t="s">
        <v>7645</v>
      </c>
      <c r="M3" t="s">
        <v>7646</v>
      </c>
      <c r="N3" t="s">
        <v>7682</v>
      </c>
    </row>
    <row r="4" spans="1:14">
      <c r="A4" t="s">
        <v>7686</v>
      </c>
      <c r="B4" t="s">
        <v>18</v>
      </c>
      <c r="C4">
        <v>38200</v>
      </c>
      <c r="D4">
        <v>38200</v>
      </c>
      <c r="E4" t="s">
        <v>7679</v>
      </c>
      <c r="F4" t="s">
        <v>7679</v>
      </c>
      <c r="G4">
        <v>5.6059999999999999</v>
      </c>
      <c r="H4" t="s">
        <v>7687</v>
      </c>
      <c r="I4" s="163">
        <v>203415</v>
      </c>
      <c r="J4">
        <v>-10734.2</v>
      </c>
      <c r="K4" t="s">
        <v>7688</v>
      </c>
      <c r="L4" t="s">
        <v>7645</v>
      </c>
      <c r="M4" t="s">
        <v>7646</v>
      </c>
      <c r="N4" t="s">
        <v>7682</v>
      </c>
    </row>
    <row r="5" spans="1:14">
      <c r="A5" t="s">
        <v>7689</v>
      </c>
      <c r="B5" t="s">
        <v>20</v>
      </c>
      <c r="C5">
        <v>33800</v>
      </c>
      <c r="D5">
        <v>33800</v>
      </c>
      <c r="E5" t="s">
        <v>7679</v>
      </c>
      <c r="F5" t="s">
        <v>7679</v>
      </c>
      <c r="G5">
        <v>0.877</v>
      </c>
      <c r="H5" t="s">
        <v>7690</v>
      </c>
      <c r="I5" s="163">
        <v>24606.400000000001</v>
      </c>
      <c r="J5">
        <v>-5036.2</v>
      </c>
      <c r="K5" t="s">
        <v>7691</v>
      </c>
      <c r="L5" t="s">
        <v>7645</v>
      </c>
      <c r="M5" t="s">
        <v>7646</v>
      </c>
      <c r="N5" t="s">
        <v>7682</v>
      </c>
    </row>
    <row r="6" spans="1:14">
      <c r="A6" t="s">
        <v>7692</v>
      </c>
      <c r="B6" t="s">
        <v>22</v>
      </c>
      <c r="C6">
        <v>32700</v>
      </c>
      <c r="D6">
        <v>32700</v>
      </c>
      <c r="E6" t="s">
        <v>7679</v>
      </c>
      <c r="F6" t="s">
        <v>7679</v>
      </c>
      <c r="G6">
        <v>0.78300000000000003</v>
      </c>
      <c r="H6" t="s">
        <v>7693</v>
      </c>
      <c r="I6" s="163">
        <v>30770.7</v>
      </c>
      <c r="J6">
        <v>5166.6000000000004</v>
      </c>
      <c r="K6" t="s">
        <v>7694</v>
      </c>
      <c r="L6" t="s">
        <v>7645</v>
      </c>
      <c r="M6" t="s">
        <v>7646</v>
      </c>
      <c r="N6" t="s">
        <v>7682</v>
      </c>
    </row>
    <row r="7" spans="1:14">
      <c r="A7" t="s">
        <v>7695</v>
      </c>
      <c r="B7" t="s">
        <v>23</v>
      </c>
      <c r="C7">
        <v>34100</v>
      </c>
      <c r="D7">
        <v>34100</v>
      </c>
      <c r="E7" t="s">
        <v>7679</v>
      </c>
      <c r="F7" t="s">
        <v>7679</v>
      </c>
      <c r="G7">
        <v>0.86899999999999999</v>
      </c>
      <c r="H7" t="s">
        <v>7696</v>
      </c>
      <c r="I7" s="163">
        <v>25643.200000000001</v>
      </c>
      <c r="J7">
        <v>-3989.7</v>
      </c>
      <c r="K7" t="s">
        <v>7697</v>
      </c>
      <c r="L7" t="s">
        <v>7645</v>
      </c>
      <c r="M7" t="s">
        <v>7646</v>
      </c>
      <c r="N7" t="s">
        <v>7682</v>
      </c>
    </row>
    <row r="8" spans="1:14">
      <c r="A8" t="s">
        <v>7698</v>
      </c>
      <c r="B8" t="s">
        <v>21</v>
      </c>
      <c r="C8">
        <v>4500</v>
      </c>
      <c r="D8">
        <v>4500</v>
      </c>
      <c r="E8" t="s">
        <v>7679</v>
      </c>
      <c r="F8" t="s">
        <v>7679</v>
      </c>
      <c r="G8">
        <v>2.8559999999999999</v>
      </c>
      <c r="H8" t="s">
        <v>7699</v>
      </c>
      <c r="I8" s="163">
        <v>15282</v>
      </c>
      <c r="J8">
        <v>2430</v>
      </c>
      <c r="K8" t="s">
        <v>7700</v>
      </c>
      <c r="L8" t="s">
        <v>7645</v>
      </c>
      <c r="M8" t="s">
        <v>7646</v>
      </c>
      <c r="N8" t="s">
        <v>7682</v>
      </c>
    </row>
    <row r="9" spans="1:14">
      <c r="A9" t="s">
        <v>7701</v>
      </c>
      <c r="B9" t="s">
        <v>7702</v>
      </c>
      <c r="C9">
        <v>1200</v>
      </c>
      <c r="D9">
        <v>1200</v>
      </c>
      <c r="E9" t="s">
        <v>7679</v>
      </c>
      <c r="F9" t="s">
        <v>7679</v>
      </c>
      <c r="G9">
        <v>2.95</v>
      </c>
      <c r="H9" t="s">
        <v>7703</v>
      </c>
      <c r="I9" s="163">
        <v>3538.8</v>
      </c>
      <c r="J9">
        <v>-1.2</v>
      </c>
      <c r="K9" t="s">
        <v>7704</v>
      </c>
      <c r="L9" t="s">
        <v>7647</v>
      </c>
      <c r="M9" t="s">
        <v>7705</v>
      </c>
      <c r="N9" t="s">
        <v>7682</v>
      </c>
    </row>
    <row r="10" spans="1:14">
      <c r="A10" t="s">
        <v>7706</v>
      </c>
      <c r="B10" t="s">
        <v>114</v>
      </c>
      <c r="C10">
        <v>9200</v>
      </c>
      <c r="D10">
        <v>9200</v>
      </c>
      <c r="E10" t="s">
        <v>7679</v>
      </c>
      <c r="F10" t="s">
        <v>7679</v>
      </c>
      <c r="G10">
        <v>1.399</v>
      </c>
      <c r="H10" t="s">
        <v>7707</v>
      </c>
      <c r="I10" s="163">
        <v>14444</v>
      </c>
      <c r="J10">
        <v>1573.2</v>
      </c>
      <c r="K10" t="s">
        <v>7708</v>
      </c>
      <c r="L10" t="s">
        <v>7647</v>
      </c>
      <c r="M10" t="s">
        <v>7705</v>
      </c>
      <c r="N10" t="s">
        <v>7682</v>
      </c>
    </row>
    <row r="11" spans="1:14">
      <c r="A11" t="s">
        <v>7709</v>
      </c>
      <c r="B11" t="s">
        <v>17</v>
      </c>
      <c r="C11">
        <v>14400</v>
      </c>
      <c r="D11">
        <v>14400</v>
      </c>
      <c r="E11" t="s">
        <v>7679</v>
      </c>
      <c r="F11" t="s">
        <v>7679</v>
      </c>
      <c r="G11">
        <v>1.2709999999999999</v>
      </c>
      <c r="H11" t="s">
        <v>7710</v>
      </c>
      <c r="I11" s="163">
        <v>18878.400000000001</v>
      </c>
      <c r="J11">
        <v>576</v>
      </c>
      <c r="K11" t="s">
        <v>7711</v>
      </c>
      <c r="L11" t="s">
        <v>7647</v>
      </c>
      <c r="M11" t="s">
        <v>7705</v>
      </c>
      <c r="N11" t="s">
        <v>7682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6F2A-5327-4A38-A70C-2E693821950C}">
  <sheetPr codeName="Sheet10"/>
  <dimension ref="A1:H22"/>
  <sheetViews>
    <sheetView workbookViewId="0">
      <selection activeCell="K23" sqref="K23"/>
    </sheetView>
  </sheetViews>
  <sheetFormatPr defaultColWidth="8.875" defaultRowHeight="14.25"/>
  <cols>
    <col min="2" max="2" width="27.625" bestFit="1" customWidth="1"/>
    <col min="5" max="5" width="9" bestFit="1" customWidth="1"/>
    <col min="6" max="6" width="10.625" bestFit="1" customWidth="1"/>
    <col min="7" max="7" width="10.25" bestFit="1" customWidth="1"/>
    <col min="8" max="8" width="14.875" bestFit="1" customWidth="1"/>
  </cols>
  <sheetData>
    <row r="1" spans="1:8">
      <c r="A1" t="s">
        <v>7588</v>
      </c>
      <c r="B1" t="s">
        <v>7589</v>
      </c>
      <c r="C1" t="s">
        <v>7590</v>
      </c>
      <c r="D1" t="s">
        <v>7591</v>
      </c>
      <c r="E1" t="s">
        <v>7592</v>
      </c>
      <c r="F1" t="s">
        <v>7593</v>
      </c>
      <c r="G1" t="s">
        <v>7594</v>
      </c>
      <c r="H1" t="s">
        <v>7595</v>
      </c>
    </row>
    <row r="2" spans="1:8">
      <c r="A2">
        <v>3474</v>
      </c>
      <c r="B2" s="178" t="s">
        <v>7599</v>
      </c>
      <c r="C2" s="178" t="s">
        <v>7597</v>
      </c>
      <c r="D2" s="179">
        <v>43738</v>
      </c>
      <c r="E2" s="180">
        <v>1</v>
      </c>
      <c r="F2" s="181">
        <v>144534.43</v>
      </c>
      <c r="G2" s="181">
        <v>144534.43</v>
      </c>
      <c r="H2" s="178" t="s">
        <v>7598</v>
      </c>
    </row>
    <row r="3" spans="1:8">
      <c r="A3">
        <v>71</v>
      </c>
      <c r="B3" s="182" t="s">
        <v>7605</v>
      </c>
      <c r="C3" s="182" t="s">
        <v>7604</v>
      </c>
      <c r="D3" s="183">
        <v>43738</v>
      </c>
      <c r="E3" s="182">
        <v>1.4693000000000001</v>
      </c>
      <c r="F3" s="182">
        <v>2390.62</v>
      </c>
      <c r="G3" s="182">
        <v>3512.53</v>
      </c>
      <c r="H3" s="182" t="s">
        <v>7713</v>
      </c>
    </row>
    <row r="4" spans="1:8">
      <c r="A4">
        <v>2903</v>
      </c>
      <c r="B4" s="182" t="s">
        <v>7714</v>
      </c>
      <c r="C4" s="182" t="s">
        <v>7600</v>
      </c>
      <c r="D4" s="183">
        <v>43738</v>
      </c>
      <c r="E4" s="182">
        <v>0.86799999999999999</v>
      </c>
      <c r="F4" s="182">
        <v>7778.64</v>
      </c>
      <c r="G4" s="182">
        <v>6751.85</v>
      </c>
      <c r="H4" s="182" t="s">
        <v>7713</v>
      </c>
    </row>
    <row r="5" spans="1:8">
      <c r="A5">
        <v>3647</v>
      </c>
      <c r="B5" s="182" t="s">
        <v>7712</v>
      </c>
      <c r="C5" s="182" t="s">
        <v>7600</v>
      </c>
      <c r="D5" s="183">
        <v>43738</v>
      </c>
      <c r="E5" s="184">
        <v>0.94030000000000002</v>
      </c>
      <c r="F5" s="185">
        <v>3580.2</v>
      </c>
      <c r="G5" s="185">
        <v>3366.46</v>
      </c>
      <c r="H5" s="182" t="s">
        <v>7601</v>
      </c>
    </row>
    <row r="6" spans="1:8">
      <c r="A6">
        <v>968</v>
      </c>
      <c r="B6" t="s">
        <v>5</v>
      </c>
      <c r="C6" t="s">
        <v>7600</v>
      </c>
      <c r="D6" s="138">
        <v>43738</v>
      </c>
      <c r="E6" s="159">
        <v>0.9425</v>
      </c>
      <c r="F6" s="158">
        <v>63490</v>
      </c>
      <c r="G6" s="158">
        <v>59839.32</v>
      </c>
      <c r="H6" t="s">
        <v>7601</v>
      </c>
    </row>
    <row r="7" spans="1:8">
      <c r="A7">
        <v>110026</v>
      </c>
      <c r="B7" t="s">
        <v>7602</v>
      </c>
      <c r="C7" t="s">
        <v>7600</v>
      </c>
      <c r="D7" s="138">
        <v>43738</v>
      </c>
      <c r="E7" s="159">
        <v>1.6890000000000001</v>
      </c>
      <c r="F7" s="158">
        <v>4791.13</v>
      </c>
      <c r="G7" s="158">
        <v>8092.21</v>
      </c>
      <c r="H7" t="s">
        <v>7601</v>
      </c>
    </row>
    <row r="8" spans="1:8">
      <c r="A8">
        <v>164906</v>
      </c>
      <c r="B8" t="s">
        <v>7603</v>
      </c>
      <c r="C8" t="s">
        <v>7604</v>
      </c>
      <c r="D8" s="138">
        <v>43735</v>
      </c>
      <c r="E8" s="159">
        <v>1.1619999999999999</v>
      </c>
      <c r="F8" s="158">
        <v>16778.47</v>
      </c>
      <c r="G8" s="158">
        <v>19496.580000000002</v>
      </c>
      <c r="H8" t="s">
        <v>7601</v>
      </c>
    </row>
    <row r="9" spans="1:8">
      <c r="A9">
        <v>71</v>
      </c>
      <c r="B9" t="s">
        <v>7605</v>
      </c>
      <c r="C9" t="s">
        <v>7604</v>
      </c>
      <c r="D9" s="138">
        <v>43738</v>
      </c>
      <c r="E9" s="159">
        <v>1.4693000000000001</v>
      </c>
      <c r="F9" s="158">
        <v>4407.8999999999996</v>
      </c>
      <c r="G9" s="158">
        <v>6476.52</v>
      </c>
      <c r="H9" t="s">
        <v>7606</v>
      </c>
    </row>
    <row r="10" spans="1:8">
      <c r="A10">
        <v>614</v>
      </c>
      <c r="B10" t="s">
        <v>3</v>
      </c>
      <c r="C10" t="s">
        <v>7604</v>
      </c>
      <c r="D10" s="138">
        <v>43734</v>
      </c>
      <c r="E10" s="159">
        <v>1.1299999999999999</v>
      </c>
      <c r="F10" s="158">
        <v>20716.63</v>
      </c>
      <c r="G10" s="158">
        <v>23409.79</v>
      </c>
      <c r="H10" t="s">
        <v>7606</v>
      </c>
    </row>
    <row r="11" spans="1:8">
      <c r="A11">
        <v>1061</v>
      </c>
      <c r="B11" t="s">
        <v>7607</v>
      </c>
      <c r="C11" t="s">
        <v>7604</v>
      </c>
      <c r="D11" s="138">
        <v>43734</v>
      </c>
      <c r="E11" s="159">
        <v>1.3360000000000001</v>
      </c>
      <c r="F11" s="158">
        <v>5609.79</v>
      </c>
      <c r="G11" s="158">
        <v>7494.67</v>
      </c>
      <c r="H11" t="s">
        <v>7606</v>
      </c>
    </row>
    <row r="12" spans="1:8">
      <c r="A12">
        <v>1064</v>
      </c>
      <c r="B12" t="s">
        <v>7608</v>
      </c>
      <c r="C12" t="s">
        <v>7600</v>
      </c>
      <c r="D12" s="138">
        <v>43738</v>
      </c>
      <c r="E12" s="159">
        <v>0.54730000000000001</v>
      </c>
      <c r="F12" s="158">
        <v>13403.92</v>
      </c>
      <c r="G12" s="158">
        <v>7335.96</v>
      </c>
      <c r="H12" t="s">
        <v>7606</v>
      </c>
    </row>
    <row r="13" spans="1:8">
      <c r="A13">
        <v>1180</v>
      </c>
      <c r="B13" t="s">
        <v>2</v>
      </c>
      <c r="C13" t="s">
        <v>7600</v>
      </c>
      <c r="D13" s="138">
        <v>43738</v>
      </c>
      <c r="E13" s="159">
        <v>0.82010000000000005</v>
      </c>
      <c r="F13" s="158">
        <v>41014.879999999997</v>
      </c>
      <c r="G13" s="158">
        <v>33636.300000000003</v>
      </c>
      <c r="H13" t="s">
        <v>7606</v>
      </c>
    </row>
    <row r="14" spans="1:8">
      <c r="A14">
        <v>1469</v>
      </c>
      <c r="B14" t="s">
        <v>7609</v>
      </c>
      <c r="C14" t="s">
        <v>7600</v>
      </c>
      <c r="D14" s="138">
        <v>43738</v>
      </c>
      <c r="E14" s="159">
        <v>1.0722</v>
      </c>
      <c r="F14" s="158">
        <v>21163.93</v>
      </c>
      <c r="G14" s="158">
        <v>22691.96</v>
      </c>
      <c r="H14" t="s">
        <v>7606</v>
      </c>
    </row>
    <row r="15" spans="1:8">
      <c r="A15">
        <v>4752</v>
      </c>
      <c r="B15" t="s">
        <v>7610</v>
      </c>
      <c r="C15" t="s">
        <v>7600</v>
      </c>
      <c r="D15" s="138">
        <v>43738</v>
      </c>
      <c r="E15" s="159">
        <v>0.75449999999999995</v>
      </c>
      <c r="F15" s="158">
        <v>7852.99</v>
      </c>
      <c r="G15" s="158">
        <v>5925.08</v>
      </c>
      <c r="H15" t="s">
        <v>7606</v>
      </c>
    </row>
    <row r="16" spans="1:8">
      <c r="A16">
        <v>100032</v>
      </c>
      <c r="B16" t="s">
        <v>4</v>
      </c>
      <c r="C16" t="s">
        <v>7600</v>
      </c>
      <c r="D16" s="138">
        <v>43738</v>
      </c>
      <c r="E16" s="159">
        <v>1.091</v>
      </c>
      <c r="F16" s="158">
        <v>65064.33</v>
      </c>
      <c r="G16" s="158">
        <v>70985.179999999993</v>
      </c>
      <c r="H16" t="s">
        <v>7606</v>
      </c>
    </row>
    <row r="17" spans="1:8">
      <c r="A17">
        <v>100038</v>
      </c>
      <c r="B17" t="s">
        <v>7611</v>
      </c>
      <c r="C17" t="s">
        <v>7600</v>
      </c>
      <c r="D17" s="138">
        <v>43738</v>
      </c>
      <c r="E17" s="159">
        <v>1.5960000000000001</v>
      </c>
      <c r="F17" s="158">
        <v>14624.61</v>
      </c>
      <c r="G17" s="158">
        <v>23340.87</v>
      </c>
      <c r="H17" t="s">
        <v>7606</v>
      </c>
    </row>
    <row r="18" spans="1:8">
      <c r="A18">
        <v>110027</v>
      </c>
      <c r="B18" t="s">
        <v>7612</v>
      </c>
      <c r="C18" t="s">
        <v>7613</v>
      </c>
      <c r="D18" s="138">
        <v>43738</v>
      </c>
      <c r="E18" s="159">
        <v>1.66</v>
      </c>
      <c r="F18" s="158">
        <v>20086.63</v>
      </c>
      <c r="G18" s="158">
        <v>33343.800000000003</v>
      </c>
      <c r="H18" t="s">
        <v>7606</v>
      </c>
    </row>
    <row r="19" spans="1:8">
      <c r="A19">
        <v>161017</v>
      </c>
      <c r="B19" t="s">
        <v>7614</v>
      </c>
      <c r="C19" t="s">
        <v>7600</v>
      </c>
      <c r="D19" s="138">
        <v>43738</v>
      </c>
      <c r="E19" s="159">
        <v>1.5940000000000001</v>
      </c>
      <c r="F19" s="158">
        <v>9529.81</v>
      </c>
      <c r="G19" s="158">
        <v>15190.51</v>
      </c>
      <c r="H19" t="s">
        <v>7606</v>
      </c>
    </row>
    <row r="20" spans="1:8">
      <c r="A20">
        <v>162411</v>
      </c>
      <c r="B20" t="s">
        <v>7615</v>
      </c>
      <c r="C20" t="s">
        <v>7604</v>
      </c>
      <c r="D20" s="138">
        <v>43735</v>
      </c>
      <c r="E20" s="159">
        <v>0.40300000000000002</v>
      </c>
      <c r="F20" s="158">
        <v>37267.449999999997</v>
      </c>
      <c r="G20" s="158">
        <v>15018.78</v>
      </c>
      <c r="H20" t="s">
        <v>7606</v>
      </c>
    </row>
    <row r="21" spans="1:8">
      <c r="A21">
        <v>340001</v>
      </c>
      <c r="B21" t="s">
        <v>7616</v>
      </c>
      <c r="C21" t="s">
        <v>7617</v>
      </c>
      <c r="D21" s="138">
        <v>43738</v>
      </c>
      <c r="E21" s="159">
        <v>1.1351</v>
      </c>
      <c r="F21" s="158">
        <v>32370.29</v>
      </c>
      <c r="G21" s="158">
        <v>36743.51</v>
      </c>
      <c r="H21" t="s">
        <v>7606</v>
      </c>
    </row>
    <row r="22" spans="1:8">
      <c r="A22">
        <v>519977</v>
      </c>
      <c r="B22" t="s">
        <v>7618</v>
      </c>
      <c r="C22" t="s">
        <v>7613</v>
      </c>
      <c r="D22" s="138">
        <v>43738</v>
      </c>
      <c r="E22" s="159">
        <v>1.3379000000000001</v>
      </c>
      <c r="F22" s="158">
        <v>5328.62</v>
      </c>
      <c r="G22" s="158">
        <v>7129.16</v>
      </c>
      <c r="H22" t="s">
        <v>7606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1BA37-44BA-45FA-96C2-E050BC6E8BB4}">
  <sheetPr codeName="Sheet11"/>
  <dimension ref="A1:M49"/>
  <sheetViews>
    <sheetView workbookViewId="0">
      <selection activeCell="H20" sqref="H20"/>
    </sheetView>
  </sheetViews>
  <sheetFormatPr defaultColWidth="8.875" defaultRowHeight="14.25"/>
  <cols>
    <col min="1" max="1" width="7.5" bestFit="1" customWidth="1"/>
    <col min="2" max="2" width="27.625" bestFit="1" customWidth="1"/>
    <col min="3" max="4" width="9.875" bestFit="1" customWidth="1"/>
    <col min="6" max="6" width="22.5" bestFit="1" customWidth="1"/>
    <col min="7" max="7" width="12.75" bestFit="1" customWidth="1"/>
    <col min="8" max="8" width="12.5" bestFit="1" customWidth="1"/>
    <col min="9" max="9" width="11.625" customWidth="1"/>
    <col min="10" max="10" width="7.875" bestFit="1" customWidth="1"/>
  </cols>
  <sheetData>
    <row r="1" spans="1:13">
      <c r="A1" s="139">
        <v>1666</v>
      </c>
      <c r="B1" t="s">
        <v>7596</v>
      </c>
      <c r="C1" s="1">
        <v>6.39</v>
      </c>
      <c r="F1" s="164"/>
      <c r="G1" s="164" t="s">
        <v>7666</v>
      </c>
      <c r="H1" s="164" t="s">
        <v>7662</v>
      </c>
      <c r="I1" s="164" t="s">
        <v>7663</v>
      </c>
      <c r="J1" s="164" t="s">
        <v>7664</v>
      </c>
      <c r="M1" s="139"/>
    </row>
    <row r="2" spans="1:13">
      <c r="A2" s="142">
        <v>510050</v>
      </c>
      <c r="B2" s="143" t="s">
        <v>38</v>
      </c>
      <c r="C2" s="144">
        <v>7951.5</v>
      </c>
      <c r="F2" s="165" t="s">
        <v>7676</v>
      </c>
      <c r="G2" s="167">
        <f>H2+I2</f>
        <v>409781.14</v>
      </c>
      <c r="H2" s="167">
        <v>382425.12</v>
      </c>
      <c r="I2" s="167">
        <v>27356.02</v>
      </c>
      <c r="J2" s="166">
        <f t="shared" ref="J2:J7" si="0">I2/H2</f>
        <v>7.1533010174645431E-2</v>
      </c>
    </row>
    <row r="3" spans="1:13">
      <c r="A3" s="142">
        <v>510300</v>
      </c>
      <c r="B3" s="143" t="s">
        <v>36</v>
      </c>
      <c r="C3" s="144">
        <v>35207.9</v>
      </c>
      <c r="E3" s="138"/>
      <c r="F3" s="165" t="s">
        <v>7675</v>
      </c>
      <c r="G3" s="167">
        <f>H3+I3</f>
        <v>9157.36</v>
      </c>
      <c r="H3" s="167">
        <v>12000</v>
      </c>
      <c r="I3" s="167">
        <v>-2842.64</v>
      </c>
      <c r="J3" s="166">
        <f t="shared" si="0"/>
        <v>-0.23688666666666666</v>
      </c>
    </row>
    <row r="4" spans="1:13">
      <c r="A4" s="142">
        <v>510500</v>
      </c>
      <c r="B4" s="143" t="s">
        <v>78</v>
      </c>
      <c r="C4" s="144">
        <v>203415</v>
      </c>
      <c r="E4" s="138"/>
      <c r="F4" s="165" t="s">
        <v>7672</v>
      </c>
      <c r="G4" s="167">
        <f>H4+I4</f>
        <v>379737.89999999997</v>
      </c>
      <c r="H4" s="167">
        <v>384347.55</v>
      </c>
      <c r="I4" s="167">
        <v>-4609.6499999999996</v>
      </c>
      <c r="J4" s="166">
        <f t="shared" si="0"/>
        <v>-1.1993441873117182E-2</v>
      </c>
    </row>
    <row r="5" spans="1:13">
      <c r="A5" s="142">
        <v>512580</v>
      </c>
      <c r="B5" s="143" t="s">
        <v>7461</v>
      </c>
      <c r="C5" s="144">
        <v>24606.400000000001</v>
      </c>
      <c r="E5" s="138"/>
      <c r="F5" s="165" t="s">
        <v>7677</v>
      </c>
      <c r="G5" s="167">
        <f>H5+I5</f>
        <v>46191.630000000005</v>
      </c>
      <c r="H5" s="167">
        <f>50794.54-5397.45</f>
        <v>45397.090000000004</v>
      </c>
      <c r="I5" s="167">
        <v>794.54</v>
      </c>
      <c r="J5" s="166">
        <f t="shared" si="0"/>
        <v>1.75020028816825E-2</v>
      </c>
    </row>
    <row r="6" spans="1:13">
      <c r="A6" s="142">
        <v>512880</v>
      </c>
      <c r="B6" s="143" t="s">
        <v>48</v>
      </c>
      <c r="C6" s="144">
        <v>30770.7</v>
      </c>
      <c r="E6" s="138"/>
      <c r="F6" s="165" t="s">
        <v>7661</v>
      </c>
      <c r="G6" s="167">
        <f>H6+I6</f>
        <v>15285.73</v>
      </c>
      <c r="H6" s="167">
        <v>15378.18</v>
      </c>
      <c r="I6" s="167">
        <v>-92.45</v>
      </c>
      <c r="J6" s="166">
        <f t="shared" si="0"/>
        <v>-6.0117647211828705E-3</v>
      </c>
    </row>
    <row r="7" spans="1:13">
      <c r="A7" s="142">
        <v>512980</v>
      </c>
      <c r="B7" s="143" t="s">
        <v>49</v>
      </c>
      <c r="C7" s="144">
        <v>25643.200000000001</v>
      </c>
      <c r="E7" s="138"/>
      <c r="F7" s="168" t="s">
        <v>7665</v>
      </c>
      <c r="G7" s="169">
        <f>SUM(G2:G6)</f>
        <v>860153.75999999989</v>
      </c>
      <c r="H7" s="169">
        <f>SUM(H2:H6)</f>
        <v>839547.94</v>
      </c>
      <c r="I7" s="170">
        <f>SUM(I2:I6)</f>
        <v>20605.820000000003</v>
      </c>
      <c r="J7" s="171">
        <f t="shared" si="0"/>
        <v>2.4543946829290064E-2</v>
      </c>
    </row>
    <row r="8" spans="1:13">
      <c r="A8" s="142">
        <v>518880</v>
      </c>
      <c r="B8" s="143" t="s">
        <v>7473</v>
      </c>
      <c r="C8" s="144">
        <v>15282</v>
      </c>
      <c r="E8" s="138"/>
      <c r="F8" s="159"/>
    </row>
    <row r="9" spans="1:13">
      <c r="A9" s="142">
        <v>159902</v>
      </c>
      <c r="B9" s="143" t="s">
        <v>7715</v>
      </c>
      <c r="C9" s="144">
        <v>3538.8</v>
      </c>
      <c r="E9" s="138"/>
      <c r="F9" s="165" t="s">
        <v>7667</v>
      </c>
      <c r="G9" s="1">
        <v>554315.47</v>
      </c>
      <c r="H9" s="165" t="s">
        <v>7668</v>
      </c>
      <c r="I9">
        <v>379805.09</v>
      </c>
    </row>
    <row r="10" spans="1:13">
      <c r="A10" s="142">
        <v>159915</v>
      </c>
      <c r="B10" s="143" t="s">
        <v>143</v>
      </c>
      <c r="C10" s="144">
        <v>14444</v>
      </c>
      <c r="E10" s="138"/>
      <c r="F10" s="165" t="s">
        <v>7671</v>
      </c>
      <c r="G10" s="1">
        <v>9157.36</v>
      </c>
    </row>
    <row r="11" spans="1:13">
      <c r="A11" s="145">
        <v>159938</v>
      </c>
      <c r="B11" s="146" t="s">
        <v>7457</v>
      </c>
      <c r="C11" s="147">
        <v>18878.400000000001</v>
      </c>
      <c r="E11" s="138"/>
      <c r="F11" s="165" t="s">
        <v>7669</v>
      </c>
      <c r="G11" s="1">
        <v>50794.54</v>
      </c>
      <c r="J11" s="158"/>
      <c r="K11" s="158"/>
    </row>
    <row r="12" spans="1:13">
      <c r="A12" s="145">
        <v>3474</v>
      </c>
      <c r="B12" s="146" t="s">
        <v>7649</v>
      </c>
      <c r="C12" s="147">
        <v>144534.43</v>
      </c>
      <c r="E12" s="138"/>
      <c r="F12" s="165" t="s">
        <v>7670</v>
      </c>
      <c r="G12" s="1">
        <v>15285.73</v>
      </c>
      <c r="H12" s="159"/>
      <c r="I12" s="159"/>
      <c r="J12" s="158"/>
      <c r="K12" s="158"/>
    </row>
    <row r="13" spans="1:13">
      <c r="A13" s="145">
        <v>968</v>
      </c>
      <c r="B13" s="146" t="s">
        <v>7650</v>
      </c>
      <c r="C13" s="147">
        <v>59839.32</v>
      </c>
      <c r="E13" s="138"/>
      <c r="F13" s="165" t="s">
        <v>7673</v>
      </c>
      <c r="G13" s="1">
        <v>100000</v>
      </c>
      <c r="H13" s="159"/>
      <c r="I13" s="159"/>
      <c r="J13" s="158"/>
      <c r="K13" s="158"/>
    </row>
    <row r="14" spans="1:13">
      <c r="A14" s="145">
        <v>110026</v>
      </c>
      <c r="B14" s="146" t="s">
        <v>7651</v>
      </c>
      <c r="C14" s="147">
        <v>8092.21</v>
      </c>
      <c r="E14" s="138"/>
      <c r="F14" s="172" t="s">
        <v>7674</v>
      </c>
      <c r="G14" s="1">
        <f>SUM(G9:G13)</f>
        <v>729553.1</v>
      </c>
      <c r="H14" s="159"/>
      <c r="I14" s="159"/>
      <c r="J14" s="158"/>
      <c r="K14" s="158"/>
    </row>
    <row r="15" spans="1:13">
      <c r="A15" s="145">
        <v>164906</v>
      </c>
      <c r="B15" s="146" t="s">
        <v>7296</v>
      </c>
      <c r="C15" s="147">
        <v>19496.580000000002</v>
      </c>
      <c r="E15" s="138"/>
      <c r="F15" s="159"/>
      <c r="G15" s="1"/>
      <c r="H15" s="159"/>
      <c r="I15" s="159"/>
      <c r="J15" s="158"/>
      <c r="K15" s="158"/>
    </row>
    <row r="16" spans="1:13">
      <c r="A16" s="145">
        <v>3647</v>
      </c>
      <c r="B16" s="146" t="s">
        <v>7716</v>
      </c>
      <c r="C16" s="147">
        <v>3366.46</v>
      </c>
      <c r="E16" s="138"/>
      <c r="F16" s="159"/>
      <c r="G16" s="1"/>
      <c r="H16" s="159"/>
      <c r="I16" s="159"/>
      <c r="J16" s="158"/>
      <c r="K16" s="158"/>
    </row>
    <row r="17" spans="1:12">
      <c r="A17" s="145">
        <v>71</v>
      </c>
      <c r="B17" s="146" t="s">
        <v>7652</v>
      </c>
      <c r="C17" s="147">
        <v>6476.52</v>
      </c>
      <c r="E17" s="138"/>
      <c r="F17" s="159"/>
      <c r="G17" s="138"/>
      <c r="H17" s="159"/>
      <c r="I17" s="159"/>
      <c r="J17" s="158"/>
      <c r="K17" s="158"/>
    </row>
    <row r="18" spans="1:12">
      <c r="A18" s="145">
        <v>614</v>
      </c>
      <c r="B18" s="146" t="s">
        <v>7653</v>
      </c>
      <c r="C18" s="147">
        <v>23409.79</v>
      </c>
      <c r="E18" s="138"/>
      <c r="F18" s="159"/>
      <c r="G18" s="138"/>
      <c r="H18" s="159"/>
      <c r="I18" s="159"/>
      <c r="J18" s="158"/>
      <c r="K18" s="158"/>
    </row>
    <row r="19" spans="1:12">
      <c r="A19" s="145">
        <v>1061</v>
      </c>
      <c r="B19" s="146" t="s">
        <v>7654</v>
      </c>
      <c r="C19" s="147">
        <v>7494.67</v>
      </c>
      <c r="E19" s="138"/>
      <c r="F19" s="159"/>
      <c r="G19" s="138"/>
      <c r="H19" s="159"/>
      <c r="I19" s="159"/>
      <c r="J19" s="158"/>
      <c r="K19" s="158"/>
    </row>
    <row r="20" spans="1:12">
      <c r="A20" s="145">
        <v>1064</v>
      </c>
      <c r="B20" s="146" t="s">
        <v>7655</v>
      </c>
      <c r="C20" s="147">
        <v>7335.96</v>
      </c>
      <c r="E20" s="138"/>
      <c r="F20" s="159"/>
      <c r="G20" s="138"/>
      <c r="H20" s="159"/>
      <c r="I20" s="159"/>
      <c r="J20" s="158"/>
      <c r="K20" s="158"/>
    </row>
    <row r="21" spans="1:12">
      <c r="A21" s="145">
        <v>1180</v>
      </c>
      <c r="B21" s="146" t="s">
        <v>7656</v>
      </c>
      <c r="C21" s="147">
        <v>33636.300000000003</v>
      </c>
      <c r="E21" s="138"/>
      <c r="F21" s="159"/>
      <c r="G21" s="138"/>
      <c r="H21" s="159"/>
      <c r="I21" s="159"/>
      <c r="J21" s="158"/>
      <c r="K21" s="158"/>
    </row>
    <row r="22" spans="1:12">
      <c r="A22" s="145">
        <v>1469</v>
      </c>
      <c r="B22" s="146" t="s">
        <v>32</v>
      </c>
      <c r="C22" s="147">
        <v>22691.96</v>
      </c>
      <c r="F22" s="159"/>
      <c r="G22" s="138"/>
      <c r="H22" s="159"/>
      <c r="I22" s="159"/>
      <c r="J22" s="158"/>
      <c r="K22" s="158"/>
    </row>
    <row r="23" spans="1:12">
      <c r="A23" s="145">
        <v>4752</v>
      </c>
      <c r="B23" s="146" t="s">
        <v>7564</v>
      </c>
      <c r="C23" s="147">
        <v>5925.08</v>
      </c>
      <c r="G23" s="138"/>
      <c r="H23" s="159"/>
      <c r="I23" s="159"/>
      <c r="J23" s="158"/>
      <c r="K23" s="158"/>
    </row>
    <row r="24" spans="1:12">
      <c r="A24" s="145">
        <v>100032</v>
      </c>
      <c r="B24" s="146" t="s">
        <v>7657</v>
      </c>
      <c r="C24" s="147">
        <v>70985.179999999993</v>
      </c>
      <c r="G24" s="138"/>
      <c r="H24" s="159"/>
      <c r="I24" s="159"/>
      <c r="J24" s="158"/>
      <c r="K24" s="158"/>
    </row>
    <row r="25" spans="1:12">
      <c r="A25" s="145">
        <v>100038</v>
      </c>
      <c r="B25" s="146" t="s">
        <v>7658</v>
      </c>
      <c r="C25" s="147">
        <v>23340.87</v>
      </c>
      <c r="G25" s="138"/>
      <c r="H25" s="159"/>
      <c r="I25" s="159"/>
      <c r="J25" s="158"/>
      <c r="K25" s="158"/>
    </row>
    <row r="26" spans="1:12">
      <c r="A26" s="145">
        <v>110027</v>
      </c>
      <c r="B26" s="146" t="s">
        <v>7313</v>
      </c>
      <c r="C26" s="147">
        <v>33343.800000000003</v>
      </c>
      <c r="G26" s="138"/>
      <c r="H26" s="159"/>
      <c r="I26" s="159"/>
      <c r="J26" s="138"/>
      <c r="K26" s="159"/>
    </row>
    <row r="27" spans="1:12">
      <c r="A27" s="145">
        <v>161017</v>
      </c>
      <c r="B27" s="146" t="s">
        <v>7659</v>
      </c>
      <c r="C27" s="147">
        <v>15190.51</v>
      </c>
      <c r="G27" s="138"/>
      <c r="H27" s="159"/>
      <c r="I27" s="159"/>
      <c r="J27" s="138"/>
      <c r="K27" s="159"/>
    </row>
    <row r="28" spans="1:12">
      <c r="A28" s="145">
        <v>162411</v>
      </c>
      <c r="B28" s="146" t="s">
        <v>7660</v>
      </c>
      <c r="C28" s="147">
        <v>15018.78</v>
      </c>
      <c r="G28" s="138"/>
      <c r="H28" s="159"/>
      <c r="I28" s="159"/>
      <c r="J28" s="138"/>
      <c r="K28" s="159"/>
    </row>
    <row r="29" spans="1:12">
      <c r="A29" s="145">
        <v>340001</v>
      </c>
      <c r="B29" s="146" t="s">
        <v>31</v>
      </c>
      <c r="C29" s="147">
        <v>36743.51</v>
      </c>
      <c r="G29" s="138"/>
      <c r="H29" s="159"/>
      <c r="I29" s="159"/>
      <c r="J29" s="138"/>
      <c r="K29" s="159"/>
    </row>
    <row r="30" spans="1:12">
      <c r="A30">
        <v>519977</v>
      </c>
      <c r="B30" t="s">
        <v>7618</v>
      </c>
      <c r="C30">
        <v>7129.16</v>
      </c>
      <c r="J30" s="138"/>
      <c r="K30" s="159"/>
    </row>
    <row r="31" spans="1:12">
      <c r="A31">
        <v>71</v>
      </c>
      <c r="B31" t="s">
        <v>7605</v>
      </c>
      <c r="C31">
        <v>3512.53</v>
      </c>
      <c r="J31" s="138"/>
      <c r="K31" s="159"/>
      <c r="L31" s="138"/>
    </row>
    <row r="32" spans="1:12">
      <c r="A32">
        <v>2903</v>
      </c>
      <c r="B32" t="s">
        <v>7714</v>
      </c>
      <c r="C32">
        <v>6751.85</v>
      </c>
      <c r="J32" s="138"/>
      <c r="K32" s="159"/>
      <c r="L32" s="138"/>
    </row>
    <row r="33" spans="10:12">
      <c r="J33" s="138"/>
      <c r="K33" s="159"/>
      <c r="L33" s="138"/>
    </row>
    <row r="34" spans="10:12">
      <c r="J34" s="138"/>
      <c r="K34" s="159"/>
      <c r="L34" s="138"/>
    </row>
    <row r="35" spans="10:12">
      <c r="J35" s="138"/>
      <c r="K35" s="159"/>
      <c r="L35" s="138"/>
    </row>
    <row r="36" spans="10:12">
      <c r="J36" s="138"/>
      <c r="K36" s="159"/>
      <c r="L36" s="138"/>
    </row>
    <row r="37" spans="10:12">
      <c r="J37" s="138"/>
      <c r="K37" s="159"/>
      <c r="L37" s="138"/>
    </row>
    <row r="38" spans="10:12">
      <c r="J38" s="138"/>
      <c r="K38" s="159"/>
      <c r="L38" s="138"/>
    </row>
    <row r="39" spans="10:12">
      <c r="J39" s="138"/>
      <c r="K39" s="159"/>
      <c r="L39" s="138"/>
    </row>
    <row r="40" spans="10:12">
      <c r="J40" s="138"/>
      <c r="K40" s="159"/>
      <c r="L40" s="138"/>
    </row>
    <row r="41" spans="10:12">
      <c r="J41" s="138"/>
      <c r="K41" s="159"/>
      <c r="L41" s="138"/>
    </row>
    <row r="42" spans="10:12">
      <c r="L42" s="138"/>
    </row>
    <row r="43" spans="10:12">
      <c r="L43" s="138"/>
    </row>
    <row r="44" spans="10:12">
      <c r="L44" s="138"/>
    </row>
    <row r="45" spans="10:12">
      <c r="L45" s="138"/>
    </row>
    <row r="46" spans="10:12">
      <c r="L46" s="138"/>
    </row>
    <row r="47" spans="10:12">
      <c r="L47" s="138"/>
    </row>
    <row r="48" spans="10:12">
      <c r="L48" s="138"/>
    </row>
    <row r="49" spans="12:12">
      <c r="L49" s="138"/>
    </row>
  </sheetData>
  <phoneticPr fontId="3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F0247-FC53-A34E-8851-8C48D85E6339}">
  <sheetPr codeName="Sheet3"/>
  <dimension ref="A1"/>
  <sheetViews>
    <sheetView topLeftCell="A19" workbookViewId="0">
      <selection activeCell="J78" sqref="J78"/>
    </sheetView>
  </sheetViews>
  <sheetFormatPr defaultColWidth="11" defaultRowHeight="14.25"/>
  <sheetData/>
  <phoneticPr fontId="3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AD84"/>
  <sheetViews>
    <sheetView topLeftCell="A31" zoomScaleNormal="100" workbookViewId="0">
      <selection activeCell="B3" sqref="B3"/>
    </sheetView>
  </sheetViews>
  <sheetFormatPr defaultColWidth="8.875" defaultRowHeight="14.25"/>
  <cols>
    <col min="1" max="1" width="11.625" bestFit="1" customWidth="1"/>
    <col min="2" max="2" width="9" customWidth="1"/>
    <col min="3" max="7" width="9.125" customWidth="1"/>
    <col min="8" max="9" width="9.5" customWidth="1"/>
    <col min="10" max="11" width="9.125" customWidth="1"/>
    <col min="12" max="12" width="9.375" customWidth="1"/>
    <col min="13" max="13" width="9.625" bestFit="1" customWidth="1"/>
    <col min="14" max="15" width="10.5" bestFit="1" customWidth="1"/>
    <col min="16" max="16" width="11.125" bestFit="1" customWidth="1"/>
    <col min="17" max="17" width="10.5" bestFit="1" customWidth="1"/>
  </cols>
  <sheetData>
    <row r="2" spans="1:12">
      <c r="A2" s="105"/>
      <c r="B2" t="s">
        <v>7285</v>
      </c>
      <c r="C2" s="105" t="str">
        <f>[2]指数行业占比!K1</f>
        <v>能源</v>
      </c>
      <c r="D2" s="105" t="str">
        <f>[2]指数行业占比!L1</f>
        <v>原材料</v>
      </c>
      <c r="E2" s="105" t="str">
        <f>[2]指数行业占比!M1</f>
        <v>工业</v>
      </c>
      <c r="F2" s="105" t="str">
        <f>[2]指数行业占比!N1</f>
        <v>可选消费</v>
      </c>
      <c r="G2" s="105" t="str">
        <f>[2]指数行业占比!O1</f>
        <v>主要消费</v>
      </c>
      <c r="H2" s="105" t="str">
        <f>[2]指数行业占比!P1</f>
        <v>医药卫生</v>
      </c>
      <c r="I2" s="105" t="str">
        <f>[2]指数行业占比!Q1</f>
        <v>金融地产</v>
      </c>
      <c r="J2" s="105" t="str">
        <f>[2]指数行业占比!R1</f>
        <v>信息技术</v>
      </c>
      <c r="K2" s="105" t="str">
        <f>[2]指数行业占比!S1</f>
        <v>电信业务</v>
      </c>
      <c r="L2" s="105" t="str">
        <f>[2]指数行业占比!T1</f>
        <v>公用事业</v>
      </c>
    </row>
    <row r="3" spans="1:12">
      <c r="A3" s="95" t="s">
        <v>7415</v>
      </c>
      <c r="B3" s="34">
        <f>资产配置情况!B39/资产配置情况!$K$4</f>
        <v>8.0543625000000004E-3</v>
      </c>
      <c r="C3" s="18">
        <f>[2]指数行业占比!K4</f>
        <v>3.6400000000000002E-2</v>
      </c>
      <c r="D3" s="18">
        <f>[2]指数行业占比!L4</f>
        <v>4.9099999999999998E-2</v>
      </c>
      <c r="E3" s="18">
        <f>[2]指数行业占比!M4</f>
        <v>0.1038</v>
      </c>
      <c r="F3" s="18">
        <f>[2]指数行业占比!N4</f>
        <v>4.7199999999999999E-2</v>
      </c>
      <c r="G3" s="18">
        <f>[2]指数行业占比!O4</f>
        <v>0.1013</v>
      </c>
      <c r="H3" s="18">
        <f>[2]指数行业占比!P4</f>
        <v>3.44E-2</v>
      </c>
      <c r="I3" s="18">
        <f>[2]指数行业占比!Q4</f>
        <v>0.60509999999999997</v>
      </c>
      <c r="J3" s="18">
        <f>[2]指数行业占比!R4</f>
        <v>1.15E-2</v>
      </c>
      <c r="K3" s="18">
        <f>[2]指数行业占比!S4</f>
        <v>1.12E-2</v>
      </c>
      <c r="L3" s="18">
        <f>[2]指数行业占比!T4</f>
        <v>0</v>
      </c>
    </row>
    <row r="4" spans="1:12">
      <c r="A4" s="95" t="s">
        <v>7416</v>
      </c>
      <c r="B4" s="34">
        <f>资产配置情况!B40/资产配置情况!$K$4</f>
        <v>6.3755074999999994E-2</v>
      </c>
      <c r="C4" s="18">
        <f>[2]指数行业占比!K5</f>
        <v>2.69E-2</v>
      </c>
      <c r="D4" s="18">
        <f>[2]指数行业占比!L5</f>
        <v>7.0300000000000001E-2</v>
      </c>
      <c r="E4" s="18">
        <f>[2]指数行业占比!M5</f>
        <v>0.1308</v>
      </c>
      <c r="F4" s="18">
        <f>[2]指数行业占比!N5</f>
        <v>0.1053</v>
      </c>
      <c r="G4" s="18">
        <f>[2]指数行业占比!O5</f>
        <v>9.1200000000000003E-2</v>
      </c>
      <c r="H4" s="18">
        <f>[2]指数行业占比!P5</f>
        <v>6.1199999999999997E-2</v>
      </c>
      <c r="I4" s="18">
        <f>[2]指数行业占比!Q5</f>
        <v>0.39539999999999997</v>
      </c>
      <c r="J4" s="18">
        <f>[2]指数行业占比!R5</f>
        <v>8.3000000000000004E-2</v>
      </c>
      <c r="K4" s="18">
        <f>[2]指数行业占比!S5</f>
        <v>5.1000000000000004E-3</v>
      </c>
      <c r="L4" s="18">
        <f>[2]指数行业占比!T5</f>
        <v>3.0700000000000002E-2</v>
      </c>
    </row>
    <row r="5" spans="1:12">
      <c r="A5" s="96" t="s">
        <v>7417</v>
      </c>
      <c r="B5" s="34">
        <f>资产配置情况!B41/资产配置情况!$K$4</f>
        <v>0.28365731249999998</v>
      </c>
      <c r="C5" s="18">
        <f>[2]指数行业占比!K6</f>
        <v>2.2200000000000001E-2</v>
      </c>
      <c r="D5" s="18">
        <f>[2]指数行业占比!L6</f>
        <v>0.1716</v>
      </c>
      <c r="E5" s="18">
        <f>[2]指数行业占比!M6</f>
        <v>0.2006</v>
      </c>
      <c r="F5" s="18">
        <f>[2]指数行业占比!N6</f>
        <v>0.13100000000000001</v>
      </c>
      <c r="G5" s="18">
        <f>[2]指数行业占比!O6</f>
        <v>8.3000000000000004E-2</v>
      </c>
      <c r="H5" s="18">
        <f>[2]指数行业占比!P6</f>
        <v>8.5999999999999993E-2</v>
      </c>
      <c r="I5" s="18">
        <f>[2]指数行业占比!Q6</f>
        <v>9.5500000000000002E-2</v>
      </c>
      <c r="J5" s="18">
        <f>[2]指数行业占比!R6</f>
        <v>0.17219999999999999</v>
      </c>
      <c r="K5" s="18">
        <f>[2]指数行业占比!S6</f>
        <v>3.3999999999999998E-3</v>
      </c>
      <c r="L5" s="18">
        <f>[2]指数行业占比!T6</f>
        <v>3.2000000000000001E-2</v>
      </c>
    </row>
    <row r="6" spans="1:12">
      <c r="A6" s="96" t="s">
        <v>7418</v>
      </c>
      <c r="B6" s="34">
        <f>资产配置情况!B42/资产配置情况!$K$4</f>
        <v>6.5635124999999968E-3</v>
      </c>
      <c r="C6" s="18">
        <f>[2]指数行业占比!K7</f>
        <v>2.41E-2</v>
      </c>
      <c r="D6" s="18">
        <f>[2]指数行业占比!L7</f>
        <v>0.16450000000000001</v>
      </c>
      <c r="E6" s="18">
        <f>[2]指数行业占比!M7</f>
        <v>0.2233</v>
      </c>
      <c r="F6" s="18">
        <f>[2]指数行业占比!N7</f>
        <v>0.13270000000000001</v>
      </c>
      <c r="G6" s="18">
        <f>[2]指数行业占比!O7</f>
        <v>6.5699999999999995E-2</v>
      </c>
      <c r="H6" s="18">
        <f>[2]指数行业占比!P7</f>
        <v>9.8000000000000004E-2</v>
      </c>
      <c r="I6" s="18">
        <f>[2]指数行业占比!Q7</f>
        <v>4.2900000000000001E-2</v>
      </c>
      <c r="J6" s="18">
        <f>[2]指数行业占比!R7</f>
        <v>0.22270000000000001</v>
      </c>
      <c r="K6" s="18">
        <f>[2]指数行业占比!S7</f>
        <v>1.1000000000000001E-3</v>
      </c>
      <c r="L6" s="18">
        <f>[2]指数行业占比!T7</f>
        <v>2.52E-2</v>
      </c>
    </row>
    <row r="7" spans="1:12">
      <c r="A7" s="96" t="s">
        <v>37</v>
      </c>
      <c r="B7" s="34">
        <f>资产配置情况!B43/资产配置情况!$K$4</f>
        <v>2.4085612499999999E-2</v>
      </c>
      <c r="C7" s="18">
        <f>[2]指数行业占比!K14</f>
        <v>0</v>
      </c>
      <c r="D7" s="18">
        <f>[2]指数行业占比!L14</f>
        <v>3.56E-2</v>
      </c>
      <c r="E7" s="18">
        <f>[2]指数行业占比!M14</f>
        <v>0.19650000000000001</v>
      </c>
      <c r="F7" s="18">
        <f>[2]指数行业占比!N14</f>
        <v>6.7000000000000004E-2</v>
      </c>
      <c r="G7" s="18">
        <f>[2]指数行业占比!O14</f>
        <v>0.13420000000000001</v>
      </c>
      <c r="H7" s="18">
        <f>[2]指数行业占比!P14</f>
        <v>0.16880000000000001</v>
      </c>
      <c r="I7" s="18">
        <f>[2]指数行业占比!Q14</f>
        <v>5.5300000000000002E-2</v>
      </c>
      <c r="J7" s="18">
        <f>[2]指数行业占比!R14</f>
        <v>0.34260000000000002</v>
      </c>
      <c r="K7" s="18">
        <f>[2]指数行业占比!S14</f>
        <v>0</v>
      </c>
      <c r="L7" s="18">
        <f>[2]指数行业占比!T14</f>
        <v>0</v>
      </c>
    </row>
    <row r="8" spans="1:12">
      <c r="A8" s="97" t="s">
        <v>7419</v>
      </c>
      <c r="B8" s="34">
        <f>资产配置情况!B44/资产配置情况!$K$4</f>
        <v>8.2900000000000001E-2</v>
      </c>
      <c r="C8" s="18">
        <f>[2]指数行业占比!K2</f>
        <v>4.82E-2</v>
      </c>
      <c r="D8" s="18">
        <f>[2]指数行业占比!L2</f>
        <v>0.1021</v>
      </c>
      <c r="E8" s="18">
        <f>[2]指数行业占比!M2</f>
        <v>0.19900000000000001</v>
      </c>
      <c r="F8" s="18">
        <f>[2]指数行业占比!N2</f>
        <v>0.1852</v>
      </c>
      <c r="G8" s="18">
        <f>[2]指数行业占比!O2</f>
        <v>6.5600000000000006E-2</v>
      </c>
      <c r="H8" s="18">
        <f>[2]指数行业占比!P2</f>
        <v>3.0599999999999999E-2</v>
      </c>
      <c r="I8" s="18">
        <f>[2]指数行业占比!Q2</f>
        <v>0.26369999999999999</v>
      </c>
      <c r="J8" s="18">
        <f>[2]指数行业占比!R2</f>
        <v>2.9399999999999999E-2</v>
      </c>
      <c r="K8" s="18">
        <f>[2]指数行业占比!S2</f>
        <v>0</v>
      </c>
      <c r="L8" s="18">
        <f>[2]指数行业占比!T2</f>
        <v>7.6300000000000007E-2</v>
      </c>
    </row>
    <row r="9" spans="1:12">
      <c r="A9" s="98" t="s">
        <v>7420</v>
      </c>
      <c r="B9" s="34">
        <f>资产配置情况!B45/资产配置情况!$K$4</f>
        <v>7.2749999999999995E-2</v>
      </c>
      <c r="C9" s="18">
        <f>[2]指数行业占比!K12</f>
        <v>0</v>
      </c>
      <c r="D9" s="18">
        <f>[2]指数行业占比!L12</f>
        <v>0</v>
      </c>
      <c r="E9" s="18">
        <f>[2]指数行业占比!M12</f>
        <v>0</v>
      </c>
      <c r="F9" s="18">
        <f>[2]指数行业占比!N12</f>
        <v>0.2949</v>
      </c>
      <c r="G9" s="18">
        <f>[2]指数行业占比!O12</f>
        <v>0.14000000000000001</v>
      </c>
      <c r="H9" s="18">
        <f>[2]指数行业占比!P12</f>
        <v>0.3276</v>
      </c>
      <c r="I9" s="18">
        <f>[2]指数行业占比!Q12</f>
        <v>0.104</v>
      </c>
      <c r="J9" s="18">
        <f>[2]指数行业占比!R12</f>
        <v>0.1336</v>
      </c>
      <c r="K9" s="18">
        <f>[2]指数行业占比!S12</f>
        <v>0</v>
      </c>
      <c r="L9" s="18">
        <f>[2]指数行业占比!T12</f>
        <v>0</v>
      </c>
    </row>
    <row r="10" spans="1:12">
      <c r="A10" s="98" t="s">
        <v>7421</v>
      </c>
      <c r="B10" s="34">
        <f>资产配置情况!B46/资产配置情况!$K$4</f>
        <v>6.1076224999999998E-2</v>
      </c>
      <c r="C10" s="18">
        <f>[2]指数行业占比!K11</f>
        <v>0</v>
      </c>
      <c r="D10" s="18">
        <f>[2]指数行业占比!L11</f>
        <v>1.2999999999999999E-3</v>
      </c>
      <c r="E10" s="18">
        <f>[2]指数行业占比!M11</f>
        <v>1E-3</v>
      </c>
      <c r="F10" s="18">
        <f>[2]指数行业占比!N11</f>
        <v>5.5999999999999999E-3</v>
      </c>
      <c r="G10" s="18">
        <f>[2]指数行业占比!O11</f>
        <v>8.0699999999999994E-2</v>
      </c>
      <c r="H10" s="18">
        <f>[2]指数行业占比!P11</f>
        <v>0.89590000000000003</v>
      </c>
      <c r="I10" s="18">
        <f>[2]指数行业占比!Q11</f>
        <v>0</v>
      </c>
      <c r="J10" s="18">
        <f>[2]指数行业占比!R11</f>
        <v>1.54E-2</v>
      </c>
      <c r="K10" s="18">
        <f>[2]指数行业占比!S11</f>
        <v>0</v>
      </c>
      <c r="L10" s="18">
        <f>[2]指数行业占比!T11</f>
        <v>0</v>
      </c>
    </row>
    <row r="11" spans="1:12">
      <c r="A11" s="98" t="s">
        <v>7422</v>
      </c>
      <c r="B11" s="34">
        <f>资产配置情况!B47/资产配置情况!$K$4</f>
        <v>4.5025412500000001E-2</v>
      </c>
      <c r="C11" s="18">
        <f>[2]指数行业占比!K10</f>
        <v>0</v>
      </c>
      <c r="D11" s="18">
        <f>[2]指数行业占比!L10</f>
        <v>0</v>
      </c>
      <c r="E11" s="18">
        <f>[2]指数行业占比!M10</f>
        <v>0</v>
      </c>
      <c r="F11" s="18">
        <f>[2]指数行业占比!N10</f>
        <v>0.48649999999999999</v>
      </c>
      <c r="G11" s="18">
        <f>[2]指数行业占比!O10</f>
        <v>0</v>
      </c>
      <c r="H11" s="18">
        <f>[2]指数行业占比!P10</f>
        <v>0</v>
      </c>
      <c r="I11" s="18">
        <f>[2]指数行业占比!Q10</f>
        <v>9.9299999999999999E-2</v>
      </c>
      <c r="J11" s="18">
        <f>[2]指数行业占比!R10</f>
        <v>0.41420000000000001</v>
      </c>
      <c r="K11" s="18">
        <f>[2]指数行业占比!S10</f>
        <v>0</v>
      </c>
      <c r="L11" s="18">
        <f>[2]指数行业占比!T10</f>
        <v>0</v>
      </c>
    </row>
    <row r="12" spans="1:12">
      <c r="A12" s="98" t="s">
        <v>7423</v>
      </c>
      <c r="B12" s="34">
        <f>资产配置情况!B48/资产配置情况!$K$4</f>
        <v>6.0069037499999992E-2</v>
      </c>
      <c r="C12" s="18">
        <f>[2]指数行业占比!K13</f>
        <v>0</v>
      </c>
      <c r="D12" s="18">
        <f>[2]指数行业占比!L13</f>
        <v>8.7800000000000003E-2</v>
      </c>
      <c r="E12" s="18">
        <f>[2]指数行业占比!M13</f>
        <v>0.49399999999999999</v>
      </c>
      <c r="F12" s="18">
        <f>[2]指数行业占比!N13</f>
        <v>5.1499999999999997E-2</v>
      </c>
      <c r="G12" s="18">
        <f>[2]指数行业占比!O13</f>
        <v>0</v>
      </c>
      <c r="H12" s="18">
        <f>[2]指数行业占比!P13</f>
        <v>0</v>
      </c>
      <c r="I12" s="18">
        <f>[2]指数行业占比!Q13</f>
        <v>0</v>
      </c>
      <c r="J12" s="18">
        <f>[2]指数行业占比!R13</f>
        <v>0.1993</v>
      </c>
      <c r="K12" s="18">
        <f>[2]指数行业占比!S13</f>
        <v>0</v>
      </c>
      <c r="L12" s="18">
        <f>[2]指数行业占比!T13</f>
        <v>0.1673</v>
      </c>
    </row>
    <row r="13" spans="1:12">
      <c r="A13" s="98" t="s">
        <v>7424</v>
      </c>
      <c r="B13" s="34">
        <f>资产配置情况!B49/资产配置情况!$K$4</f>
        <v>-4.4255500000000003E-3</v>
      </c>
      <c r="C13" s="18">
        <f>[2]指数行业占比!K14</f>
        <v>0</v>
      </c>
      <c r="D13" s="18">
        <v>7.4000000000000003E-3</v>
      </c>
      <c r="E13" s="18">
        <v>0</v>
      </c>
      <c r="F13" s="18">
        <v>8.0000000000000004E-4</v>
      </c>
      <c r="G13" s="18">
        <v>0.99050000000000005</v>
      </c>
      <c r="H13" s="18">
        <v>1.2999999999999999E-3</v>
      </c>
      <c r="I13" s="18">
        <v>0</v>
      </c>
      <c r="J13" s="18">
        <v>0</v>
      </c>
      <c r="K13" s="18">
        <v>0</v>
      </c>
      <c r="L13" s="18">
        <v>0</v>
      </c>
    </row>
    <row r="14" spans="1:12">
      <c r="A14" s="98" t="s">
        <v>7425</v>
      </c>
      <c r="B14" s="34">
        <f>资产配置情况!B50/资产配置情况!$K$4</f>
        <v>2.4E-2</v>
      </c>
      <c r="C14" s="18">
        <f>[2]指数行业占比!K8</f>
        <v>0</v>
      </c>
      <c r="D14" s="18">
        <f>[2]指数行业占比!L8</f>
        <v>0</v>
      </c>
      <c r="E14" s="18">
        <f>[2]指数行业占比!M8</f>
        <v>0</v>
      </c>
      <c r="F14" s="18">
        <f>[2]指数行业占比!N8</f>
        <v>7.7000000000000002E-3</v>
      </c>
      <c r="G14" s="18">
        <f>[2]指数行业占比!O8</f>
        <v>0</v>
      </c>
      <c r="H14" s="18">
        <f>[2]指数行业占比!P8</f>
        <v>6.9999999999999999E-4</v>
      </c>
      <c r="I14" s="18">
        <f>[2]指数行业占比!Q8</f>
        <v>0.99070000000000003</v>
      </c>
      <c r="J14" s="18">
        <f>[2]指数行业占比!R8</f>
        <v>8.0000000000000004E-4</v>
      </c>
      <c r="K14" s="18">
        <f>[2]指数行业占比!S8</f>
        <v>0</v>
      </c>
      <c r="L14" s="18">
        <f>[2]指数行业占比!T8</f>
        <v>0</v>
      </c>
    </row>
    <row r="15" spans="1:12">
      <c r="A15" s="98" t="s">
        <v>7426</v>
      </c>
      <c r="B15" s="34">
        <f>资产配置情况!B51/资产配置情况!$K$4</f>
        <v>3.1965149999999998E-2</v>
      </c>
      <c r="C15" s="18">
        <f>[2]指数行业占比!K9</f>
        <v>0</v>
      </c>
      <c r="D15" s="18">
        <f>[2]指数行业占比!L9</f>
        <v>0</v>
      </c>
      <c r="E15" s="18">
        <f>[2]指数行业占比!M9</f>
        <v>0</v>
      </c>
      <c r="F15" s="18">
        <f>[2]指数行业占比!N9</f>
        <v>0</v>
      </c>
      <c r="G15" s="18">
        <f>[2]指数行业占比!O9</f>
        <v>0</v>
      </c>
      <c r="H15" s="18">
        <f>[2]指数行业占比!P9</f>
        <v>0</v>
      </c>
      <c r="I15" s="18">
        <f>[2]指数行业占比!Q9</f>
        <v>1</v>
      </c>
      <c r="J15" s="18">
        <f>[2]指数行业占比!R9</f>
        <v>0</v>
      </c>
      <c r="K15" s="18">
        <f>[2]指数行业占比!S9</f>
        <v>0</v>
      </c>
      <c r="L15" s="18">
        <f>[2]指数行业占比!T9</f>
        <v>0</v>
      </c>
    </row>
    <row r="16" spans="1:12">
      <c r="A16" s="99" t="s">
        <v>7427</v>
      </c>
      <c r="B16" s="34">
        <f>资产配置情况!B52/资产配置情况!$K$4</f>
        <v>8.0000000000000002E-3</v>
      </c>
    </row>
    <row r="17" spans="1:30">
      <c r="A17" s="99" t="s">
        <v>7298</v>
      </c>
      <c r="B17" s="34">
        <f>资产配置情况!B53/资产配置情况!$K$4</f>
        <v>2.4E-2</v>
      </c>
    </row>
    <row r="18" spans="1:30">
      <c r="A18" s="99" t="s">
        <v>70</v>
      </c>
      <c r="B18" s="34">
        <f>资产配置情况!B54/资产配置情况!$K$4</f>
        <v>2.8250000000000001E-2</v>
      </c>
    </row>
    <row r="19" spans="1:30">
      <c r="A19" s="101" t="s">
        <v>7303</v>
      </c>
      <c r="B19" s="34">
        <f>资产配置情况!B55/资产配置情况!$K$4</f>
        <v>2.4E-2</v>
      </c>
    </row>
    <row r="20" spans="1:30">
      <c r="A20" s="101" t="s">
        <v>35</v>
      </c>
      <c r="B20" s="34">
        <f>资产配置情况!B56/资产配置情况!$K$4</f>
        <v>1.6065112499999999E-2</v>
      </c>
    </row>
    <row r="21" spans="1:30">
      <c r="A21" s="100" t="s">
        <v>7428</v>
      </c>
      <c r="B21" s="34">
        <f>资产配置情况!B57/资产配置情况!$K$4</f>
        <v>-1.5640912499999967E-3</v>
      </c>
    </row>
    <row r="22" spans="1:30">
      <c r="A22" s="102" t="s">
        <v>7429</v>
      </c>
      <c r="B22" s="34">
        <f>资产配置情况!B58/资产配置情况!$K$4</f>
        <v>8.7999999999999995E-2</v>
      </c>
      <c r="C22" s="18"/>
      <c r="D22" s="18"/>
      <c r="E22" s="18"/>
      <c r="F22" s="18"/>
      <c r="G22" s="18"/>
      <c r="H22" s="18"/>
      <c r="I22" s="18"/>
      <c r="J22" s="18"/>
      <c r="K22" s="18"/>
    </row>
    <row r="23" spans="1:30">
      <c r="A23" s="102" t="s">
        <v>7430</v>
      </c>
      <c r="B23" s="34">
        <f>资产配置情况!B59/资产配置情况!$K$4</f>
        <v>6.4313999999999986E-3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</row>
    <row r="24" spans="1:30">
      <c r="C24" s="18"/>
      <c r="D24" s="18"/>
      <c r="E24" s="18"/>
      <c r="F24" s="18"/>
      <c r="G24" s="18"/>
      <c r="H24" s="18"/>
      <c r="I24" s="18"/>
      <c r="J24" s="18"/>
      <c r="K24" s="18"/>
      <c r="L24" s="18"/>
    </row>
    <row r="25" spans="1:30" s="53" customFormat="1">
      <c r="A25" s="53" t="s">
        <v>7277</v>
      </c>
      <c r="B25" s="53" t="s">
        <v>7278</v>
      </c>
      <c r="C25" s="53" t="s">
        <v>7278</v>
      </c>
      <c r="D25" s="53" t="s">
        <v>7278</v>
      </c>
      <c r="E25" s="53" t="s">
        <v>7279</v>
      </c>
      <c r="F25" s="53" t="s">
        <v>7279</v>
      </c>
      <c r="G25" s="53" t="s">
        <v>7279</v>
      </c>
      <c r="H25" s="53" t="s">
        <v>153</v>
      </c>
      <c r="I25" s="53" t="s">
        <v>153</v>
      </c>
      <c r="J25" s="53" t="s">
        <v>153</v>
      </c>
      <c r="K25" s="53" t="s">
        <v>154</v>
      </c>
      <c r="L25" s="53" t="s">
        <v>154</v>
      </c>
      <c r="M25" s="53" t="s">
        <v>154</v>
      </c>
      <c r="N25" s="53" t="s">
        <v>3743</v>
      </c>
      <c r="O25" s="53" t="s">
        <v>3743</v>
      </c>
      <c r="P25" s="53" t="s">
        <v>3743</v>
      </c>
      <c r="Q25" s="53" t="s">
        <v>156</v>
      </c>
      <c r="R25" s="53" t="s">
        <v>156</v>
      </c>
      <c r="S25" s="53" t="s">
        <v>156</v>
      </c>
      <c r="T25" s="53" t="s">
        <v>7280</v>
      </c>
      <c r="U25" s="53" t="s">
        <v>7280</v>
      </c>
      <c r="V25" s="53" t="s">
        <v>7280</v>
      </c>
      <c r="W25" s="53" t="s">
        <v>157</v>
      </c>
      <c r="X25" s="53" t="s">
        <v>157</v>
      </c>
      <c r="Y25" s="53" t="s">
        <v>157</v>
      </c>
      <c r="Z25" s="53" t="s">
        <v>158</v>
      </c>
      <c r="AA25" s="53" t="s">
        <v>158</v>
      </c>
      <c r="AB25" s="53" t="s">
        <v>158</v>
      </c>
    </row>
    <row r="26" spans="1:30">
      <c r="A26" s="3">
        <v>38544</v>
      </c>
      <c r="B26" s="53">
        <v>35</v>
      </c>
      <c r="C26" s="53">
        <v>11.93</v>
      </c>
      <c r="D26" s="53">
        <v>1.4</v>
      </c>
      <c r="E26" s="53">
        <v>271</v>
      </c>
      <c r="F26" s="53">
        <v>14.65</v>
      </c>
      <c r="G26" s="53">
        <v>1.2</v>
      </c>
      <c r="H26" s="53">
        <v>308</v>
      </c>
      <c r="I26" s="53">
        <v>21.23</v>
      </c>
      <c r="J26" s="53">
        <v>1.42</v>
      </c>
      <c r="K26" s="53">
        <v>262</v>
      </c>
      <c r="L26" s="53">
        <v>22.67</v>
      </c>
      <c r="M26" s="53">
        <v>1.34</v>
      </c>
      <c r="N26" s="53">
        <v>118</v>
      </c>
      <c r="O26" s="53">
        <v>26.35</v>
      </c>
      <c r="P26" s="53">
        <v>1.36</v>
      </c>
      <c r="Q26" s="53">
        <v>107</v>
      </c>
      <c r="R26" s="53">
        <v>24.93</v>
      </c>
      <c r="S26" s="53">
        <v>1.49</v>
      </c>
      <c r="T26" s="53">
        <v>100</v>
      </c>
      <c r="U26" s="53">
        <v>18.829999999999998</v>
      </c>
      <c r="V26" s="53">
        <v>1.38</v>
      </c>
      <c r="W26" s="53">
        <v>122</v>
      </c>
      <c r="X26" s="53">
        <v>25.95</v>
      </c>
      <c r="Y26" s="53">
        <v>1.47</v>
      </c>
      <c r="Z26" s="53">
        <v>63</v>
      </c>
      <c r="AA26" s="53">
        <v>19.89</v>
      </c>
      <c r="AB26" s="53">
        <v>1.33</v>
      </c>
    </row>
    <row r="27" spans="1:30">
      <c r="A27" s="3">
        <v>39748</v>
      </c>
      <c r="B27" s="53">
        <v>42</v>
      </c>
      <c r="C27" s="53">
        <v>10.64</v>
      </c>
      <c r="D27" s="53">
        <v>1.92</v>
      </c>
      <c r="E27" s="53">
        <v>320</v>
      </c>
      <c r="F27" s="53">
        <v>9.81</v>
      </c>
      <c r="G27" s="53">
        <v>1.34</v>
      </c>
      <c r="H27" s="53">
        <v>388</v>
      </c>
      <c r="I27" s="53">
        <v>15.36</v>
      </c>
      <c r="J27" s="53">
        <v>1.65</v>
      </c>
      <c r="K27" s="53">
        <v>278</v>
      </c>
      <c r="L27" s="53">
        <v>12.86</v>
      </c>
      <c r="M27" s="53">
        <v>1.54</v>
      </c>
      <c r="N27" s="53">
        <v>117</v>
      </c>
      <c r="O27" s="53">
        <v>23.61</v>
      </c>
      <c r="P27" s="53">
        <v>1.95</v>
      </c>
      <c r="Q27" s="53">
        <v>118</v>
      </c>
      <c r="R27" s="53">
        <v>19.39</v>
      </c>
      <c r="S27" s="53">
        <v>2.09</v>
      </c>
      <c r="T27" s="53">
        <v>142</v>
      </c>
      <c r="U27" s="53">
        <v>13.4</v>
      </c>
      <c r="V27" s="53">
        <v>1.68</v>
      </c>
      <c r="W27" s="53">
        <v>155</v>
      </c>
      <c r="X27" s="53">
        <v>12.48</v>
      </c>
      <c r="Y27" s="53">
        <v>1.56</v>
      </c>
      <c r="Z27" s="53">
        <v>67</v>
      </c>
      <c r="AA27" s="53">
        <v>20.48</v>
      </c>
      <c r="AB27" s="53">
        <v>1.36</v>
      </c>
    </row>
    <row r="28" spans="1:30">
      <c r="A28" s="3">
        <v>41240</v>
      </c>
      <c r="B28" s="53">
        <v>65</v>
      </c>
      <c r="C28" s="53">
        <v>20.45</v>
      </c>
      <c r="D28" s="53">
        <v>2</v>
      </c>
      <c r="E28" s="53">
        <v>454</v>
      </c>
      <c r="F28" s="53">
        <v>23.49</v>
      </c>
      <c r="G28" s="53">
        <v>1.76</v>
      </c>
      <c r="H28" s="53">
        <v>637</v>
      </c>
      <c r="I28" s="53">
        <v>22.35</v>
      </c>
      <c r="J28" s="53">
        <v>1.78</v>
      </c>
      <c r="K28" s="53">
        <v>407</v>
      </c>
      <c r="L28" s="53">
        <v>21.28</v>
      </c>
      <c r="M28" s="53">
        <v>1.87</v>
      </c>
      <c r="N28" s="53">
        <v>166</v>
      </c>
      <c r="O28" s="53">
        <v>26.39</v>
      </c>
      <c r="P28" s="53">
        <v>2.4700000000000002</v>
      </c>
      <c r="Q28" s="53">
        <v>181</v>
      </c>
      <c r="R28" s="53">
        <v>30.04</v>
      </c>
      <c r="S28" s="53">
        <v>2.78</v>
      </c>
      <c r="T28" s="53">
        <v>198</v>
      </c>
      <c r="U28" s="53">
        <v>15.54</v>
      </c>
      <c r="V28" s="53">
        <v>1.86</v>
      </c>
      <c r="W28" s="53">
        <v>334</v>
      </c>
      <c r="X28" s="53">
        <v>28.21</v>
      </c>
      <c r="Y28" s="53">
        <v>2.12</v>
      </c>
      <c r="Z28" s="53">
        <v>74</v>
      </c>
      <c r="AA28" s="53">
        <v>21.37</v>
      </c>
      <c r="AB28" s="53">
        <v>1.76</v>
      </c>
    </row>
    <row r="29" spans="1:30" s="53" customFormat="1">
      <c r="A29" s="14">
        <v>43550</v>
      </c>
      <c r="B29" s="55">
        <v>75</v>
      </c>
      <c r="C29" s="55">
        <v>16.55</v>
      </c>
      <c r="D29" s="55">
        <v>1.47</v>
      </c>
      <c r="E29" s="55">
        <v>571</v>
      </c>
      <c r="F29" s="55">
        <v>22.06</v>
      </c>
      <c r="G29" s="55">
        <v>2.16</v>
      </c>
      <c r="H29" s="55">
        <v>972</v>
      </c>
      <c r="I29" s="55">
        <v>29.64</v>
      </c>
      <c r="J29" s="55">
        <v>2.2599999999999998</v>
      </c>
      <c r="K29" s="55">
        <v>597</v>
      </c>
      <c r="L29" s="55">
        <v>24.55</v>
      </c>
      <c r="M29" s="55">
        <v>2.08</v>
      </c>
      <c r="N29" s="55">
        <v>225</v>
      </c>
      <c r="O29" s="55">
        <v>32.700000000000003</v>
      </c>
      <c r="P29" s="55">
        <v>2.61</v>
      </c>
      <c r="Q29" s="55">
        <v>297</v>
      </c>
      <c r="R29" s="55">
        <v>30.12</v>
      </c>
      <c r="S29" s="55">
        <v>2.73</v>
      </c>
      <c r="T29" s="55">
        <v>237</v>
      </c>
      <c r="U29" s="55">
        <v>14.83</v>
      </c>
      <c r="V29" s="55">
        <v>1.49</v>
      </c>
      <c r="W29" s="55">
        <v>599</v>
      </c>
      <c r="X29" s="55">
        <v>44.51</v>
      </c>
      <c r="Y29" s="55">
        <v>3.23</v>
      </c>
      <c r="Z29" s="55">
        <v>109</v>
      </c>
      <c r="AA29" s="55">
        <v>24.04</v>
      </c>
      <c r="AB29" s="55">
        <v>1.57</v>
      </c>
      <c r="AC29" s="53">
        <v>26.631022353011982</v>
      </c>
      <c r="AD29" s="53">
        <v>2.255500658127128</v>
      </c>
    </row>
    <row r="30" spans="1:30">
      <c r="A30" s="53" t="s">
        <v>7281</v>
      </c>
      <c r="B30" s="53"/>
      <c r="C30" s="34">
        <f>IF(C27/C29-1&gt;0,0,C27/C29-1)</f>
        <v>-0.35709969788519635</v>
      </c>
      <c r="D30" s="34">
        <f>IF(D27/D29-1&gt;0,0,D27/D29-1)</f>
        <v>0</v>
      </c>
      <c r="E30" s="53"/>
      <c r="F30" s="34">
        <f>IF(F27/F29-1&gt;0,0,F27/F29-1)</f>
        <v>-0.55530371713508608</v>
      </c>
      <c r="G30" s="34">
        <f>IF(G27/G29-1&gt;0,0,G27/G29-1)</f>
        <v>-0.37962962962962965</v>
      </c>
      <c r="H30" s="53"/>
      <c r="I30" s="34">
        <f t="shared" ref="I30:J30" si="0">IF(I27/I29-1&gt;0,0,I27/I29-1)</f>
        <v>-0.48178137651821862</v>
      </c>
      <c r="J30" s="34">
        <f t="shared" si="0"/>
        <v>-0.26991150442477874</v>
      </c>
      <c r="K30" s="53"/>
      <c r="L30" s="34">
        <f t="shared" ref="L30:M30" si="1">IF(L27/L29-1&gt;0,0,L27/L29-1)</f>
        <v>-0.47617107942973524</v>
      </c>
      <c r="M30" s="34">
        <f t="shared" si="1"/>
        <v>-0.25961538461538458</v>
      </c>
      <c r="N30" s="53"/>
      <c r="O30" s="34">
        <f t="shared" ref="O30:P30" si="2">IF(O27/O29-1&gt;0,0,O27/O29-1)</f>
        <v>-0.27798165137614683</v>
      </c>
      <c r="P30" s="34">
        <f t="shared" si="2"/>
        <v>-0.25287356321839083</v>
      </c>
      <c r="Q30" s="53"/>
      <c r="R30" s="34">
        <f t="shared" ref="R30:S30" si="3">IF(R27/R29-1&gt;0,0,R27/R29-1)</f>
        <v>-0.35624169986719789</v>
      </c>
      <c r="S30" s="34">
        <f t="shared" si="3"/>
        <v>-0.23443223443223449</v>
      </c>
      <c r="T30" s="53"/>
      <c r="U30" s="34">
        <f t="shared" ref="U30:V30" si="4">IF(U27/U29-1&gt;0,0,U27/U29-1)</f>
        <v>-9.6426163182737668E-2</v>
      </c>
      <c r="V30" s="34">
        <f t="shared" si="4"/>
        <v>0</v>
      </c>
      <c r="W30" s="53"/>
      <c r="X30" s="34">
        <f t="shared" ref="X30:Y30" si="5">IF(X27/X29-1&gt;0,0,X27/X29-1)</f>
        <v>-0.71961356998427317</v>
      </c>
      <c r="Y30" s="34">
        <f t="shared" si="5"/>
        <v>-0.51702786377708976</v>
      </c>
      <c r="Z30" s="53"/>
      <c r="AA30" s="34">
        <f t="shared" ref="AA30:AB30" si="6">IF(AA27/AA29-1&gt;0,0,AA27/AA29-1)</f>
        <v>-0.14808652246256238</v>
      </c>
      <c r="AB30" s="34">
        <f t="shared" si="6"/>
        <v>-0.13375796178343946</v>
      </c>
    </row>
    <row r="31" spans="1:30">
      <c r="A31" s="3">
        <v>42166</v>
      </c>
      <c r="B31" s="105">
        <v>66</v>
      </c>
      <c r="C31" s="105">
        <v>78.040000000000006</v>
      </c>
      <c r="D31" s="105">
        <v>3.46</v>
      </c>
      <c r="E31" s="105">
        <v>496</v>
      </c>
      <c r="F31" s="105">
        <v>86.44</v>
      </c>
      <c r="G31" s="105">
        <v>5.42</v>
      </c>
      <c r="H31" s="105">
        <v>730</v>
      </c>
      <c r="I31" s="105">
        <v>70.430000000000007</v>
      </c>
      <c r="J31" s="105">
        <v>6.7</v>
      </c>
      <c r="K31" s="105">
        <v>447</v>
      </c>
      <c r="L31" s="105">
        <v>68.349999999999994</v>
      </c>
      <c r="M31" s="105">
        <v>6.35</v>
      </c>
      <c r="N31" s="105">
        <v>184</v>
      </c>
      <c r="O31" s="105">
        <v>84.59</v>
      </c>
      <c r="P31" s="105">
        <v>6.62</v>
      </c>
      <c r="Q31" s="105">
        <v>203</v>
      </c>
      <c r="R31" s="105">
        <v>88.23</v>
      </c>
      <c r="S31" s="105">
        <v>8.7100000000000009</v>
      </c>
      <c r="T31" s="105">
        <v>198</v>
      </c>
      <c r="U31" s="105">
        <v>34.200000000000003</v>
      </c>
      <c r="V31" s="105">
        <v>4.0999999999999996</v>
      </c>
      <c r="W31" s="105">
        <v>394</v>
      </c>
      <c r="X31" s="105">
        <v>110.74</v>
      </c>
      <c r="Y31" s="105">
        <v>10.44</v>
      </c>
      <c r="Z31" s="105">
        <v>86</v>
      </c>
      <c r="AA31" s="105">
        <v>39.99</v>
      </c>
      <c r="AB31" s="105">
        <v>4.54</v>
      </c>
    </row>
    <row r="32" spans="1:30">
      <c r="A32" s="105" t="s">
        <v>7526</v>
      </c>
      <c r="B32" s="105"/>
      <c r="C32" s="34">
        <f>IF(C31/C29-1&gt;0,C31/C29-1,0)</f>
        <v>3.7154078549848943</v>
      </c>
      <c r="D32" s="34">
        <f>IF(D31/D29-1&gt;0,D31/D29-1,0)</f>
        <v>1.3537414965986394</v>
      </c>
      <c r="E32" s="105"/>
      <c r="F32" s="34">
        <f>IF(F31/F29-1&gt;0,F31/F29-1,0)</f>
        <v>2.9184043517679057</v>
      </c>
      <c r="G32" s="34">
        <f>IF(G31/G29-1&gt;0,G31/G29-1,0)</f>
        <v>1.5092592592592591</v>
      </c>
      <c r="H32" s="105"/>
      <c r="I32" s="34">
        <f>IF(I31/I29-1&gt;0,I31/I29-1,0)</f>
        <v>1.3761808367071526</v>
      </c>
      <c r="J32" s="34">
        <f>IF(J31/J29-1&gt;0,J31/J29-1,0)</f>
        <v>1.9646017699115048</v>
      </c>
      <c r="K32" s="105"/>
      <c r="L32" s="34">
        <f>IF(L31/L29-1&gt;0,L31/L29-1,0)</f>
        <v>1.7841140529531567</v>
      </c>
      <c r="M32" s="34">
        <f>IF(M31/M29-1&gt;0,M31/M29-1,0)</f>
        <v>2.052884615384615</v>
      </c>
      <c r="N32" s="105"/>
      <c r="O32" s="34">
        <f>IF(O31/O29-1&gt;0,O31/O29-1,0)</f>
        <v>1.5868501529051988</v>
      </c>
      <c r="P32" s="34">
        <f>IF(P31/P29-1&gt;0,P31/P29-1,0)</f>
        <v>1.5363984674329503</v>
      </c>
      <c r="Q32" s="105"/>
      <c r="R32" s="34">
        <f>IF(R31/R29-1&gt;0,R31/R29-1,0)</f>
        <v>1.9292828685258963</v>
      </c>
      <c r="S32" s="34">
        <f>IF(S31/S29-1&gt;0,S31/S29-1,0)</f>
        <v>2.1904761904761907</v>
      </c>
      <c r="T32" s="105"/>
      <c r="U32" s="34">
        <f>IF(U31/U29-1&gt;0,U31/U29-1,0)</f>
        <v>1.3061362103843561</v>
      </c>
      <c r="V32" s="34">
        <f>IF(V31/V29-1&gt;0,V31/V29-1,0)</f>
        <v>1.7516778523489931</v>
      </c>
      <c r="W32" s="105"/>
      <c r="X32" s="34">
        <f>IF(X31/X29-1&gt;0,X31/X29-1,0)</f>
        <v>1.4879802291619861</v>
      </c>
      <c r="Y32" s="34">
        <f>IF(Y31/Y29-1&gt;0,Y31/Y29-1,0)</f>
        <v>2.2321981424148607</v>
      </c>
      <c r="Z32" s="105"/>
      <c r="AA32" s="34">
        <f>IF(AA31/AA29-1&gt;0,AA31/AA29-1,0)</f>
        <v>0.66347753743760407</v>
      </c>
      <c r="AB32" s="34">
        <f>IF(AB31/AB29-1&gt;0,AB31/AB29-1,0)</f>
        <v>1.8917197452229297</v>
      </c>
    </row>
    <row r="35" spans="1:16">
      <c r="A35" s="108" t="s">
        <v>7531</v>
      </c>
      <c r="B35" s="53" t="s">
        <v>7285</v>
      </c>
      <c r="C35" s="53" t="str">
        <f>指数行业占比!K1</f>
        <v>能源</v>
      </c>
      <c r="D35" s="53" t="str">
        <f>指数行业占比!L1</f>
        <v>原材料</v>
      </c>
      <c r="E35" s="53" t="str">
        <f>指数行业占比!M1</f>
        <v>工业</v>
      </c>
      <c r="F35" s="53" t="str">
        <f>指数行业占比!N1</f>
        <v>可选消费</v>
      </c>
      <c r="G35" s="53" t="str">
        <f>指数行业占比!O1</f>
        <v>主要消费</v>
      </c>
      <c r="H35" s="53" t="str">
        <f>指数行业占比!P1</f>
        <v>医药卫生</v>
      </c>
      <c r="I35" s="53" t="str">
        <f>指数行业占比!Q1</f>
        <v>金融地产</v>
      </c>
      <c r="J35" s="53" t="str">
        <f>指数行业占比!R1</f>
        <v>信息技术</v>
      </c>
      <c r="K35" s="53" t="str">
        <f>指数行业占比!S1</f>
        <v>电信业务</v>
      </c>
      <c r="L35" s="105" t="str">
        <f>指数行业占比!T1</f>
        <v>公用事业</v>
      </c>
      <c r="M35" s="105" t="s">
        <v>7282</v>
      </c>
      <c r="N35" s="105" t="s">
        <v>7283</v>
      </c>
      <c r="O35" s="105" t="s">
        <v>7284</v>
      </c>
      <c r="P35" s="105" t="s">
        <v>7286</v>
      </c>
    </row>
    <row r="36" spans="1:16" ht="12.75" customHeight="1">
      <c r="A36" s="95" t="str">
        <f>A3</f>
        <v>上证50</v>
      </c>
      <c r="B36" s="52">
        <f>B3</f>
        <v>8.0543625000000004E-3</v>
      </c>
      <c r="C36" s="32">
        <f t="shared" ref="C36:C48" si="7">(1+$D$30)*C3</f>
        <v>3.6400000000000002E-2</v>
      </c>
      <c r="D36" s="32">
        <f t="shared" ref="D36:D48" si="8">(1+$G$30)*D3</f>
        <v>3.0460185185185184E-2</v>
      </c>
      <c r="E36" s="32">
        <f t="shared" ref="E36:E48" si="9">(1+$J$30)*E3</f>
        <v>7.5783185840707964E-2</v>
      </c>
      <c r="F36" s="32">
        <f t="shared" ref="F36:F48" si="10">(1+$M$30)*F3</f>
        <v>3.4946153846153849E-2</v>
      </c>
      <c r="G36" s="32">
        <f t="shared" ref="G36:G48" si="11">(1+$P$30)*G3</f>
        <v>7.5683908045977008E-2</v>
      </c>
      <c r="H36" s="32">
        <f t="shared" ref="H36:H48" si="12">(1+$S$30)*H3</f>
        <v>2.6335531135531134E-2</v>
      </c>
      <c r="I36" s="32">
        <f t="shared" ref="I36:I48" si="13">(1+$V$30)*I3</f>
        <v>0.60509999999999997</v>
      </c>
      <c r="J36" s="32">
        <f t="shared" ref="J36:J48" si="14">(1+$Y$30)*J3</f>
        <v>5.5541795665634674E-3</v>
      </c>
      <c r="K36" s="32">
        <f>(1+$AB$30)*K3</f>
        <v>9.7019108280254774E-3</v>
      </c>
      <c r="L36" s="32">
        <f>(1+$AB$30)*L3</f>
        <v>0</v>
      </c>
      <c r="M36" s="34">
        <f>SUM(C36:L36)-1</f>
        <v>-0.10003494555185599</v>
      </c>
      <c r="N36" s="105">
        <v>2706.15</v>
      </c>
      <c r="O36" s="35">
        <f>N36*(1+M36)</f>
        <v>2435.4404320948452</v>
      </c>
      <c r="P36" s="34">
        <f t="shared" ref="P36:P48" si="15">B36*(1+M36)</f>
        <v>7.2486447858575893E-3</v>
      </c>
    </row>
    <row r="37" spans="1:16" ht="12.75" customHeight="1">
      <c r="A37" s="95" t="str">
        <f t="shared" ref="A37:B37" si="16">A4</f>
        <v>沪深300</v>
      </c>
      <c r="B37" s="104">
        <f t="shared" si="16"/>
        <v>6.3755074999999994E-2</v>
      </c>
      <c r="C37" s="32">
        <f t="shared" si="7"/>
        <v>2.69E-2</v>
      </c>
      <c r="D37" s="32">
        <f t="shared" si="8"/>
        <v>4.3612037037037039E-2</v>
      </c>
      <c r="E37" s="32">
        <f t="shared" si="9"/>
        <v>9.5495575221238943E-2</v>
      </c>
      <c r="F37" s="32">
        <f t="shared" si="10"/>
        <v>7.7962500000000004E-2</v>
      </c>
      <c r="G37" s="32">
        <f t="shared" si="11"/>
        <v>6.8137931034482763E-2</v>
      </c>
      <c r="H37" s="32">
        <f t="shared" si="12"/>
        <v>4.6852747252747247E-2</v>
      </c>
      <c r="I37" s="32">
        <f t="shared" si="13"/>
        <v>0.39539999999999997</v>
      </c>
      <c r="J37" s="32">
        <f t="shared" si="14"/>
        <v>4.0086687306501549E-2</v>
      </c>
      <c r="K37" s="32">
        <f>(1+$AB$30)*K4</f>
        <v>4.4178343949044588E-3</v>
      </c>
      <c r="L37" s="32">
        <f>(1+$AB$30)*L4</f>
        <v>2.6593630573248411E-2</v>
      </c>
      <c r="M37" s="34">
        <f>SUM(C37:L37)-1</f>
        <v>-0.17454105717983959</v>
      </c>
      <c r="N37" s="105">
        <v>3700.44</v>
      </c>
      <c r="O37" s="35">
        <f>N37*(1+M37)</f>
        <v>3054.5612903694346</v>
      </c>
      <c r="P37" s="34">
        <f t="shared" si="15"/>
        <v>5.2627196808920036E-2</v>
      </c>
    </row>
    <row r="38" spans="1:16">
      <c r="A38" s="96" t="str">
        <f t="shared" ref="A38:B38" si="17">A5</f>
        <v>中证500</v>
      </c>
      <c r="B38" s="104">
        <f t="shared" si="17"/>
        <v>0.28365731249999998</v>
      </c>
      <c r="C38" s="32">
        <f t="shared" si="7"/>
        <v>2.2200000000000001E-2</v>
      </c>
      <c r="D38" s="32">
        <f t="shared" si="8"/>
        <v>0.10645555555555555</v>
      </c>
      <c r="E38" s="32">
        <f t="shared" si="9"/>
        <v>0.14645575221238938</v>
      </c>
      <c r="F38" s="32">
        <f t="shared" si="10"/>
        <v>9.6990384615384617E-2</v>
      </c>
      <c r="G38" s="32">
        <f t="shared" si="11"/>
        <v>6.2011494252873563E-2</v>
      </c>
      <c r="H38" s="32">
        <f t="shared" si="12"/>
        <v>6.5838827838827829E-2</v>
      </c>
      <c r="I38" s="32">
        <f t="shared" si="13"/>
        <v>9.5500000000000002E-2</v>
      </c>
      <c r="J38" s="32">
        <f t="shared" si="14"/>
        <v>8.3167801857585141E-2</v>
      </c>
      <c r="K38" s="32">
        <f t="shared" ref="K38:L38" si="18">(1+$AB$30)*K5</f>
        <v>2.9452229299363059E-3</v>
      </c>
      <c r="L38" s="32">
        <f t="shared" si="18"/>
        <v>2.7719745222929939E-2</v>
      </c>
      <c r="M38" s="34">
        <f t="shared" ref="M38:M48" si="19">SUM(C38:L38)-1</f>
        <v>-0.29071521551451773</v>
      </c>
      <c r="N38" s="105">
        <v>5394.88</v>
      </c>
      <c r="O38" s="35">
        <f t="shared" ref="O38:O48" si="20">N38*(1+M38)</f>
        <v>3826.5062981250385</v>
      </c>
      <c r="P38" s="34">
        <f t="shared" si="15"/>
        <v>0.20119381576429357</v>
      </c>
    </row>
    <row r="39" spans="1:16">
      <c r="A39" s="96" t="str">
        <f t="shared" ref="A39:B39" si="21">A6</f>
        <v>中证1000</v>
      </c>
      <c r="B39" s="104">
        <f t="shared" si="21"/>
        <v>6.5635124999999968E-3</v>
      </c>
      <c r="C39" s="32">
        <f t="shared" si="7"/>
        <v>2.41E-2</v>
      </c>
      <c r="D39" s="32">
        <f t="shared" si="8"/>
        <v>0.10205092592592593</v>
      </c>
      <c r="E39" s="32">
        <f t="shared" si="9"/>
        <v>0.16302876106194691</v>
      </c>
      <c r="F39" s="32">
        <f t="shared" si="10"/>
        <v>9.8249038461538471E-2</v>
      </c>
      <c r="G39" s="32">
        <f t="shared" si="11"/>
        <v>4.9086206896551715E-2</v>
      </c>
      <c r="H39" s="32">
        <f t="shared" si="12"/>
        <v>7.5025641025641021E-2</v>
      </c>
      <c r="I39" s="32">
        <f t="shared" si="13"/>
        <v>4.2900000000000001E-2</v>
      </c>
      <c r="J39" s="32">
        <f t="shared" si="14"/>
        <v>0.10755789473684212</v>
      </c>
      <c r="K39" s="32">
        <f t="shared" ref="K39:L39" si="22">(1+$AB$30)*K6</f>
        <v>9.5286624203821664E-4</v>
      </c>
      <c r="L39" s="32">
        <f t="shared" si="22"/>
        <v>2.1829299363057327E-2</v>
      </c>
      <c r="M39" s="34">
        <f t="shared" si="19"/>
        <v>-0.3152193662864583</v>
      </c>
      <c r="N39" s="105">
        <v>5788.36</v>
      </c>
      <c r="O39" s="35">
        <f t="shared" si="20"/>
        <v>3963.7568289621158</v>
      </c>
      <c r="P39" s="34">
        <f t="shared" si="15"/>
        <v>4.4945662491367505E-3</v>
      </c>
    </row>
    <row r="40" spans="1:16">
      <c r="A40" s="96" t="str">
        <f t="shared" ref="A40:B40" si="23">A7</f>
        <v>创业板</v>
      </c>
      <c r="B40" s="104">
        <f t="shared" si="23"/>
        <v>2.4085612499999999E-2</v>
      </c>
      <c r="C40" s="32">
        <f t="shared" si="7"/>
        <v>0</v>
      </c>
      <c r="D40" s="32">
        <f t="shared" si="8"/>
        <v>2.2085185185185183E-2</v>
      </c>
      <c r="E40" s="32">
        <f t="shared" si="9"/>
        <v>0.14346238938053099</v>
      </c>
      <c r="F40" s="32">
        <f t="shared" si="10"/>
        <v>4.9605769230769238E-2</v>
      </c>
      <c r="G40" s="32">
        <f t="shared" si="11"/>
        <v>0.10026436781609196</v>
      </c>
      <c r="H40" s="32">
        <f t="shared" si="12"/>
        <v>0.12922783882783881</v>
      </c>
      <c r="I40" s="32">
        <f t="shared" si="13"/>
        <v>5.5300000000000002E-2</v>
      </c>
      <c r="J40" s="32">
        <f t="shared" si="14"/>
        <v>0.16546625386996905</v>
      </c>
      <c r="K40" s="32">
        <f t="shared" ref="K40:L40" si="24">(1+$AB$30)*K7</f>
        <v>0</v>
      </c>
      <c r="L40" s="32">
        <f t="shared" si="24"/>
        <v>0</v>
      </c>
      <c r="M40" s="34">
        <f t="shared" si="19"/>
        <v>-0.33458819568961473</v>
      </c>
      <c r="N40" s="105">
        <v>1630.19</v>
      </c>
      <c r="O40" s="35">
        <f t="shared" si="20"/>
        <v>1084.7476692687469</v>
      </c>
      <c r="P40" s="34">
        <f t="shared" si="15"/>
        <v>1.6026850871545768E-2</v>
      </c>
    </row>
    <row r="41" spans="1:16">
      <c r="A41" s="97" t="str">
        <f t="shared" ref="A41:B41" si="25">A8</f>
        <v>中证红利</v>
      </c>
      <c r="B41" s="104">
        <f t="shared" si="25"/>
        <v>8.2900000000000001E-2</v>
      </c>
      <c r="C41" s="32">
        <f t="shared" si="7"/>
        <v>4.82E-2</v>
      </c>
      <c r="D41" s="32">
        <f t="shared" si="8"/>
        <v>6.3339814814814807E-2</v>
      </c>
      <c r="E41" s="32">
        <f t="shared" si="9"/>
        <v>0.14528761061946904</v>
      </c>
      <c r="F41" s="32">
        <f t="shared" si="10"/>
        <v>0.13711923076923077</v>
      </c>
      <c r="G41" s="32">
        <f t="shared" si="11"/>
        <v>4.9011494252873565E-2</v>
      </c>
      <c r="H41" s="32">
        <f t="shared" si="12"/>
        <v>2.3426373626373623E-2</v>
      </c>
      <c r="I41" s="32">
        <f t="shared" si="13"/>
        <v>0.26369999999999999</v>
      </c>
      <c r="J41" s="32">
        <f t="shared" si="14"/>
        <v>1.4199380804953561E-2</v>
      </c>
      <c r="K41" s="32">
        <f t="shared" ref="K41:L41" si="26">(1+$AB$30)*K8</f>
        <v>0</v>
      </c>
      <c r="L41" s="32">
        <f t="shared" si="26"/>
        <v>6.609426751592358E-2</v>
      </c>
      <c r="M41" s="34">
        <f t="shared" si="19"/>
        <v>-0.18962182759636104</v>
      </c>
      <c r="N41" s="105">
        <v>4592.3500000000004</v>
      </c>
      <c r="O41" s="35">
        <f t="shared" si="20"/>
        <v>3721.5402000378517</v>
      </c>
      <c r="P41" s="34">
        <f t="shared" si="15"/>
        <v>6.7180350492261676E-2</v>
      </c>
    </row>
    <row r="42" spans="1:16">
      <c r="A42" s="98" t="str">
        <f t="shared" ref="A42:B42" si="27">A9</f>
        <v>养老产业</v>
      </c>
      <c r="B42" s="104">
        <f t="shared" si="27"/>
        <v>7.2749999999999995E-2</v>
      </c>
      <c r="C42" s="32">
        <f t="shared" si="7"/>
        <v>0</v>
      </c>
      <c r="D42" s="32">
        <f t="shared" si="8"/>
        <v>0</v>
      </c>
      <c r="E42" s="32">
        <f t="shared" si="9"/>
        <v>0</v>
      </c>
      <c r="F42" s="32">
        <f t="shared" si="10"/>
        <v>0.21833942307692308</v>
      </c>
      <c r="G42" s="32">
        <f t="shared" si="11"/>
        <v>0.10459770114942529</v>
      </c>
      <c r="H42" s="32">
        <f t="shared" si="12"/>
        <v>0.25079999999999997</v>
      </c>
      <c r="I42" s="32">
        <f t="shared" si="13"/>
        <v>0.104</v>
      </c>
      <c r="J42" s="32">
        <f t="shared" si="14"/>
        <v>6.4525077399380806E-2</v>
      </c>
      <c r="K42" s="32">
        <f t="shared" ref="K42:L42" si="28">(1+$AB$30)*K9</f>
        <v>0</v>
      </c>
      <c r="L42" s="32">
        <f t="shared" si="28"/>
        <v>0</v>
      </c>
      <c r="M42" s="34">
        <f t="shared" si="19"/>
        <v>-0.25773779837427091</v>
      </c>
      <c r="N42" s="105">
        <v>7539.8</v>
      </c>
      <c r="O42" s="35">
        <f t="shared" si="20"/>
        <v>5596.5085478176725</v>
      </c>
      <c r="P42" s="34">
        <f t="shared" si="15"/>
        <v>5.3999575168271786E-2</v>
      </c>
    </row>
    <row r="43" spans="1:16">
      <c r="A43" s="98" t="str">
        <f t="shared" ref="A43:B43" si="29">A10</f>
        <v>全指医药</v>
      </c>
      <c r="B43" s="104">
        <f t="shared" si="29"/>
        <v>6.1076224999999998E-2</v>
      </c>
      <c r="C43" s="32">
        <f t="shared" si="7"/>
        <v>0</v>
      </c>
      <c r="D43" s="32">
        <f t="shared" si="8"/>
        <v>8.0648148148148137E-4</v>
      </c>
      <c r="E43" s="32">
        <f t="shared" si="9"/>
        <v>7.3008849557522132E-4</v>
      </c>
      <c r="F43" s="32">
        <f t="shared" si="10"/>
        <v>4.1461538461538463E-3</v>
      </c>
      <c r="G43" s="32">
        <f t="shared" si="11"/>
        <v>6.0293103448275855E-2</v>
      </c>
      <c r="H43" s="32">
        <f t="shared" si="12"/>
        <v>0.6858721611721611</v>
      </c>
      <c r="I43" s="32">
        <f t="shared" si="13"/>
        <v>0</v>
      </c>
      <c r="J43" s="32">
        <f t="shared" si="14"/>
        <v>7.4377708978328183E-3</v>
      </c>
      <c r="K43" s="32">
        <f t="shared" ref="K43:L43" si="30">(1+$AB$30)*K10</f>
        <v>0</v>
      </c>
      <c r="L43" s="32">
        <f t="shared" si="30"/>
        <v>0</v>
      </c>
      <c r="M43" s="34">
        <f t="shared" si="19"/>
        <v>-0.24071424065851965</v>
      </c>
      <c r="N43" s="105">
        <v>9258.2999999999993</v>
      </c>
      <c r="O43" s="35">
        <f t="shared" si="20"/>
        <v>7029.6953457112268</v>
      </c>
      <c r="P43" s="34">
        <f t="shared" si="15"/>
        <v>4.6374307876836107E-2</v>
      </c>
    </row>
    <row r="44" spans="1:16">
      <c r="A44" s="98" t="str">
        <f t="shared" ref="A44:B44" si="31">A11</f>
        <v>中证传媒</v>
      </c>
      <c r="B44" s="104">
        <f t="shared" si="31"/>
        <v>4.5025412500000001E-2</v>
      </c>
      <c r="C44" s="32">
        <f t="shared" si="7"/>
        <v>0</v>
      </c>
      <c r="D44" s="32">
        <f t="shared" si="8"/>
        <v>0</v>
      </c>
      <c r="E44" s="32">
        <f t="shared" si="9"/>
        <v>0</v>
      </c>
      <c r="F44" s="32">
        <f t="shared" si="10"/>
        <v>0.36019711538461541</v>
      </c>
      <c r="G44" s="32">
        <f t="shared" si="11"/>
        <v>0</v>
      </c>
      <c r="H44" s="32">
        <f t="shared" si="12"/>
        <v>0</v>
      </c>
      <c r="I44" s="32">
        <f t="shared" si="13"/>
        <v>9.9299999999999999E-2</v>
      </c>
      <c r="J44" s="32">
        <f t="shared" si="14"/>
        <v>0.20004705882352944</v>
      </c>
      <c r="K44" s="32">
        <f t="shared" ref="K44:L44" si="32">(1+$AB$30)*K11</f>
        <v>0</v>
      </c>
      <c r="L44" s="32">
        <f t="shared" si="32"/>
        <v>0</v>
      </c>
      <c r="M44" s="34">
        <f t="shared" si="19"/>
        <v>-0.34045582579185518</v>
      </c>
      <c r="N44" s="105">
        <v>1454.12</v>
      </c>
      <c r="O44" s="35">
        <f t="shared" si="20"/>
        <v>959.05637459954744</v>
      </c>
      <c r="P44" s="34">
        <f t="shared" si="15"/>
        <v>2.9696248505693582E-2</v>
      </c>
    </row>
    <row r="45" spans="1:16">
      <c r="A45" s="98" t="str">
        <f t="shared" ref="A45:B45" si="33">A12</f>
        <v>中证环保</v>
      </c>
      <c r="B45" s="104">
        <f t="shared" si="33"/>
        <v>6.0069037499999992E-2</v>
      </c>
      <c r="C45" s="32">
        <f t="shared" si="7"/>
        <v>0</v>
      </c>
      <c r="D45" s="32">
        <f t="shared" si="8"/>
        <v>5.446851851851852E-2</v>
      </c>
      <c r="E45" s="32">
        <f t="shared" si="9"/>
        <v>0.36066371681415932</v>
      </c>
      <c r="F45" s="32">
        <f t="shared" si="10"/>
        <v>3.8129807692307692E-2</v>
      </c>
      <c r="G45" s="32">
        <f t="shared" si="11"/>
        <v>0</v>
      </c>
      <c r="H45" s="32">
        <f t="shared" si="12"/>
        <v>0</v>
      </c>
      <c r="I45" s="32">
        <f t="shared" si="13"/>
        <v>0</v>
      </c>
      <c r="J45" s="32">
        <f t="shared" si="14"/>
        <v>9.6256346749226007E-2</v>
      </c>
      <c r="K45" s="32">
        <f t="shared" ref="K45:L45" si="34">(1+$AB$30)*K12</f>
        <v>0</v>
      </c>
      <c r="L45" s="32">
        <f t="shared" si="34"/>
        <v>0.14492229299363057</v>
      </c>
      <c r="M45" s="34">
        <f t="shared" si="19"/>
        <v>-0.3055593172321579</v>
      </c>
      <c r="N45" s="105">
        <v>1328.9</v>
      </c>
      <c r="O45" s="35">
        <f t="shared" si="20"/>
        <v>922.84222333018545</v>
      </c>
      <c r="P45" s="34">
        <f t="shared" si="15"/>
        <v>4.1714383414707103E-2</v>
      </c>
    </row>
    <row r="46" spans="1:16">
      <c r="A46" s="98" t="str">
        <f t="shared" ref="A46:B46" si="35">A13</f>
        <v>全指消费</v>
      </c>
      <c r="B46" s="104">
        <f t="shared" si="35"/>
        <v>-4.4255500000000003E-3</v>
      </c>
      <c r="C46" s="32">
        <f t="shared" si="7"/>
        <v>0</v>
      </c>
      <c r="D46" s="32">
        <f t="shared" si="8"/>
        <v>4.5907407407407407E-3</v>
      </c>
      <c r="E46" s="32">
        <f t="shared" si="9"/>
        <v>0</v>
      </c>
      <c r="F46" s="32">
        <f t="shared" si="10"/>
        <v>5.9230769230769233E-4</v>
      </c>
      <c r="G46" s="32">
        <f t="shared" si="11"/>
        <v>0.74002873563218396</v>
      </c>
      <c r="H46" s="32">
        <f t="shared" si="12"/>
        <v>9.9523809523809504E-4</v>
      </c>
      <c r="I46" s="32">
        <f t="shared" si="13"/>
        <v>0</v>
      </c>
      <c r="J46" s="32">
        <f t="shared" si="14"/>
        <v>0</v>
      </c>
      <c r="K46" s="32">
        <f t="shared" ref="K46:L46" si="36">(1+$AB$30)*K13</f>
        <v>0</v>
      </c>
      <c r="L46" s="32">
        <f t="shared" si="36"/>
        <v>0</v>
      </c>
      <c r="M46" s="34">
        <f t="shared" si="19"/>
        <v>-0.25379297783952959</v>
      </c>
      <c r="N46" s="105">
        <v>11910.51</v>
      </c>
      <c r="O46" s="35">
        <f t="shared" si="20"/>
        <v>8887.7061995125041</v>
      </c>
      <c r="P46" s="34">
        <f t="shared" si="15"/>
        <v>-3.30237648692227E-3</v>
      </c>
    </row>
    <row r="47" spans="1:16">
      <c r="A47" s="98" t="str">
        <f t="shared" ref="A47:B47" si="37">A14</f>
        <v>金融地产</v>
      </c>
      <c r="B47" s="104">
        <f t="shared" si="37"/>
        <v>2.4E-2</v>
      </c>
      <c r="C47" s="32">
        <f t="shared" si="7"/>
        <v>0</v>
      </c>
      <c r="D47" s="32">
        <f t="shared" si="8"/>
        <v>0</v>
      </c>
      <c r="E47" s="32">
        <f t="shared" si="9"/>
        <v>0</v>
      </c>
      <c r="F47" s="32">
        <f t="shared" si="10"/>
        <v>5.7009615384615393E-3</v>
      </c>
      <c r="G47" s="32">
        <f t="shared" si="11"/>
        <v>0</v>
      </c>
      <c r="H47" s="32">
        <f t="shared" si="12"/>
        <v>5.358974358974359E-4</v>
      </c>
      <c r="I47" s="32">
        <f t="shared" si="13"/>
        <v>0.99070000000000003</v>
      </c>
      <c r="J47" s="32">
        <f t="shared" si="14"/>
        <v>3.8637770897832823E-4</v>
      </c>
      <c r="K47" s="32">
        <f t="shared" ref="K47:L47" si="38">(1+$AB$30)*K14</f>
        <v>0</v>
      </c>
      <c r="L47" s="32">
        <f t="shared" si="38"/>
        <v>0</v>
      </c>
      <c r="M47" s="34">
        <f t="shared" si="19"/>
        <v>-2.676763316662667E-3</v>
      </c>
      <c r="N47" s="105">
        <v>5871.18</v>
      </c>
      <c r="O47" s="35">
        <f t="shared" si="20"/>
        <v>5855.4642407504771</v>
      </c>
      <c r="P47" s="34">
        <f t="shared" si="15"/>
        <v>2.3935757680400096E-2</v>
      </c>
    </row>
    <row r="48" spans="1:16">
      <c r="A48" s="98" t="str">
        <f t="shared" ref="A48:B48" si="39">A15</f>
        <v>证券公司</v>
      </c>
      <c r="B48" s="104">
        <f t="shared" si="39"/>
        <v>3.1965149999999998E-2</v>
      </c>
      <c r="C48" s="32">
        <f t="shared" si="7"/>
        <v>0</v>
      </c>
      <c r="D48" s="32">
        <f t="shared" si="8"/>
        <v>0</v>
      </c>
      <c r="E48" s="32">
        <f t="shared" si="9"/>
        <v>0</v>
      </c>
      <c r="F48" s="32">
        <f t="shared" si="10"/>
        <v>0</v>
      </c>
      <c r="G48" s="32">
        <f t="shared" si="11"/>
        <v>0</v>
      </c>
      <c r="H48" s="32">
        <f t="shared" si="12"/>
        <v>0</v>
      </c>
      <c r="I48" s="32">
        <f t="shared" si="13"/>
        <v>1</v>
      </c>
      <c r="J48" s="32">
        <f t="shared" si="14"/>
        <v>0</v>
      </c>
      <c r="K48" s="32">
        <f t="shared" ref="K48:L48" si="40">(1+$AB$30)*K15</f>
        <v>0</v>
      </c>
      <c r="L48" s="32">
        <f t="shared" si="40"/>
        <v>0</v>
      </c>
      <c r="M48" s="34">
        <f t="shared" si="19"/>
        <v>0</v>
      </c>
      <c r="N48" s="105">
        <v>755.01</v>
      </c>
      <c r="O48" s="35">
        <f t="shared" si="20"/>
        <v>755.01</v>
      </c>
      <c r="P48" s="34">
        <f t="shared" si="15"/>
        <v>3.1965149999999998E-2</v>
      </c>
    </row>
    <row r="49" spans="1:16">
      <c r="A49" s="99" t="str">
        <f t="shared" ref="A49:B49" si="41">A16</f>
        <v>恒生</v>
      </c>
      <c r="B49" s="104">
        <f t="shared" si="41"/>
        <v>8.0000000000000002E-3</v>
      </c>
      <c r="L49" s="105"/>
      <c r="M49" s="105"/>
      <c r="N49" s="105">
        <v>28566.91</v>
      </c>
      <c r="O49" s="105"/>
      <c r="P49" s="106">
        <f t="shared" ref="P49:P56" si="42">B49</f>
        <v>8.0000000000000002E-3</v>
      </c>
    </row>
    <row r="50" spans="1:16">
      <c r="A50" s="99" t="str">
        <f t="shared" ref="A50:B50" si="43">A17</f>
        <v>海外互联网</v>
      </c>
      <c r="B50" s="104">
        <f t="shared" si="43"/>
        <v>2.4E-2</v>
      </c>
      <c r="L50" s="105"/>
      <c r="M50" s="105"/>
      <c r="N50" s="105">
        <v>11419.48</v>
      </c>
      <c r="O50" s="105"/>
      <c r="P50" s="106">
        <f t="shared" si="42"/>
        <v>2.4E-2</v>
      </c>
    </row>
    <row r="51" spans="1:16">
      <c r="A51" s="99" t="str">
        <f t="shared" ref="A51:B51" si="44">A18</f>
        <v>德国30</v>
      </c>
      <c r="B51" s="104">
        <f t="shared" si="44"/>
        <v>2.8250000000000001E-2</v>
      </c>
      <c r="L51" s="105"/>
      <c r="M51" s="105"/>
      <c r="N51" s="107"/>
      <c r="O51" s="105"/>
      <c r="P51" s="106">
        <f t="shared" si="42"/>
        <v>2.8250000000000001E-2</v>
      </c>
    </row>
    <row r="52" spans="1:16">
      <c r="A52" s="101" t="str">
        <f t="shared" ref="A52:B52" si="45">A19</f>
        <v>原油</v>
      </c>
      <c r="B52" s="104">
        <f t="shared" si="45"/>
        <v>2.4E-2</v>
      </c>
      <c r="L52" s="105"/>
      <c r="M52" s="105"/>
      <c r="N52" s="105"/>
      <c r="O52" s="105"/>
      <c r="P52" s="106">
        <f t="shared" si="42"/>
        <v>2.4E-2</v>
      </c>
    </row>
    <row r="53" spans="1:16">
      <c r="A53" s="101" t="str">
        <f t="shared" ref="A53:B53" si="46">A20</f>
        <v>黄金</v>
      </c>
      <c r="B53" s="104">
        <f t="shared" si="46"/>
        <v>1.6065112499999999E-2</v>
      </c>
      <c r="L53" s="105"/>
      <c r="M53" s="105"/>
      <c r="N53" s="105"/>
      <c r="O53" s="105"/>
      <c r="P53" s="106">
        <f t="shared" si="42"/>
        <v>1.6065112499999999E-2</v>
      </c>
    </row>
    <row r="54" spans="1:16">
      <c r="A54" s="100" t="str">
        <f t="shared" ref="A54:B54" si="47">A21</f>
        <v>可转债</v>
      </c>
      <c r="B54" s="104">
        <f t="shared" si="47"/>
        <v>-1.5640912499999967E-3</v>
      </c>
      <c r="L54" s="105"/>
      <c r="M54" s="105"/>
      <c r="N54" s="105"/>
      <c r="O54" s="105"/>
      <c r="P54" s="106">
        <f t="shared" si="42"/>
        <v>-1.5640912499999967E-3</v>
      </c>
    </row>
    <row r="55" spans="1:16">
      <c r="A55" s="102" t="str">
        <f t="shared" ref="A55:B55" si="48">A22</f>
        <v>美元债</v>
      </c>
      <c r="B55" s="104">
        <f t="shared" si="48"/>
        <v>8.7999999999999995E-2</v>
      </c>
      <c r="L55" s="105"/>
      <c r="M55" s="105"/>
      <c r="N55" s="105"/>
      <c r="O55" s="105"/>
      <c r="P55" s="106">
        <f t="shared" si="42"/>
        <v>8.7999999999999995E-2</v>
      </c>
    </row>
    <row r="56" spans="1:16">
      <c r="A56" s="102" t="str">
        <f t="shared" ref="A56:B56" si="49">A23</f>
        <v>货币基金</v>
      </c>
      <c r="B56" s="104">
        <f t="shared" si="49"/>
        <v>6.4313999999999986E-3</v>
      </c>
      <c r="L56" s="105"/>
      <c r="M56" s="105"/>
      <c r="N56" s="105"/>
      <c r="O56" s="105"/>
      <c r="P56" s="106">
        <f t="shared" si="42"/>
        <v>6.4313999999999986E-3</v>
      </c>
    </row>
    <row r="57" spans="1:16">
      <c r="B57" s="104">
        <f>SUM(B36:B56)</f>
        <v>0.95265857124999997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10">
        <f>SUM(P36:P56)</f>
        <v>0.76633689238100178</v>
      </c>
    </row>
    <row r="58" spans="1:16">
      <c r="B58" s="104"/>
    </row>
    <row r="60" spans="1:16">
      <c r="A60" s="109" t="s">
        <v>7528</v>
      </c>
      <c r="B60" s="105" t="s">
        <v>7285</v>
      </c>
      <c r="C60" s="105" t="str">
        <f>C35</f>
        <v>能源</v>
      </c>
      <c r="D60" s="105" t="str">
        <f t="shared" ref="D60:L60" si="50">D35</f>
        <v>原材料</v>
      </c>
      <c r="E60" s="105" t="str">
        <f t="shared" si="50"/>
        <v>工业</v>
      </c>
      <c r="F60" s="105" t="str">
        <f t="shared" si="50"/>
        <v>可选消费</v>
      </c>
      <c r="G60" s="105" t="str">
        <f t="shared" si="50"/>
        <v>主要消费</v>
      </c>
      <c r="H60" s="105" t="str">
        <f t="shared" si="50"/>
        <v>医药卫生</v>
      </c>
      <c r="I60" s="105" t="str">
        <f t="shared" si="50"/>
        <v>金融地产</v>
      </c>
      <c r="J60" s="105" t="str">
        <f t="shared" si="50"/>
        <v>信息技术</v>
      </c>
      <c r="K60" s="105" t="str">
        <f t="shared" si="50"/>
        <v>电信业务</v>
      </c>
      <c r="L60" s="105" t="str">
        <f t="shared" si="50"/>
        <v>公用事业</v>
      </c>
      <c r="M60" s="105" t="s">
        <v>7527</v>
      </c>
      <c r="N60" s="105" t="s">
        <v>7283</v>
      </c>
      <c r="O60" s="105" t="s">
        <v>7284</v>
      </c>
      <c r="P60" s="105" t="s">
        <v>7529</v>
      </c>
    </row>
    <row r="61" spans="1:16">
      <c r="A61" s="95" t="str">
        <f>A36</f>
        <v>上证50</v>
      </c>
      <c r="B61" s="104">
        <f>B36</f>
        <v>8.0543625000000004E-3</v>
      </c>
      <c r="C61" s="32">
        <f>(1+$D$32)*C3</f>
        <v>8.5676190476190475E-2</v>
      </c>
      <c r="D61" s="32">
        <f>(1+$G$32)*D3</f>
        <v>0.12320462962962961</v>
      </c>
      <c r="E61" s="32">
        <f>(1+$J$32)*E3</f>
        <v>0.3077256637168142</v>
      </c>
      <c r="F61" s="32">
        <f>(1+$M$32)*F3</f>
        <v>0.14409615384615382</v>
      </c>
      <c r="G61" s="32">
        <f>(1+$P$32)*G3</f>
        <v>0.25693716475095785</v>
      </c>
      <c r="H61" s="32">
        <f>(1+$S$32)*H3</f>
        <v>0.10975238095238096</v>
      </c>
      <c r="I61" s="32">
        <f>(1+$V$32)*I3</f>
        <v>1.6650402684563756</v>
      </c>
      <c r="J61" s="32">
        <f>(1+$Y$32)*J3</f>
        <v>3.71702786377709E-2</v>
      </c>
      <c r="K61" s="32">
        <f>(1+$AB$32)*K3</f>
        <v>3.2387261146496815E-2</v>
      </c>
      <c r="L61" s="32">
        <f>(1+$AB$32)*L3</f>
        <v>0</v>
      </c>
      <c r="M61" s="34">
        <f>SUM(C61:L61)-1</f>
        <v>1.7619899916127704</v>
      </c>
      <c r="N61" s="105">
        <v>2706.15</v>
      </c>
      <c r="O61" s="35">
        <f>N61*(1+M61)</f>
        <v>7474.3592158028987</v>
      </c>
      <c r="P61" s="34">
        <f t="shared" ref="P61:P73" si="51">B61*(1+M61)</f>
        <v>2.2246068613821213E-2</v>
      </c>
    </row>
    <row r="62" spans="1:16">
      <c r="A62" s="95" t="str">
        <f t="shared" ref="A62:B62" si="52">A37</f>
        <v>沪深300</v>
      </c>
      <c r="B62" s="104">
        <f t="shared" si="52"/>
        <v>6.3755074999999994E-2</v>
      </c>
      <c r="C62" s="32">
        <f t="shared" ref="C62:C73" si="53">(1+$D$32)*C4</f>
        <v>6.3315646258503402E-2</v>
      </c>
      <c r="D62" s="32">
        <f t="shared" ref="D62:D73" si="54">(1+$G$32)*D4</f>
        <v>0.17640092592592591</v>
      </c>
      <c r="E62" s="32">
        <f t="shared" ref="E62:E73" si="55">(1+$J$32)*E4</f>
        <v>0.3877699115044248</v>
      </c>
      <c r="F62" s="32">
        <f t="shared" ref="F62:F73" si="56">(1+$M$32)*F4</f>
        <v>0.32146874999999997</v>
      </c>
      <c r="G62" s="32">
        <f t="shared" ref="G62:G73" si="57">(1+$P$32)*G4</f>
        <v>0.23131954022988507</v>
      </c>
      <c r="H62" s="32">
        <f t="shared" ref="H62:H73" si="58">(1+$S$32)*H4</f>
        <v>0.19525714285714285</v>
      </c>
      <c r="I62" s="32">
        <f t="shared" ref="I62:I73" si="59">(1+$V$32)*I4</f>
        <v>1.0880134228187919</v>
      </c>
      <c r="J62" s="32">
        <f t="shared" ref="J62:J73" si="60">(1+$Y$32)*J4</f>
        <v>0.26827244582043347</v>
      </c>
      <c r="K62" s="32">
        <f t="shared" ref="K62:L62" si="61">(1+$AB$32)*K4</f>
        <v>1.4747770700636943E-2</v>
      </c>
      <c r="L62" s="32">
        <f t="shared" si="61"/>
        <v>8.8775796178343941E-2</v>
      </c>
      <c r="M62" s="34">
        <f t="shared" ref="M62:M73" si="62">SUM(C62:L62)-1</f>
        <v>1.8353413522940882</v>
      </c>
      <c r="N62" s="105">
        <v>3700.44</v>
      </c>
      <c r="O62" s="35">
        <f>N62*(1+M62)</f>
        <v>10492.010553683136</v>
      </c>
      <c r="P62" s="34">
        <f t="shared" si="51"/>
        <v>0.18076740056611101</v>
      </c>
    </row>
    <row r="63" spans="1:16">
      <c r="A63" s="96" t="str">
        <f t="shared" ref="A63:B63" si="63">A38</f>
        <v>中证500</v>
      </c>
      <c r="B63" s="104">
        <f t="shared" si="63"/>
        <v>0.28365731249999998</v>
      </c>
      <c r="C63" s="32">
        <f t="shared" si="53"/>
        <v>5.2253061224489798E-2</v>
      </c>
      <c r="D63" s="32">
        <f t="shared" si="54"/>
        <v>0.43058888888888885</v>
      </c>
      <c r="E63" s="32">
        <f t="shared" si="55"/>
        <v>0.59469911504424788</v>
      </c>
      <c r="F63" s="32">
        <f t="shared" si="56"/>
        <v>0.39992788461538459</v>
      </c>
      <c r="G63" s="32">
        <f t="shared" si="57"/>
        <v>0.21052107279693488</v>
      </c>
      <c r="H63" s="32">
        <f t="shared" si="58"/>
        <v>0.27438095238095239</v>
      </c>
      <c r="I63" s="32">
        <f t="shared" si="59"/>
        <v>0.26278523489932887</v>
      </c>
      <c r="J63" s="32">
        <f t="shared" si="60"/>
        <v>0.55658452012383897</v>
      </c>
      <c r="K63" s="32">
        <f t="shared" ref="K63:L63" si="64">(1+$AB$32)*K5</f>
        <v>9.8318471337579608E-3</v>
      </c>
      <c r="L63" s="32">
        <f t="shared" si="64"/>
        <v>9.2535031847133756E-2</v>
      </c>
      <c r="M63" s="34">
        <f t="shared" si="62"/>
        <v>1.8841076089549578</v>
      </c>
      <c r="N63" s="105">
        <v>5394.88</v>
      </c>
      <c r="O63" s="35">
        <f t="shared" ref="O63:O73" si="65">N63*(1+M63)</f>
        <v>15559.414457398923</v>
      </c>
      <c r="P63" s="34">
        <f t="shared" si="51"/>
        <v>0.8180982133169642</v>
      </c>
    </row>
    <row r="64" spans="1:16">
      <c r="A64" s="96" t="str">
        <f t="shared" ref="A64:B64" si="66">A39</f>
        <v>中证1000</v>
      </c>
      <c r="B64" s="104">
        <f t="shared" si="66"/>
        <v>6.5635124999999968E-3</v>
      </c>
      <c r="C64" s="32">
        <f t="shared" si="53"/>
        <v>5.6725170068027207E-2</v>
      </c>
      <c r="D64" s="32">
        <f t="shared" si="54"/>
        <v>0.41277314814814814</v>
      </c>
      <c r="E64" s="32">
        <f t="shared" si="55"/>
        <v>0.66199557522123897</v>
      </c>
      <c r="F64" s="32">
        <f t="shared" si="56"/>
        <v>0.40511778846153845</v>
      </c>
      <c r="G64" s="32">
        <f t="shared" si="57"/>
        <v>0.16664137931034481</v>
      </c>
      <c r="H64" s="32">
        <f t="shared" si="58"/>
        <v>0.3126666666666667</v>
      </c>
      <c r="I64" s="32">
        <f t="shared" si="59"/>
        <v>0.11804697986577181</v>
      </c>
      <c r="J64" s="32">
        <f t="shared" si="60"/>
        <v>0.71981052631578946</v>
      </c>
      <c r="K64" s="32">
        <f t="shared" ref="K64:L64" si="67">(1+$AB$32)*K6</f>
        <v>3.180891719745223E-3</v>
      </c>
      <c r="L64" s="32">
        <f t="shared" si="67"/>
        <v>7.2871337579617834E-2</v>
      </c>
      <c r="M64" s="34">
        <f t="shared" si="62"/>
        <v>1.9298294633568882</v>
      </c>
      <c r="N64" s="105">
        <v>5788.36</v>
      </c>
      <c r="O64" s="35">
        <f t="shared" si="65"/>
        <v>16958.907672516478</v>
      </c>
      <c r="P64" s="34">
        <f t="shared" si="51"/>
        <v>1.9229972305611218E-2</v>
      </c>
    </row>
    <row r="65" spans="1:16">
      <c r="A65" s="96" t="str">
        <f t="shared" ref="A65:B65" si="68">A40</f>
        <v>创业板</v>
      </c>
      <c r="B65" s="104">
        <f t="shared" si="68"/>
        <v>2.4085612499999999E-2</v>
      </c>
      <c r="C65" s="32">
        <f t="shared" si="53"/>
        <v>0</v>
      </c>
      <c r="D65" s="32">
        <f t="shared" si="54"/>
        <v>8.932962962962962E-2</v>
      </c>
      <c r="E65" s="32">
        <f t="shared" si="55"/>
        <v>0.58254424778761071</v>
      </c>
      <c r="F65" s="32">
        <f t="shared" si="56"/>
        <v>0.20454326923076921</v>
      </c>
      <c r="G65" s="32">
        <f t="shared" si="57"/>
        <v>0.34038467432950198</v>
      </c>
      <c r="H65" s="32">
        <f t="shared" si="58"/>
        <v>0.538552380952381</v>
      </c>
      <c r="I65" s="32">
        <f t="shared" si="59"/>
        <v>0.15216778523489932</v>
      </c>
      <c r="J65" s="32">
        <f t="shared" si="60"/>
        <v>1.1073510835913314</v>
      </c>
      <c r="K65" s="32">
        <f t="shared" ref="K65:L65" si="69">(1+$AB$32)*K7</f>
        <v>0</v>
      </c>
      <c r="L65" s="32">
        <f t="shared" si="69"/>
        <v>0</v>
      </c>
      <c r="M65" s="34">
        <f t="shared" si="62"/>
        <v>2.0148730707561233</v>
      </c>
      <c r="N65" s="105">
        <v>1630.19</v>
      </c>
      <c r="O65" s="35">
        <f t="shared" si="65"/>
        <v>4914.815931215925</v>
      </c>
      <c r="P65" s="34">
        <f t="shared" si="51"/>
        <v>7.2615064518917069E-2</v>
      </c>
    </row>
    <row r="66" spans="1:16">
      <c r="A66" s="97" t="str">
        <f t="shared" ref="A66:B66" si="70">A41</f>
        <v>中证红利</v>
      </c>
      <c r="B66" s="104">
        <f t="shared" si="70"/>
        <v>8.2900000000000001E-2</v>
      </c>
      <c r="C66" s="32">
        <f t="shared" si="53"/>
        <v>0.11345034013605441</v>
      </c>
      <c r="D66" s="32">
        <f t="shared" si="54"/>
        <v>0.25619537037037032</v>
      </c>
      <c r="E66" s="32">
        <f t="shared" si="55"/>
        <v>0.58995575221238949</v>
      </c>
      <c r="F66" s="32">
        <f t="shared" si="56"/>
        <v>0.56539423076923068</v>
      </c>
      <c r="G66" s="32">
        <f t="shared" si="57"/>
        <v>0.16638773946360155</v>
      </c>
      <c r="H66" s="32">
        <f t="shared" si="58"/>
        <v>9.7628571428571426E-2</v>
      </c>
      <c r="I66" s="32">
        <f t="shared" si="59"/>
        <v>0.72561744966442943</v>
      </c>
      <c r="J66" s="32">
        <f t="shared" si="60"/>
        <v>9.5026625386996896E-2</v>
      </c>
      <c r="K66" s="32">
        <f t="shared" ref="K66:L66" si="71">(1+$AB$32)*K8</f>
        <v>0</v>
      </c>
      <c r="L66" s="32">
        <f t="shared" si="71"/>
        <v>0.22063821656050955</v>
      </c>
      <c r="M66" s="34">
        <f t="shared" si="62"/>
        <v>1.8302942959921538</v>
      </c>
      <c r="N66" s="105">
        <v>4592.3500000000004</v>
      </c>
      <c r="O66" s="35">
        <f t="shared" si="65"/>
        <v>12997.702010199568</v>
      </c>
      <c r="P66" s="34">
        <f t="shared" si="51"/>
        <v>0.23463139713774955</v>
      </c>
    </row>
    <row r="67" spans="1:16">
      <c r="A67" s="98" t="str">
        <f t="shared" ref="A67:B67" si="72">A42</f>
        <v>养老产业</v>
      </c>
      <c r="B67" s="104">
        <f t="shared" si="72"/>
        <v>7.2749999999999995E-2</v>
      </c>
      <c r="C67" s="32">
        <f t="shared" si="53"/>
        <v>0</v>
      </c>
      <c r="D67" s="32">
        <f t="shared" si="54"/>
        <v>0</v>
      </c>
      <c r="E67" s="32">
        <f t="shared" si="55"/>
        <v>0</v>
      </c>
      <c r="F67" s="32">
        <f t="shared" si="56"/>
        <v>0.90029567307692293</v>
      </c>
      <c r="G67" s="32">
        <f t="shared" si="57"/>
        <v>0.3550957854406131</v>
      </c>
      <c r="H67" s="32">
        <f t="shared" si="58"/>
        <v>1.0452000000000001</v>
      </c>
      <c r="I67" s="32">
        <f t="shared" si="59"/>
        <v>0.28617449664429528</v>
      </c>
      <c r="J67" s="32">
        <f t="shared" si="60"/>
        <v>0.4318216718266254</v>
      </c>
      <c r="K67" s="32">
        <f t="shared" ref="K67:L67" si="73">(1+$AB$32)*K9</f>
        <v>0</v>
      </c>
      <c r="L67" s="32">
        <f t="shared" si="73"/>
        <v>0</v>
      </c>
      <c r="M67" s="34">
        <f t="shared" si="62"/>
        <v>2.0185876269884568</v>
      </c>
      <c r="N67" s="105">
        <v>7539.8</v>
      </c>
      <c r="O67" s="35">
        <f t="shared" si="65"/>
        <v>22759.546989967566</v>
      </c>
      <c r="P67" s="34">
        <f t="shared" si="51"/>
        <v>0.21960224986341023</v>
      </c>
    </row>
    <row r="68" spans="1:16">
      <c r="A68" s="98" t="str">
        <f t="shared" ref="A68:B68" si="74">A43</f>
        <v>全指医药</v>
      </c>
      <c r="B68" s="104">
        <f t="shared" si="74"/>
        <v>6.1076224999999998E-2</v>
      </c>
      <c r="C68" s="32">
        <f t="shared" si="53"/>
        <v>0</v>
      </c>
      <c r="D68" s="32">
        <f t="shared" si="54"/>
        <v>3.2620370370370368E-3</v>
      </c>
      <c r="E68" s="32">
        <f t="shared" si="55"/>
        <v>2.9646017699115051E-3</v>
      </c>
      <c r="F68" s="32">
        <f t="shared" si="56"/>
        <v>1.7096153846153844E-2</v>
      </c>
      <c r="G68" s="32">
        <f t="shared" si="57"/>
        <v>0.20468735632183907</v>
      </c>
      <c r="H68" s="32">
        <f t="shared" si="58"/>
        <v>2.8583476190476191</v>
      </c>
      <c r="I68" s="32">
        <f t="shared" si="59"/>
        <v>0</v>
      </c>
      <c r="J68" s="32">
        <f t="shared" si="60"/>
        <v>4.9775851393188859E-2</v>
      </c>
      <c r="K68" s="32">
        <f t="shared" ref="K68:L68" si="75">(1+$AB$32)*K10</f>
        <v>0</v>
      </c>
      <c r="L68" s="32">
        <f t="shared" si="75"/>
        <v>0</v>
      </c>
      <c r="M68" s="34">
        <f t="shared" si="62"/>
        <v>2.1361336194157494</v>
      </c>
      <c r="N68" s="105">
        <v>9258.2999999999993</v>
      </c>
      <c r="O68" s="35">
        <f t="shared" si="65"/>
        <v>29035.26588863683</v>
      </c>
      <c r="P68" s="34">
        <f t="shared" si="51"/>
        <v>0.19154320256950066</v>
      </c>
    </row>
    <row r="69" spans="1:16">
      <c r="A69" s="98" t="str">
        <f t="shared" ref="A69:B69" si="76">A44</f>
        <v>中证传媒</v>
      </c>
      <c r="B69" s="104">
        <f t="shared" si="76"/>
        <v>4.5025412500000001E-2</v>
      </c>
      <c r="C69" s="32">
        <f t="shared" si="53"/>
        <v>0</v>
      </c>
      <c r="D69" s="32">
        <f t="shared" si="54"/>
        <v>0</v>
      </c>
      <c r="E69" s="32">
        <f t="shared" si="55"/>
        <v>0</v>
      </c>
      <c r="F69" s="32">
        <f t="shared" si="56"/>
        <v>1.4852283653846152</v>
      </c>
      <c r="G69" s="32">
        <f t="shared" si="57"/>
        <v>0</v>
      </c>
      <c r="H69" s="32">
        <f t="shared" si="58"/>
        <v>0</v>
      </c>
      <c r="I69" s="32">
        <f t="shared" si="59"/>
        <v>0.27324161073825504</v>
      </c>
      <c r="J69" s="32">
        <f t="shared" si="60"/>
        <v>1.3387764705882352</v>
      </c>
      <c r="K69" s="32">
        <f t="shared" ref="K69:L69" si="77">(1+$AB$32)*K11</f>
        <v>0</v>
      </c>
      <c r="L69" s="32">
        <f t="shared" si="77"/>
        <v>0</v>
      </c>
      <c r="M69" s="34">
        <f t="shared" si="62"/>
        <v>2.0972464467111056</v>
      </c>
      <c r="N69" s="105">
        <v>1454.12</v>
      </c>
      <c r="O69" s="35">
        <f t="shared" si="65"/>
        <v>4503.7680030915526</v>
      </c>
      <c r="P69" s="34">
        <f t="shared" si="51"/>
        <v>0.13945479887732681</v>
      </c>
    </row>
    <row r="70" spans="1:16">
      <c r="A70" s="98" t="str">
        <f t="shared" ref="A70:B70" si="78">A45</f>
        <v>中证环保</v>
      </c>
      <c r="B70" s="104">
        <f t="shared" si="78"/>
        <v>6.0069037499999992E-2</v>
      </c>
      <c r="C70" s="32">
        <f t="shared" si="53"/>
        <v>0</v>
      </c>
      <c r="D70" s="32">
        <f t="shared" si="54"/>
        <v>0.22031296296296296</v>
      </c>
      <c r="E70" s="32">
        <f t="shared" si="55"/>
        <v>1.4645132743362834</v>
      </c>
      <c r="F70" s="32">
        <f t="shared" si="56"/>
        <v>0.15722355769230767</v>
      </c>
      <c r="G70" s="32">
        <f t="shared" si="57"/>
        <v>0</v>
      </c>
      <c r="H70" s="32">
        <f t="shared" si="58"/>
        <v>0</v>
      </c>
      <c r="I70" s="32">
        <f t="shared" si="59"/>
        <v>0</v>
      </c>
      <c r="J70" s="32">
        <f t="shared" si="60"/>
        <v>0.6441770897832817</v>
      </c>
      <c r="K70" s="32">
        <f t="shared" ref="K70:L70" si="79">(1+$AB$32)*K12</f>
        <v>0</v>
      </c>
      <c r="L70" s="32">
        <f t="shared" si="79"/>
        <v>0.48378471337579615</v>
      </c>
      <c r="M70" s="34">
        <f t="shared" si="62"/>
        <v>1.9700115981506321</v>
      </c>
      <c r="N70" s="105">
        <v>1328.9</v>
      </c>
      <c r="O70" s="35">
        <f t="shared" si="65"/>
        <v>3946.8484127823754</v>
      </c>
      <c r="P70" s="34">
        <f t="shared" si="51"/>
        <v>0.17840573806474522</v>
      </c>
    </row>
    <row r="71" spans="1:16">
      <c r="A71" s="98" t="str">
        <f t="shared" ref="A71:B71" si="80">A46</f>
        <v>全指消费</v>
      </c>
      <c r="B71" s="104">
        <f t="shared" si="80"/>
        <v>-4.4255500000000003E-3</v>
      </c>
      <c r="C71" s="32">
        <f t="shared" si="53"/>
        <v>0</v>
      </c>
      <c r="D71" s="32">
        <f t="shared" si="54"/>
        <v>1.8568518518518519E-2</v>
      </c>
      <c r="E71" s="32">
        <f t="shared" si="55"/>
        <v>0</v>
      </c>
      <c r="F71" s="32">
        <f t="shared" si="56"/>
        <v>2.442307692307692E-3</v>
      </c>
      <c r="G71" s="32">
        <f t="shared" si="57"/>
        <v>2.5123026819923373</v>
      </c>
      <c r="H71" s="32">
        <f t="shared" si="58"/>
        <v>4.1476190476190476E-3</v>
      </c>
      <c r="I71" s="32">
        <f t="shared" si="59"/>
        <v>0</v>
      </c>
      <c r="J71" s="32">
        <f t="shared" si="60"/>
        <v>0</v>
      </c>
      <c r="K71" s="32">
        <f t="shared" ref="K71:L71" si="81">(1+$AB$32)*K13</f>
        <v>0</v>
      </c>
      <c r="L71" s="32">
        <f t="shared" si="81"/>
        <v>0</v>
      </c>
      <c r="M71" s="34">
        <f t="shared" si="62"/>
        <v>1.5374611272507828</v>
      </c>
      <c r="N71" s="105">
        <v>11910.51</v>
      </c>
      <c r="O71" s="35">
        <f t="shared" si="65"/>
        <v>30222.45613073172</v>
      </c>
      <c r="P71" s="34">
        <f t="shared" si="51"/>
        <v>-1.1229661091704703E-2</v>
      </c>
    </row>
    <row r="72" spans="1:16">
      <c r="A72" s="98" t="str">
        <f t="shared" ref="A72:B72" si="82">A47</f>
        <v>金融地产</v>
      </c>
      <c r="B72" s="104">
        <f t="shared" si="82"/>
        <v>2.4E-2</v>
      </c>
      <c r="C72" s="32">
        <f t="shared" si="53"/>
        <v>0</v>
      </c>
      <c r="D72" s="32">
        <f t="shared" si="54"/>
        <v>0</v>
      </c>
      <c r="E72" s="32">
        <f t="shared" si="55"/>
        <v>0</v>
      </c>
      <c r="F72" s="32">
        <f t="shared" si="56"/>
        <v>2.3507211538461536E-2</v>
      </c>
      <c r="G72" s="32">
        <f t="shared" si="57"/>
        <v>0</v>
      </c>
      <c r="H72" s="32">
        <f t="shared" si="58"/>
        <v>2.2333333333333333E-3</v>
      </c>
      <c r="I72" s="32">
        <f t="shared" si="59"/>
        <v>2.7260872483221474</v>
      </c>
      <c r="J72" s="32">
        <f t="shared" si="60"/>
        <v>2.5857585139318889E-3</v>
      </c>
      <c r="K72" s="32">
        <f t="shared" ref="K72:L72" si="83">(1+$AB$32)*K14</f>
        <v>0</v>
      </c>
      <c r="L72" s="32">
        <f t="shared" si="83"/>
        <v>0</v>
      </c>
      <c r="M72" s="34">
        <f t="shared" si="62"/>
        <v>1.7544135517078741</v>
      </c>
      <c r="N72" s="105">
        <v>5871.18</v>
      </c>
      <c r="O72" s="35">
        <f t="shared" si="65"/>
        <v>16171.657756516237</v>
      </c>
      <c r="P72" s="34">
        <f t="shared" si="51"/>
        <v>6.6105925240988975E-2</v>
      </c>
    </row>
    <row r="73" spans="1:16">
      <c r="A73" s="98" t="str">
        <f t="shared" ref="A73:B73" si="84">A48</f>
        <v>证券公司</v>
      </c>
      <c r="B73" s="104">
        <f t="shared" si="84"/>
        <v>3.1965149999999998E-2</v>
      </c>
      <c r="C73" s="32">
        <f t="shared" si="53"/>
        <v>0</v>
      </c>
      <c r="D73" s="32">
        <f t="shared" si="54"/>
        <v>0</v>
      </c>
      <c r="E73" s="32">
        <f t="shared" si="55"/>
        <v>0</v>
      </c>
      <c r="F73" s="32">
        <f t="shared" si="56"/>
        <v>0</v>
      </c>
      <c r="G73" s="32">
        <f t="shared" si="57"/>
        <v>0</v>
      </c>
      <c r="H73" s="32">
        <f t="shared" si="58"/>
        <v>0</v>
      </c>
      <c r="I73" s="32">
        <f t="shared" si="59"/>
        <v>2.7516778523489931</v>
      </c>
      <c r="J73" s="32">
        <f t="shared" si="60"/>
        <v>0</v>
      </c>
      <c r="K73" s="32">
        <f t="shared" ref="K73:L73" si="85">(1+$AB$32)*K15</f>
        <v>0</v>
      </c>
      <c r="L73" s="32">
        <f t="shared" si="85"/>
        <v>0</v>
      </c>
      <c r="M73" s="34">
        <f t="shared" si="62"/>
        <v>1.7516778523489931</v>
      </c>
      <c r="N73" s="105">
        <v>755.01</v>
      </c>
      <c r="O73" s="35">
        <f t="shared" si="65"/>
        <v>2077.5442953020133</v>
      </c>
      <c r="P73" s="34">
        <f t="shared" si="51"/>
        <v>8.7957795302013406E-2</v>
      </c>
    </row>
    <row r="74" spans="1:16">
      <c r="A74" s="99" t="str">
        <f t="shared" ref="A74:B74" si="86">A49</f>
        <v>恒生</v>
      </c>
      <c r="B74" s="104">
        <f t="shared" si="86"/>
        <v>8.0000000000000002E-3</v>
      </c>
      <c r="L74" s="105"/>
      <c r="M74" s="105"/>
      <c r="N74" s="105">
        <v>28566.91</v>
      </c>
      <c r="O74" s="105"/>
      <c r="P74" s="106">
        <f t="shared" ref="P74:P81" si="87">B74</f>
        <v>8.0000000000000002E-3</v>
      </c>
    </row>
    <row r="75" spans="1:16">
      <c r="A75" s="99" t="str">
        <f t="shared" ref="A75:B75" si="88">A50</f>
        <v>海外互联网</v>
      </c>
      <c r="B75" s="104">
        <f t="shared" si="88"/>
        <v>2.4E-2</v>
      </c>
      <c r="L75" s="105"/>
      <c r="M75" s="105"/>
      <c r="N75" s="105">
        <v>11419.48</v>
      </c>
      <c r="O75" s="105"/>
      <c r="P75" s="106">
        <f t="shared" si="87"/>
        <v>2.4E-2</v>
      </c>
    </row>
    <row r="76" spans="1:16">
      <c r="A76" s="99" t="str">
        <f t="shared" ref="A76:B76" si="89">A51</f>
        <v>德国30</v>
      </c>
      <c r="B76" s="104">
        <f t="shared" si="89"/>
        <v>2.8250000000000001E-2</v>
      </c>
      <c r="L76" s="105"/>
      <c r="M76" s="105"/>
      <c r="N76" s="107"/>
      <c r="O76" s="105"/>
      <c r="P76" s="106">
        <f t="shared" si="87"/>
        <v>2.8250000000000001E-2</v>
      </c>
    </row>
    <row r="77" spans="1:16">
      <c r="A77" s="101" t="str">
        <f t="shared" ref="A77:B77" si="90">A52</f>
        <v>原油</v>
      </c>
      <c r="B77" s="104">
        <f t="shared" si="90"/>
        <v>2.4E-2</v>
      </c>
      <c r="L77" s="105"/>
      <c r="M77" s="105"/>
      <c r="N77" s="105"/>
      <c r="O77" s="105"/>
      <c r="P77" s="106">
        <f t="shared" si="87"/>
        <v>2.4E-2</v>
      </c>
    </row>
    <row r="78" spans="1:16">
      <c r="A78" s="101" t="str">
        <f t="shared" ref="A78:B78" si="91">A53</f>
        <v>黄金</v>
      </c>
      <c r="B78" s="104">
        <f t="shared" si="91"/>
        <v>1.6065112499999999E-2</v>
      </c>
      <c r="L78" s="105"/>
      <c r="M78" s="105"/>
      <c r="N78" s="105"/>
      <c r="O78" s="105"/>
      <c r="P78" s="106">
        <f t="shared" si="87"/>
        <v>1.6065112499999999E-2</v>
      </c>
    </row>
    <row r="79" spans="1:16">
      <c r="A79" s="100" t="str">
        <f t="shared" ref="A79:B79" si="92">A54</f>
        <v>可转债</v>
      </c>
      <c r="B79" s="104">
        <f t="shared" si="92"/>
        <v>-1.5640912499999967E-3</v>
      </c>
      <c r="L79" s="105"/>
      <c r="M79" s="105"/>
      <c r="N79" s="105"/>
      <c r="O79" s="105"/>
      <c r="P79" s="106">
        <f t="shared" si="87"/>
        <v>-1.5640912499999967E-3</v>
      </c>
    </row>
    <row r="80" spans="1:16">
      <c r="A80" s="102" t="str">
        <f t="shared" ref="A80:B80" si="93">A55</f>
        <v>美元债</v>
      </c>
      <c r="B80" s="104">
        <f t="shared" si="93"/>
        <v>8.7999999999999995E-2</v>
      </c>
      <c r="L80" s="105"/>
      <c r="M80" s="105"/>
      <c r="N80" s="105"/>
      <c r="O80" s="105"/>
      <c r="P80" s="106">
        <f t="shared" si="87"/>
        <v>8.7999999999999995E-2</v>
      </c>
    </row>
    <row r="81" spans="1:16">
      <c r="A81" s="102" t="str">
        <f t="shared" ref="A81:B81" si="94">A56</f>
        <v>货币基金</v>
      </c>
      <c r="B81" s="104">
        <f t="shared" si="94"/>
        <v>6.4313999999999986E-3</v>
      </c>
      <c r="L81" s="105"/>
      <c r="M81" s="105"/>
      <c r="N81" s="105"/>
      <c r="O81" s="105"/>
      <c r="P81" s="106">
        <f t="shared" si="87"/>
        <v>6.4313999999999986E-3</v>
      </c>
    </row>
    <row r="82" spans="1:16">
      <c r="B82" s="104">
        <f>SUM(B61:B81)</f>
        <v>0.95265857124999997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11">
        <f>SUM(P61:P81)</f>
        <v>2.4126105865354548</v>
      </c>
    </row>
    <row r="83" spans="1:16">
      <c r="P83" s="105" t="s">
        <v>7530</v>
      </c>
    </row>
    <row r="84" spans="1:16">
      <c r="P84" s="111">
        <f>P82*0.7</f>
        <v>1.6888274105748182</v>
      </c>
    </row>
  </sheetData>
  <phoneticPr fontId="3" type="noConversion"/>
  <conditionalFormatting sqref="C30:AB30 C32:AB32">
    <cfRule type="colorScale" priority="14">
      <colorScale>
        <cfvo type="min"/>
        <cfvo type="max"/>
        <color rgb="FF00B050"/>
        <color theme="0"/>
      </colorScale>
    </cfRule>
  </conditionalFormatting>
  <conditionalFormatting sqref="L23">
    <cfRule type="dataBar" priority="3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{44CE25DE-6346-45EB-89EA-C8D445C68408}</x14:id>
        </ext>
      </extLst>
    </cfRule>
  </conditionalFormatting>
  <conditionalFormatting sqref="D7:J7 C22:I23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{758B6198-A92D-4A0B-A5D4-8018F0FA3A9F}</x14:id>
        </ext>
      </extLst>
    </cfRule>
  </conditionalFormatting>
  <conditionalFormatting sqref="C7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{51001FB3-6174-45C3-B0E0-DD78BE652331}</x14:id>
        </ext>
      </extLst>
    </cfRule>
  </conditionalFormatting>
  <conditionalFormatting sqref="J22:J23 K7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{7383C4D9-BA4B-4797-A1B3-127708F41FC1}</x14:id>
        </ext>
      </extLst>
    </cfRule>
  </conditionalFormatting>
  <conditionalFormatting sqref="K22:K23 L7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{684265DC-B6F4-4087-9AC8-61B5C38D836A}</x14:id>
        </ext>
      </extLst>
    </cfRule>
  </conditionalFormatting>
  <conditionalFormatting sqref="C14:L15 C8:L12 C3:L6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{BBC6C61E-02A7-452A-96C5-89BBE874BA3D}</x14:id>
        </ext>
      </extLst>
    </cfRule>
  </conditionalFormatting>
  <conditionalFormatting sqref="C13:L13">
    <cfRule type="dataBar" priority="2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{E0D92296-BE9B-43DF-83CA-7BB61E0D698C}</x14:id>
        </ext>
      </extLst>
    </cfRule>
  </conditionalFormatting>
  <conditionalFormatting sqref="C32:AB32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CE25DE-6346-45EB-89EA-C8D445C6840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758B6198-A92D-4A0B-A5D4-8018F0FA3A9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D7:J7 C22:I23</xm:sqref>
        </x14:conditionalFormatting>
        <x14:conditionalFormatting xmlns:xm="http://schemas.microsoft.com/office/excel/2006/main">
          <x14:cfRule type="dataBar" id="{51001FB3-6174-45C3-B0E0-DD78BE65233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7383C4D9-BA4B-4797-A1B3-127708F41FC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J22:J23 K7</xm:sqref>
        </x14:conditionalFormatting>
        <x14:conditionalFormatting xmlns:xm="http://schemas.microsoft.com/office/excel/2006/main">
          <x14:cfRule type="dataBar" id="{684265DC-B6F4-4087-9AC8-61B5C38D83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K22:K23 L7</xm:sqref>
        </x14:conditionalFormatting>
        <x14:conditionalFormatting xmlns:xm="http://schemas.microsoft.com/office/excel/2006/main">
          <x14:cfRule type="dataBar" id="{BBC6C61E-02A7-452A-96C5-89BBE874BA3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C14:L15 C8:L12 C3:L6</xm:sqref>
        </x14:conditionalFormatting>
        <x14:conditionalFormatting xmlns:xm="http://schemas.microsoft.com/office/excel/2006/main">
          <x14:cfRule type="dataBar" id="{E0D92296-BE9B-43DF-83CA-7BB61E0D698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C13:L13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W128"/>
  <sheetViews>
    <sheetView workbookViewId="0">
      <selection activeCell="E53" sqref="E53"/>
    </sheetView>
  </sheetViews>
  <sheetFormatPr defaultColWidth="8.875" defaultRowHeight="14.25"/>
  <cols>
    <col min="1" max="1" width="10.625" style="83" bestFit="1" customWidth="1"/>
    <col min="2" max="2" width="8.625" style="83" bestFit="1" customWidth="1"/>
    <col min="3" max="3" width="8.375" style="83" bestFit="1" customWidth="1"/>
    <col min="4" max="5" width="8.875" style="83" bestFit="1" customWidth="1"/>
    <col min="6" max="6" width="11.625" style="83" customWidth="1"/>
    <col min="7" max="8" width="11.625" style="83" bestFit="1" customWidth="1"/>
    <col min="9" max="9" width="12.625" style="83" bestFit="1" customWidth="1"/>
    <col min="10" max="13" width="8.5" style="83" customWidth="1"/>
    <col min="14" max="14" width="11.625" style="83" bestFit="1" customWidth="1"/>
    <col min="15" max="15" width="37.125" style="83" bestFit="1" customWidth="1"/>
    <col min="16" max="16" width="11.625" style="83" bestFit="1" customWidth="1"/>
    <col min="17" max="17" width="12.625" style="83" bestFit="1" customWidth="1"/>
    <col min="18" max="18" width="8.875" style="83"/>
    <col min="19" max="21" width="11.625" style="83" bestFit="1" customWidth="1"/>
    <col min="22" max="22" width="12.625" style="83" bestFit="1" customWidth="1"/>
    <col min="23" max="16384" width="8.875" style="83"/>
  </cols>
  <sheetData>
    <row r="1" spans="1:23">
      <c r="B1" s="83" t="s">
        <v>7483</v>
      </c>
      <c r="C1" s="83" t="s">
        <v>7484</v>
      </c>
      <c r="D1" s="83" t="s">
        <v>144</v>
      </c>
      <c r="E1" s="83" t="s">
        <v>145</v>
      </c>
      <c r="F1" s="83" t="s">
        <v>7274</v>
      </c>
      <c r="G1" s="83" t="s">
        <v>7271</v>
      </c>
      <c r="H1" s="83" t="s">
        <v>7272</v>
      </c>
      <c r="I1" s="83" t="s">
        <v>7273</v>
      </c>
      <c r="K1" s="83" t="s">
        <v>7276</v>
      </c>
      <c r="L1" s="83" t="s">
        <v>7505</v>
      </c>
      <c r="M1" s="83" t="s">
        <v>7506</v>
      </c>
    </row>
    <row r="2" spans="1:23">
      <c r="A2" s="95" t="s">
        <v>7415</v>
      </c>
      <c r="B2" s="82">
        <f>交易明细!AA16</f>
        <v>8.0543625000000004E-3</v>
      </c>
      <c r="C2" s="34">
        <f>交易明细!X16</f>
        <v>0.12559999999999999</v>
      </c>
      <c r="D2" s="35">
        <f>交易明细!Y16</f>
        <v>8.2878697421981009</v>
      </c>
      <c r="E2" s="83">
        <v>14.95</v>
      </c>
      <c r="F2" s="34">
        <f t="shared" ref="F2:F15" si="0">$E2*$K$4/$D2-1</f>
        <v>-0.45884767262154247</v>
      </c>
      <c r="G2" s="34">
        <f t="shared" ref="G2:G15" si="1">$E2*$K$6/$D2-1</f>
        <v>-9.8079454369237262E-2</v>
      </c>
      <c r="H2" s="34">
        <f t="shared" ref="H2:H15" si="2">$E2*$K$8/$D2-1</f>
        <v>0.2626887638830675</v>
      </c>
      <c r="I2" s="34">
        <f t="shared" ref="I2:I15" si="3">$E2*$K$10/$D2-1</f>
        <v>0.80384109126152548</v>
      </c>
      <c r="K2" s="83">
        <v>0.75</v>
      </c>
      <c r="L2" s="82">
        <v>3.5000000000000003E-2</v>
      </c>
      <c r="M2" s="83" t="s">
        <v>7507</v>
      </c>
      <c r="P2" s="34"/>
      <c r="Q2" s="34"/>
      <c r="R2" s="35"/>
      <c r="S2" s="35"/>
      <c r="T2" s="34"/>
      <c r="U2" s="34"/>
      <c r="V2" s="34"/>
      <c r="W2" s="34"/>
    </row>
    <row r="3" spans="1:23">
      <c r="A3" s="95" t="s">
        <v>7416</v>
      </c>
      <c r="B3" s="82">
        <f>交易明细!AA17</f>
        <v>6.3755074999999994E-2</v>
      </c>
      <c r="C3" s="34">
        <f>交易明细!X17</f>
        <v>0.1222</v>
      </c>
      <c r="D3" s="35">
        <f>交易明细!Y17</f>
        <v>11.276089921961278</v>
      </c>
      <c r="E3" s="35">
        <v>19</v>
      </c>
      <c r="F3" s="34">
        <f t="shared" si="0"/>
        <v>-0.49450562744283388</v>
      </c>
      <c r="G3" s="34">
        <f t="shared" si="1"/>
        <v>-0.15750937907138984</v>
      </c>
      <c r="H3" s="34">
        <f t="shared" si="2"/>
        <v>0.1794868693000542</v>
      </c>
      <c r="I3" s="34">
        <f t="shared" si="3"/>
        <v>0.68498124185722031</v>
      </c>
      <c r="K3" s="83" t="s">
        <v>7485</v>
      </c>
      <c r="L3" s="83" t="s">
        <v>7495</v>
      </c>
      <c r="M3" s="83" t="s">
        <v>7508</v>
      </c>
      <c r="P3" s="34"/>
      <c r="Q3" s="34"/>
      <c r="R3" s="35"/>
      <c r="S3" s="35"/>
      <c r="T3" s="34"/>
      <c r="U3" s="34"/>
      <c r="V3" s="34"/>
      <c r="W3" s="34"/>
    </row>
    <row r="4" spans="1:23">
      <c r="A4" s="96" t="s">
        <v>7417</v>
      </c>
      <c r="B4" s="82">
        <f>交易明细!AA19</f>
        <v>0.28365731249999998</v>
      </c>
      <c r="C4" s="34">
        <f>交易明细!X19</f>
        <v>7.4200000000000002E-2</v>
      </c>
      <c r="D4" s="35">
        <f>交易明细!Y19</f>
        <v>24.041508911288606</v>
      </c>
      <c r="E4" s="35">
        <v>83.24</v>
      </c>
      <c r="F4" s="34">
        <f t="shared" si="0"/>
        <v>3.8703522817342018E-2</v>
      </c>
      <c r="G4" s="34">
        <f t="shared" si="1"/>
        <v>0.73117253802890358</v>
      </c>
      <c r="H4" s="34">
        <f t="shared" si="2"/>
        <v>1.4236415532404649</v>
      </c>
      <c r="I4" s="34">
        <f t="shared" si="3"/>
        <v>2.4623450760578072</v>
      </c>
      <c r="K4" s="43">
        <v>0.3</v>
      </c>
      <c r="L4" s="82">
        <v>6.5000000000000002E-2</v>
      </c>
      <c r="M4" s="83" t="s">
        <v>7509</v>
      </c>
      <c r="P4" s="34"/>
      <c r="Q4" s="34"/>
      <c r="R4" s="35"/>
      <c r="S4" s="35"/>
      <c r="T4" s="34"/>
      <c r="U4" s="34"/>
      <c r="V4" s="34"/>
      <c r="W4" s="34"/>
    </row>
    <row r="5" spans="1:23">
      <c r="A5" s="96" t="s">
        <v>7418</v>
      </c>
      <c r="B5" s="82">
        <f>交易明细!AA21</f>
        <v>6.5635124999999968E-3</v>
      </c>
      <c r="C5" s="34">
        <f>交易明细!X21</f>
        <v>5.5100000000000003E-2</v>
      </c>
      <c r="D5" s="35">
        <f>交易明细!Y21</f>
        <v>7.8282298561430403</v>
      </c>
      <c r="E5" s="35">
        <v>144.82</v>
      </c>
      <c r="F5" s="34">
        <f t="shared" si="0"/>
        <v>4.5499136839865084</v>
      </c>
      <c r="G5" s="34">
        <f t="shared" si="1"/>
        <v>8.2498561399775152</v>
      </c>
      <c r="H5" s="34">
        <f t="shared" si="2"/>
        <v>11.94979859596852</v>
      </c>
      <c r="I5" s="34">
        <f t="shared" si="3"/>
        <v>17.49971227995503</v>
      </c>
      <c r="K5" s="83" t="s">
        <v>7486</v>
      </c>
      <c r="L5" s="83" t="s">
        <v>7496</v>
      </c>
      <c r="P5" s="34"/>
      <c r="Q5" s="34"/>
      <c r="R5" s="35"/>
      <c r="S5" s="35"/>
      <c r="T5" s="34"/>
      <c r="U5" s="34"/>
      <c r="V5" s="34"/>
      <c r="W5" s="34"/>
    </row>
    <row r="6" spans="1:23">
      <c r="A6" s="96" t="s">
        <v>37</v>
      </c>
      <c r="B6" s="82">
        <f>交易明细!AA22</f>
        <v>2.4085612499999999E-2</v>
      </c>
      <c r="C6" s="34">
        <f>交易明细!X22</f>
        <v>8.9099999999999999E-2</v>
      </c>
      <c r="D6" s="35">
        <f>交易明细!Y22</f>
        <v>47.721410253660913</v>
      </c>
      <c r="E6" s="35">
        <v>137.86000000000001</v>
      </c>
      <c r="F6" s="34">
        <f t="shared" si="0"/>
        <v>-0.13334497492501796</v>
      </c>
      <c r="G6" s="34">
        <f t="shared" si="1"/>
        <v>0.44442504179163667</v>
      </c>
      <c r="H6" s="34">
        <f t="shared" si="2"/>
        <v>1.0221950585082915</v>
      </c>
      <c r="I6" s="34">
        <f t="shared" si="3"/>
        <v>1.8888500835832733</v>
      </c>
      <c r="K6" s="43">
        <v>0.5</v>
      </c>
      <c r="L6" s="82">
        <v>2.5000000000000001E-2</v>
      </c>
      <c r="P6" s="34"/>
      <c r="Q6" s="34"/>
      <c r="R6" s="35"/>
      <c r="S6" s="35"/>
      <c r="T6" s="34"/>
      <c r="U6" s="34"/>
      <c r="V6" s="34"/>
      <c r="W6" s="34"/>
    </row>
    <row r="7" spans="1:23">
      <c r="A7" s="97" t="s">
        <v>7419</v>
      </c>
      <c r="B7" s="82">
        <f>交易明细!AA15</f>
        <v>8.2900000000000001E-2</v>
      </c>
      <c r="C7" s="34">
        <f>交易明细!X15</f>
        <v>0.13339999999999999</v>
      </c>
      <c r="D7" s="35">
        <f>交易明细!Y15</f>
        <v>9.4805218206902246</v>
      </c>
      <c r="E7" s="35">
        <v>21.73</v>
      </c>
      <c r="F7" s="34">
        <f t="shared" si="0"/>
        <v>-0.31237962178695899</v>
      </c>
      <c r="G7" s="34">
        <f t="shared" si="1"/>
        <v>0.1460339636884016</v>
      </c>
      <c r="H7" s="34">
        <f t="shared" si="2"/>
        <v>0.6044475491637622</v>
      </c>
      <c r="I7" s="34">
        <f t="shared" si="3"/>
        <v>1.2920679273768032</v>
      </c>
      <c r="K7" s="83" t="s">
        <v>7487</v>
      </c>
      <c r="L7" s="83" t="s">
        <v>7497</v>
      </c>
      <c r="P7" s="34"/>
      <c r="Q7" s="34"/>
      <c r="R7" s="35"/>
      <c r="S7" s="35"/>
      <c r="T7" s="34"/>
      <c r="U7" s="34"/>
      <c r="V7" s="34"/>
      <c r="W7" s="34"/>
    </row>
    <row r="8" spans="1:23">
      <c r="A8" s="98" t="s">
        <v>7420</v>
      </c>
      <c r="B8" s="82">
        <f>交易明细!AA26</f>
        <v>7.2749999999999995E-2</v>
      </c>
      <c r="C8" s="34">
        <f>交易明细!X26</f>
        <v>0.15459999999999999</v>
      </c>
      <c r="D8" s="35">
        <f>交易明细!Y26</f>
        <v>23.010711094096092</v>
      </c>
      <c r="E8" s="35">
        <v>52.47</v>
      </c>
      <c r="F8" s="34">
        <f t="shared" si="0"/>
        <v>-0.3159272681478017</v>
      </c>
      <c r="G8" s="34">
        <f t="shared" si="1"/>
        <v>0.14012121975366387</v>
      </c>
      <c r="H8" s="34">
        <f t="shared" si="2"/>
        <v>0.59616970765512933</v>
      </c>
      <c r="I8" s="34">
        <f t="shared" si="3"/>
        <v>1.2802424395073277</v>
      </c>
      <c r="K8" s="43">
        <v>0.7</v>
      </c>
      <c r="L8" s="82">
        <v>0.04</v>
      </c>
      <c r="P8" s="34"/>
      <c r="Q8" s="34"/>
      <c r="R8" s="35"/>
      <c r="S8" s="35"/>
      <c r="T8" s="34"/>
      <c r="U8" s="34"/>
      <c r="V8" s="34"/>
      <c r="W8" s="34"/>
    </row>
    <row r="9" spans="1:23">
      <c r="A9" s="98" t="s">
        <v>7421</v>
      </c>
      <c r="B9" s="82">
        <f>交易明细!AA24</f>
        <v>6.1076224999999998E-2</v>
      </c>
      <c r="C9" s="34">
        <f>交易明细!X24</f>
        <v>9.8199999999999996E-2</v>
      </c>
      <c r="D9" s="35">
        <f>交易明细!Y24</f>
        <v>28.161466699412337</v>
      </c>
      <c r="E9" s="35">
        <v>74.42</v>
      </c>
      <c r="F9" s="34">
        <f t="shared" si="0"/>
        <v>-0.20721458728334308</v>
      </c>
      <c r="G9" s="34">
        <f t="shared" si="1"/>
        <v>0.32130902119442828</v>
      </c>
      <c r="H9" s="34">
        <f t="shared" si="2"/>
        <v>0.84983262967219964</v>
      </c>
      <c r="I9" s="34">
        <f t="shared" si="3"/>
        <v>1.6426180423888566</v>
      </c>
      <c r="K9" s="83" t="s">
        <v>7488</v>
      </c>
      <c r="P9" s="34"/>
      <c r="Q9" s="34"/>
      <c r="R9" s="35"/>
      <c r="S9" s="35"/>
      <c r="T9" s="34"/>
      <c r="U9" s="34"/>
      <c r="V9" s="34"/>
      <c r="W9" s="34"/>
    </row>
    <row r="10" spans="1:23">
      <c r="A10" s="98" t="s">
        <v>7422</v>
      </c>
      <c r="B10" s="82">
        <f>交易明细!AA30</f>
        <v>4.5025412500000001E-2</v>
      </c>
      <c r="C10" s="34">
        <f>交易明细!X30</f>
        <v>7.7600000000000002E-2</v>
      </c>
      <c r="D10" s="35">
        <f>交易明细!Y30</f>
        <v>38.461731281406671</v>
      </c>
      <c r="E10" s="35">
        <v>121.16</v>
      </c>
      <c r="F10" s="34">
        <f t="shared" si="0"/>
        <v>-5.4956737801049038E-2</v>
      </c>
      <c r="G10" s="34">
        <f t="shared" si="1"/>
        <v>0.57507210366491823</v>
      </c>
      <c r="H10" s="34">
        <f t="shared" si="2"/>
        <v>1.2051009451308854</v>
      </c>
      <c r="I10" s="34">
        <f t="shared" si="3"/>
        <v>2.1501442073298365</v>
      </c>
      <c r="K10" s="43">
        <v>1</v>
      </c>
      <c r="P10" s="34"/>
      <c r="Q10" s="34"/>
      <c r="R10" s="35"/>
      <c r="S10" s="35"/>
      <c r="T10" s="34"/>
      <c r="U10" s="34"/>
      <c r="V10" s="34"/>
      <c r="W10" s="34"/>
    </row>
    <row r="11" spans="1:23">
      <c r="A11" s="98" t="s">
        <v>7423</v>
      </c>
      <c r="B11" s="82">
        <f>交易明细!AA28</f>
        <v>6.0069037499999992E-2</v>
      </c>
      <c r="C11" s="34">
        <f>交易明细!X28</f>
        <v>9.7900000000000001E-2</v>
      </c>
      <c r="D11" s="35">
        <f>交易明细!Y28</f>
        <v>31.462916967736909</v>
      </c>
      <c r="E11" s="35">
        <v>71.13</v>
      </c>
      <c r="F11" s="34">
        <f t="shared" si="0"/>
        <v>-0.32177299320715569</v>
      </c>
      <c r="G11" s="34">
        <f t="shared" si="1"/>
        <v>0.13037834465474063</v>
      </c>
      <c r="H11" s="34">
        <f t="shared" si="2"/>
        <v>0.58252968251663684</v>
      </c>
      <c r="I11" s="34">
        <f t="shared" si="3"/>
        <v>1.2607566893094813</v>
      </c>
      <c r="P11" s="34"/>
      <c r="Q11" s="34"/>
      <c r="R11" s="35"/>
      <c r="S11" s="35"/>
      <c r="T11" s="34"/>
      <c r="U11" s="34"/>
      <c r="V11" s="34"/>
      <c r="W11" s="34"/>
    </row>
    <row r="12" spans="1:23">
      <c r="A12" s="98" t="s">
        <v>7424</v>
      </c>
      <c r="B12" s="82">
        <f>交易明细!AA32</f>
        <v>-4.4255500000000003E-3</v>
      </c>
      <c r="C12" s="34">
        <f>交易明细!X32</f>
        <v>0.20069999999999999</v>
      </c>
      <c r="D12" s="35">
        <f>交易明细!Y32</f>
        <v>52.069887014290053</v>
      </c>
      <c r="E12" s="35">
        <v>41.41</v>
      </c>
      <c r="F12" s="34">
        <f t="shared" si="0"/>
        <v>-0.76141680513747545</v>
      </c>
      <c r="G12" s="34">
        <f t="shared" si="1"/>
        <v>-0.60236134189579249</v>
      </c>
      <c r="H12" s="34">
        <f t="shared" si="2"/>
        <v>-0.44330587865410953</v>
      </c>
      <c r="I12" s="34">
        <f t="shared" si="3"/>
        <v>-0.20472268379158487</v>
      </c>
      <c r="P12" s="34"/>
      <c r="Q12" s="34"/>
      <c r="R12" s="35"/>
      <c r="T12" s="34"/>
      <c r="U12" s="34"/>
      <c r="V12" s="34"/>
      <c r="W12" s="34"/>
    </row>
    <row r="13" spans="1:23">
      <c r="A13" s="98" t="s">
        <v>7425</v>
      </c>
      <c r="B13" s="82">
        <f>交易明细!AA33</f>
        <v>2.4E-2</v>
      </c>
      <c r="C13" s="34">
        <f>C2</f>
        <v>0.12559999999999999</v>
      </c>
      <c r="D13" s="35">
        <f>交易明细!Z33</f>
        <v>0.96548778213019948</v>
      </c>
      <c r="E13" s="35">
        <v>3.5</v>
      </c>
      <c r="F13" s="34">
        <f t="shared" si="0"/>
        <v>8.7533182122033093E-2</v>
      </c>
      <c r="G13" s="34">
        <f t="shared" si="1"/>
        <v>0.81255530353672167</v>
      </c>
      <c r="H13" s="34">
        <f t="shared" si="2"/>
        <v>1.5375774249514103</v>
      </c>
      <c r="I13" s="34">
        <f t="shared" si="3"/>
        <v>2.6251106070734433</v>
      </c>
      <c r="P13" s="34"/>
      <c r="Q13" s="34"/>
      <c r="R13" s="35"/>
    </row>
    <row r="14" spans="1:23">
      <c r="A14" s="98" t="s">
        <v>7426</v>
      </c>
      <c r="B14" s="82">
        <f>交易明细!AA27</f>
        <v>3.1965149999999998E-2</v>
      </c>
      <c r="C14" s="34">
        <v>4.9099999999999998E-2</v>
      </c>
      <c r="D14" s="35">
        <f>交易明细!Z27</f>
        <v>1.3905981770127775</v>
      </c>
      <c r="E14" s="83">
        <v>5.04</v>
      </c>
      <c r="F14" s="34">
        <f t="shared" si="0"/>
        <v>8.7301871233581352E-2</v>
      </c>
      <c r="G14" s="34">
        <f t="shared" si="1"/>
        <v>0.81216978538930218</v>
      </c>
      <c r="H14" s="34">
        <f t="shared" si="2"/>
        <v>1.537037699545023</v>
      </c>
      <c r="I14" s="34">
        <f t="shared" si="3"/>
        <v>2.6243395707786044</v>
      </c>
      <c r="P14" s="34"/>
      <c r="Q14" s="34"/>
      <c r="R14" s="35"/>
    </row>
    <row r="15" spans="1:23">
      <c r="A15" s="99" t="s">
        <v>7427</v>
      </c>
      <c r="B15" s="82">
        <f>交易明细!AA35</f>
        <v>8.0000000000000002E-3</v>
      </c>
      <c r="C15" s="34">
        <v>0.1116</v>
      </c>
      <c r="D15" s="35">
        <f>交易明细!Y35</f>
        <v>9.1889757027155774</v>
      </c>
      <c r="E15" s="35">
        <v>14.46</v>
      </c>
      <c r="F15" s="34">
        <f t="shared" si="0"/>
        <v>-0.52791256171044076</v>
      </c>
      <c r="G15" s="34">
        <f t="shared" si="1"/>
        <v>-0.21318760285073446</v>
      </c>
      <c r="H15" s="34">
        <f t="shared" si="2"/>
        <v>0.10153735600897162</v>
      </c>
      <c r="I15" s="34">
        <f t="shared" si="3"/>
        <v>0.57362479429853108</v>
      </c>
      <c r="P15" s="34"/>
      <c r="Q15" s="34"/>
    </row>
    <row r="16" spans="1:23">
      <c r="A16" s="99" t="s">
        <v>7298</v>
      </c>
      <c r="B16" s="82">
        <f>交易明细!AA36</f>
        <v>2.4E-2</v>
      </c>
      <c r="C16" s="34"/>
      <c r="F16" s="34"/>
      <c r="G16" s="34"/>
      <c r="H16" s="34"/>
      <c r="I16" s="34"/>
      <c r="P16" s="82"/>
      <c r="Q16" s="82"/>
    </row>
    <row r="17" spans="1:16">
      <c r="A17" s="99" t="s">
        <v>70</v>
      </c>
      <c r="B17" s="82">
        <f>交易明细!AA34</f>
        <v>2.8250000000000001E-2</v>
      </c>
      <c r="C17" s="34">
        <f>交易明细!V34 / 交易明细!T34</f>
        <v>8.0476900149031305E-2</v>
      </c>
      <c r="D17" s="35">
        <f>交易明细!Y34</f>
        <v>19.416176897504332</v>
      </c>
      <c r="E17" s="83">
        <v>24.7</v>
      </c>
      <c r="F17" s="34">
        <f>$E17*$K$4/$D17-1</f>
        <v>-0.61835947214961529</v>
      </c>
      <c r="G17" s="34">
        <f>$E17*$K$6/$D17-1</f>
        <v>-0.36393245358269199</v>
      </c>
      <c r="H17" s="34">
        <f>$E17*$K$8/$D17-1</f>
        <v>-0.10950543501576881</v>
      </c>
      <c r="I17" s="34">
        <f>$E17*$K$10/$D17-1</f>
        <v>0.27213509283461601</v>
      </c>
    </row>
    <row r="18" spans="1:16">
      <c r="A18" s="101" t="s">
        <v>7303</v>
      </c>
      <c r="B18" s="82">
        <f>交易明细!AA42</f>
        <v>2.4E-2</v>
      </c>
      <c r="C18" s="103"/>
      <c r="F18" s="34"/>
      <c r="G18" s="34"/>
      <c r="H18" s="34"/>
      <c r="I18" s="34"/>
    </row>
    <row r="19" spans="1:16">
      <c r="A19" s="100" t="s">
        <v>7428</v>
      </c>
      <c r="B19" s="82">
        <f>交易明细!AA39</f>
        <v>8.7999999999999995E-2</v>
      </c>
      <c r="C19" s="103"/>
      <c r="F19" s="34"/>
      <c r="G19" s="34"/>
      <c r="H19" s="34"/>
      <c r="I19" s="34"/>
    </row>
    <row r="20" spans="1:16">
      <c r="A20" s="102" t="s">
        <v>7429</v>
      </c>
      <c r="B20" s="82">
        <f>交易明细!AA38</f>
        <v>6.4313999999999994E-3</v>
      </c>
      <c r="C20" s="103"/>
      <c r="F20" s="34"/>
      <c r="G20" s="34"/>
      <c r="H20" s="34"/>
      <c r="I20" s="34"/>
      <c r="P20" s="94"/>
    </row>
    <row r="21" spans="1:16">
      <c r="A21" s="102" t="s">
        <v>7430</v>
      </c>
      <c r="B21" s="82">
        <f>1-SUM(B2:B20)</f>
        <v>6.1842449999999993E-2</v>
      </c>
      <c r="C21" s="103"/>
      <c r="F21" s="34"/>
      <c r="G21" s="34"/>
      <c r="H21" s="34"/>
      <c r="I21" s="34"/>
    </row>
    <row r="22" spans="1:16" s="90" customFormat="1">
      <c r="B22" s="89"/>
      <c r="F22" s="34"/>
      <c r="G22" s="34"/>
      <c r="H22" s="34"/>
      <c r="I22" s="34"/>
    </row>
    <row r="23" spans="1:16" s="90" customFormat="1">
      <c r="B23" s="89"/>
      <c r="F23" s="34"/>
      <c r="G23" s="34"/>
      <c r="H23" s="34"/>
      <c r="I23" s="34"/>
    </row>
    <row r="24" spans="1:16" s="90" customFormat="1">
      <c r="B24" s="90" t="s">
        <v>7514</v>
      </c>
      <c r="C24" s="89" t="s">
        <v>7512</v>
      </c>
      <c r="D24" s="90" t="s">
        <v>7515</v>
      </c>
      <c r="E24" s="90" t="s">
        <v>7513</v>
      </c>
      <c r="F24" s="90" t="s">
        <v>7516</v>
      </c>
      <c r="G24" s="34" t="s">
        <v>7517</v>
      </c>
      <c r="H24" s="34" t="s">
        <v>7518</v>
      </c>
      <c r="I24" s="34" t="s">
        <v>7519</v>
      </c>
    </row>
    <row r="25" spans="1:16" s="90" customFormat="1">
      <c r="A25" s="90" t="s">
        <v>7520</v>
      </c>
      <c r="B25" s="89">
        <f>SUM(B2:B3)</f>
        <v>7.180943749999999E-2</v>
      </c>
      <c r="C25" s="89">
        <f>SUM(B4:B6)</f>
        <v>0.31430643749999998</v>
      </c>
      <c r="D25" s="89">
        <f>SUM(B7:B7)</f>
        <v>8.2900000000000001E-2</v>
      </c>
      <c r="E25" s="89">
        <f>SUM(B8:B14)</f>
        <v>0.29046027499999999</v>
      </c>
      <c r="F25" s="89">
        <f>SUM(B15:B17)</f>
        <v>6.0249999999999998E-2</v>
      </c>
      <c r="G25" s="34">
        <f>SUM(B19:B19)</f>
        <v>8.7999999999999995E-2</v>
      </c>
      <c r="H25" s="34">
        <f>SUM(B18:B18)</f>
        <v>2.4E-2</v>
      </c>
      <c r="I25" s="34">
        <f>SUM(B20:B21)</f>
        <v>6.8273849999999997E-2</v>
      </c>
    </row>
    <row r="26" spans="1:16" s="90" customFormat="1">
      <c r="A26" s="90" t="s">
        <v>7521</v>
      </c>
      <c r="B26" s="89">
        <v>0.1188</v>
      </c>
      <c r="C26" s="89">
        <v>0.184</v>
      </c>
      <c r="D26" s="89">
        <v>9.2399999999999996E-2</v>
      </c>
      <c r="E26" s="89">
        <v>0.28439999999999999</v>
      </c>
      <c r="F26" s="89">
        <v>0.1091</v>
      </c>
      <c r="G26" s="34">
        <v>3.9899999999999998E-2</v>
      </c>
      <c r="H26" s="34">
        <v>2.5499999999999998E-2</v>
      </c>
      <c r="I26" s="34">
        <v>0.13969999999999999</v>
      </c>
    </row>
    <row r="27" spans="1:16" s="90" customFormat="1">
      <c r="A27" s="90" t="s">
        <v>7522</v>
      </c>
      <c r="B27" s="89">
        <f>B25-B26</f>
        <v>-4.6990562500000013E-2</v>
      </c>
      <c r="C27" s="89">
        <f t="shared" ref="C27:I27" si="4">C25-C26</f>
        <v>0.13030643749999998</v>
      </c>
      <c r="D27" s="89">
        <f t="shared" si="4"/>
        <v>-9.4999999999999946E-3</v>
      </c>
      <c r="E27" s="89">
        <f t="shared" si="4"/>
        <v>6.0602750000000039E-3</v>
      </c>
      <c r="F27" s="89">
        <f t="shared" si="4"/>
        <v>-4.8850000000000005E-2</v>
      </c>
      <c r="G27" s="89">
        <f t="shared" si="4"/>
        <v>4.8099999999999997E-2</v>
      </c>
      <c r="H27" s="89">
        <f t="shared" si="4"/>
        <v>-1.4999999999999979E-3</v>
      </c>
      <c r="I27" s="89">
        <f t="shared" si="4"/>
        <v>-7.1426149999999994E-2</v>
      </c>
    </row>
    <row r="28" spans="1:16">
      <c r="A28" s="90"/>
      <c r="F28" s="34"/>
    </row>
    <row r="29" spans="1:16">
      <c r="A29" s="90"/>
      <c r="C29" s="88">
        <v>3</v>
      </c>
      <c r="D29" s="88">
        <v>5</v>
      </c>
      <c r="E29" s="88">
        <v>7</v>
      </c>
      <c r="F29" s="88">
        <v>10</v>
      </c>
      <c r="I29" s="9" t="s">
        <v>7510</v>
      </c>
      <c r="J29" s="91" t="str">
        <f>C29&amp;$M$2</f>
        <v>3年</v>
      </c>
      <c r="K29" s="91" t="str">
        <f>D29&amp;$M$2</f>
        <v>5年</v>
      </c>
      <c r="L29" s="91" t="str">
        <f>E29&amp;$M$2</f>
        <v>7年</v>
      </c>
      <c r="M29" s="91" t="str">
        <f>F29&amp;$M$2</f>
        <v>10年</v>
      </c>
    </row>
    <row r="30" spans="1:16">
      <c r="A30" s="83" t="s">
        <v>7489</v>
      </c>
      <c r="B30" s="35">
        <f>E$2*$K$4</f>
        <v>4.4849999999999994</v>
      </c>
      <c r="C30" s="34">
        <f>($B30/$D$2)^(1/$C$29)-1+$C$2*$K$2</f>
        <v>-9.0895886233533355E-2</v>
      </c>
      <c r="D30" s="34">
        <f>($B30/$D$2)^(1/$D$29)-1+$C$2*$K$2</f>
        <v>-2.1369102673021015E-2</v>
      </c>
      <c r="E30" s="34">
        <f>($B30/$D$2)^(1/$E$29)-1+$C$2*$K$2</f>
        <v>1.0215431681905682E-2</v>
      </c>
      <c r="F30" s="34">
        <f>($B30/$D$2)^(1/$F$29)-1+$C$2*$K$2</f>
        <v>3.4641862810763466E-2</v>
      </c>
      <c r="I30" s="92">
        <f>K4</f>
        <v>0.3</v>
      </c>
      <c r="J30" s="93">
        <f t="shared" ref="J30:M33" si="5">(C30*$A$31+C35+$A$36+C40*$A$41+C45*$A$46+C50*$A$51+C55*$A$56+C60*$A$61+C65*$A$66+C70*$A$71+C75*$A$76+C80*$A$81+C85*$A$86+C90*$A$91+C95*$A$96+C100*$A$101+C105*$A$106+C110*$A$111+C115*$A$116+C120*$A$121+C125*$A$126)</f>
        <v>-1.6803542047533551E-2</v>
      </c>
      <c r="K30" s="93">
        <f t="shared" si="5"/>
        <v>7.047042144575516E-2</v>
      </c>
      <c r="L30" s="93">
        <f t="shared" si="5"/>
        <v>0.11049566325268118</v>
      </c>
      <c r="M30" s="93">
        <f t="shared" si="5"/>
        <v>0.14159030313335882</v>
      </c>
    </row>
    <row r="31" spans="1:16">
      <c r="A31" s="82">
        <f>B2</f>
        <v>8.0543625000000004E-3</v>
      </c>
      <c r="B31" s="35">
        <f>$E$2*$K$6</f>
        <v>7.4749999999999996</v>
      </c>
      <c r="C31" s="34">
        <f>($B31/$D$2)^(1/$C$29)-1+$C$2*$K$2</f>
        <v>6.0375662019117968E-2</v>
      </c>
      <c r="D31" s="34">
        <f>($B31/$D$2)^(1/$D$29)-1+$C$2*$K$2</f>
        <v>7.3765894808245844E-2</v>
      </c>
      <c r="E31" s="34">
        <f>($B31/$D$2)^(1/$E$29)-1+$C$2*$K$2</f>
        <v>7.9561225613927686E-2</v>
      </c>
      <c r="F31" s="34">
        <f>($B31/$D$2)^(1/$F$29)-1+$C$2*$K$2</f>
        <v>8.3930213143079621E-2</v>
      </c>
      <c r="H31" s="83" t="s">
        <v>7503</v>
      </c>
      <c r="I31" s="92">
        <f>K6</f>
        <v>0.5</v>
      </c>
      <c r="J31" s="93">
        <f t="shared" si="5"/>
        <v>0.26114238515000421</v>
      </c>
      <c r="K31" s="93">
        <f t="shared" si="5"/>
        <v>0.24091752582536108</v>
      </c>
      <c r="L31" s="93">
        <f t="shared" si="5"/>
        <v>0.23348409415447904</v>
      </c>
      <c r="M31" s="93">
        <f t="shared" si="5"/>
        <v>0.2283649871142763</v>
      </c>
    </row>
    <row r="32" spans="1:16">
      <c r="B32" s="35">
        <f>E$2*$K$8</f>
        <v>10.464999999999998</v>
      </c>
      <c r="C32" s="34">
        <f>($B32/$D$2)^(1/$C$29)-1+$C$2*$K$2</f>
        <v>0.17505002920896023</v>
      </c>
      <c r="D32" s="34">
        <f>($B32/$D$2)^(1/$D$29)-1+$C$2*$K$2</f>
        <v>0.14195384479331102</v>
      </c>
      <c r="E32" s="34">
        <f>($B32/$D$2)^(1/$E$29)-1+$C$2*$K$2</f>
        <v>0.12808182857911982</v>
      </c>
      <c r="F32" s="34">
        <f>($B32/$D$2)^(1/$F$29)-1+$C$2*$K$2</f>
        <v>0.1177984783074421</v>
      </c>
      <c r="H32" s="83" t="s">
        <v>7504</v>
      </c>
      <c r="I32" s="92">
        <f>K8</f>
        <v>0.7</v>
      </c>
      <c r="J32" s="93">
        <f t="shared" si="5"/>
        <v>0.47184475239977525</v>
      </c>
      <c r="K32" s="93">
        <f t="shared" si="5"/>
        <v>0.36308538135953866</v>
      </c>
      <c r="L32" s="93">
        <f t="shared" si="5"/>
        <v>0.31953794813368197</v>
      </c>
      <c r="M32" s="93">
        <f t="shared" si="5"/>
        <v>0.28799181549876302</v>
      </c>
    </row>
    <row r="33" spans="1:13">
      <c r="B33" s="35">
        <f>E$2*$K$10</f>
        <v>14.95</v>
      </c>
      <c r="C33" s="34">
        <f>($B33/$D$2)^(1/$C$29)-1+$C$2*$K$2</f>
        <v>0.31150505447400118</v>
      </c>
      <c r="D33" s="34">
        <f>($B33/$D$2)^(1/$D$29)-1+$C$2*$K$2</f>
        <v>0.21942573197743059</v>
      </c>
      <c r="E33" s="34">
        <f>($B33/$D$2)^(1/$E$29)-1+$C$2*$K$2</f>
        <v>0.18212699638111313</v>
      </c>
      <c r="F33" s="34">
        <f>($B33/$D$2)^(1/$F$29)-1+$C$2*$K$2</f>
        <v>0.15496657751714199</v>
      </c>
      <c r="I33" s="92">
        <f>K10</f>
        <v>1</v>
      </c>
      <c r="J33" s="93">
        <f t="shared" si="5"/>
        <v>0.72256684096272172</v>
      </c>
      <c r="K33" s="93">
        <f t="shared" si="5"/>
        <v>0.50188665524359866</v>
      </c>
      <c r="L33" s="93">
        <f t="shared" si="5"/>
        <v>0.41538990985910895</v>
      </c>
      <c r="M33" s="93">
        <f t="shared" si="5"/>
        <v>0.3534281719876195</v>
      </c>
    </row>
    <row r="34" spans="1:13">
      <c r="C34" s="87"/>
      <c r="D34" s="87"/>
      <c r="E34" s="87"/>
      <c r="F34" s="87"/>
    </row>
    <row r="35" spans="1:13">
      <c r="A35" s="83" t="s">
        <v>7416</v>
      </c>
      <c r="B35" s="83">
        <f>$E$3*$K$4</f>
        <v>5.7</v>
      </c>
      <c r="C35" s="34">
        <f>($B35/$D$3)^(1/$C$29)-1+$C$3*$K$2</f>
        <v>-0.11175280092265838</v>
      </c>
      <c r="D35" s="34">
        <f>($B35/$D$3)^(1/$D$29)-1+$C$3*$K$2</f>
        <v>-3.5894539723709817E-2</v>
      </c>
      <c r="E35" s="34">
        <f>($B35/$D$3)^(1/$E$29)-1+$C$3*$K$2</f>
        <v>-1.2111627815082349E-3</v>
      </c>
      <c r="F35" s="34">
        <f>($B35/$D$3)^(1/$F$29)-1+$C$3*$K$2</f>
        <v>2.5703242741702659E-2</v>
      </c>
      <c r="I35" s="94" t="s">
        <v>7511</v>
      </c>
    </row>
    <row r="36" spans="1:13">
      <c r="A36" s="82">
        <f>B3</f>
        <v>6.3755074999999994E-2</v>
      </c>
      <c r="B36" s="35">
        <f>$E$3*$K$6</f>
        <v>9.5</v>
      </c>
      <c r="C36" s="34">
        <f>($B36/$D$3)^(1/$C$29)-1+$C$3*$K$2</f>
        <v>3.6120414591244709E-2</v>
      </c>
      <c r="D36" s="34">
        <f>($B36/$D$3)^(1/$D$29)-1+$C$3*$K$2</f>
        <v>5.7952303785214321E-2</v>
      </c>
      <c r="E36" s="34">
        <f>($B36/$D$3)^(1/$E$29)-1+$C$3*$K$2</f>
        <v>6.7462639752565501E-2</v>
      </c>
      <c r="F36" s="34">
        <f>($B36/$D$3)^(1/$F$29)-1+$C$3*$K$2</f>
        <v>7.4656766907132965E-2</v>
      </c>
    </row>
    <row r="37" spans="1:13">
      <c r="B37" s="35">
        <f>$E$3*$K$8</f>
        <v>13.299999999999999</v>
      </c>
      <c r="C37" s="34">
        <f>($B37/$D$3)^(1/$C$29)-1+$C$3*$K$2</f>
        <v>0.14821860892625782</v>
      </c>
      <c r="D37" s="34">
        <f>($B37/$D$3)^(1/$D$29)-1+$C$3*$K$2</f>
        <v>0.12521697021570266</v>
      </c>
      <c r="E37" s="34">
        <f>($B37/$D$3)^(1/$E$29)-1+$C$3*$K$2</f>
        <v>0.1155130566261855</v>
      </c>
      <c r="F37" s="34">
        <f>($B37/$D$3)^(1/$F$29)-1+$C$3*$K$2</f>
        <v>0.10829495779780607</v>
      </c>
      <c r="I37" s="114" t="s">
        <v>7532</v>
      </c>
    </row>
    <row r="38" spans="1:13">
      <c r="B38" s="35">
        <f>$E$3*$K$10</f>
        <v>19</v>
      </c>
      <c r="C38" s="34">
        <f>($B38/$D$3)^(1/$C$29)-1+$C$3*$K$2</f>
        <v>0.2816081563464472</v>
      </c>
      <c r="D38" s="34">
        <f>($B38/$D$3)^(1/$D$29)-1+$C$3*$K$2</f>
        <v>0.2016398667879209</v>
      </c>
      <c r="E38" s="34">
        <f>($B38/$D$3)^(1/$E$29)-1+$C$3*$K$2</f>
        <v>0.16903450286116906</v>
      </c>
      <c r="F38" s="34">
        <f>($B38/$D$3)^(1/$F$29)-1+$C$3*$K$2</f>
        <v>0.14521056626466478</v>
      </c>
    </row>
    <row r="39" spans="1:13">
      <c r="B39" s="35"/>
      <c r="C39" s="87"/>
      <c r="D39" s="87"/>
      <c r="E39" s="87"/>
      <c r="F39" s="87"/>
      <c r="I39" s="114" t="s">
        <v>7533</v>
      </c>
    </row>
    <row r="40" spans="1:13">
      <c r="A40" s="83" t="s">
        <v>7417</v>
      </c>
      <c r="B40" s="83">
        <f>$E$4*$K$4</f>
        <v>24.971999999999998</v>
      </c>
      <c r="C40" s="34">
        <f>($B40/$D$4)^(1/$C$29)-1+$C$4*$K$2</f>
        <v>6.8388222970121398E-2</v>
      </c>
      <c r="D40" s="34">
        <f>($B40/$D$4)^(1/$D$29)-1+$C$4*$K$2</f>
        <v>6.3273577174361356E-2</v>
      </c>
      <c r="E40" s="34">
        <f>($B40/$D$4)^(1/$E$29)-1+$C$4*$K$2</f>
        <v>6.1089501056879297E-2</v>
      </c>
      <c r="F40" s="34">
        <f>($B40/$D$4)^(1/$F$29)-1+$C$4*$K$2</f>
        <v>5.9454551281952234E-2</v>
      </c>
    </row>
    <row r="41" spans="1:13">
      <c r="A41" s="82">
        <f>B4</f>
        <v>0.28365731249999998</v>
      </c>
      <c r="B41" s="83">
        <f>$E$4*$K$6</f>
        <v>41.62</v>
      </c>
      <c r="C41" s="34">
        <f>($B41/$D$4)^(1/$C$29)-1+$C$4*$K$2</f>
        <v>0.25638393482786292</v>
      </c>
      <c r="D41" s="34">
        <f>($B41/$D$4)^(1/$D$29)-1+$C$4*$K$2</f>
        <v>0.17165996074176862</v>
      </c>
      <c r="E41" s="34">
        <f>($B41/$D$4)^(1/$E$29)-1+$C$4*$K$2</f>
        <v>0.13720503147254728</v>
      </c>
      <c r="F41" s="34">
        <f>($B41/$D$4)^(1/$F$29)-1+$C$4*$K$2</f>
        <v>0.11206372612332552</v>
      </c>
      <c r="I41" s="114" t="s">
        <v>7534</v>
      </c>
    </row>
    <row r="42" spans="1:13">
      <c r="B42" s="83">
        <f>$E$4*$K$8</f>
        <v>58.267999999999994</v>
      </c>
      <c r="C42" s="34">
        <f>($B42/$D$4)^(1/$C$29)-1+$C$4*$K$2</f>
        <v>0.39889777527381476</v>
      </c>
      <c r="D42" s="34">
        <f>($B42/$D$4)^(1/$D$29)-1+$C$4*$K$2</f>
        <v>0.24934583342192232</v>
      </c>
      <c r="E42" s="34">
        <f>($B42/$D$4)^(1/$E$29)-1+$C$4*$K$2</f>
        <v>0.19046235569330608</v>
      </c>
      <c r="F42" s="34">
        <f>($B42/$D$4)^(1/$F$29)-1+$C$4*$K$2</f>
        <v>0.14821388070534461</v>
      </c>
    </row>
    <row r="43" spans="1:13">
      <c r="B43" s="83">
        <f>$E$4*$K$10</f>
        <v>83.24</v>
      </c>
      <c r="C43" s="34">
        <f>($B43/$D$4)^(1/$C$29)-1+$C$4*$K$2</f>
        <v>0.56847995981272348</v>
      </c>
      <c r="D43" s="34">
        <f>($B43/$D$4)^(1/$D$29)-1+$C$4*$K$2</f>
        <v>0.33760880606437516</v>
      </c>
      <c r="E43" s="34">
        <f>($B43/$D$4)^(1/$E$29)-1+$C$4*$K$2</f>
        <v>0.24978356870998944</v>
      </c>
      <c r="F43" s="34">
        <f>($B43/$D$4)^(1/$F$29)-1+$C$4*$K$2</f>
        <v>0.1878861971180639</v>
      </c>
      <c r="I43" s="94" t="s">
        <v>7523</v>
      </c>
    </row>
    <row r="44" spans="1:13">
      <c r="C44" s="34"/>
      <c r="D44" s="34"/>
      <c r="E44" s="34"/>
      <c r="F44" s="34"/>
    </row>
    <row r="45" spans="1:13">
      <c r="A45" s="83" t="s">
        <v>7418</v>
      </c>
      <c r="B45" s="83">
        <f>$E$5*$K$4</f>
        <v>43.445999999999998</v>
      </c>
      <c r="C45" s="34">
        <f>($B45/$D$5)^(1/$C$29)-1+$C$5*$K$2</f>
        <v>0.81182287392177321</v>
      </c>
      <c r="D45" s="34">
        <f>($B45/$D$5)^(1/$D$29)-1+$C$5*$K$2</f>
        <v>0.45015063594235144</v>
      </c>
      <c r="E45" s="34">
        <f>($B45/$D$5)^(1/$E$29)-1+$C$5*$K$2</f>
        <v>0.31872409490495163</v>
      </c>
      <c r="F45" s="34">
        <f>($B45/$D$5)^(1/$F$29)-1+$C$5*$K$2</f>
        <v>0.22826460922295938</v>
      </c>
      <c r="I45" s="94" t="s">
        <v>7524</v>
      </c>
    </row>
    <row r="46" spans="1:13">
      <c r="A46" s="82">
        <f>B5</f>
        <v>6.5635124999999968E-3</v>
      </c>
      <c r="B46" s="83">
        <f>$E$5*$K$6</f>
        <v>72.41</v>
      </c>
      <c r="C46" s="34">
        <f>($B46/$D$5)^(1/$C$29)-1+$C$5*$K$2</f>
        <v>1.1404823444554157</v>
      </c>
      <c r="D46" s="34">
        <f>($B46/$D$5)^(1/$D$29)-1+$C$5*$K$2</f>
        <v>0.60169285787511706</v>
      </c>
      <c r="E46" s="34">
        <f>($B46/$D$5)^(1/$E$29)-1+$C$5*$K$2</f>
        <v>0.41542798366104322</v>
      </c>
      <c r="F46" s="34">
        <f>($B46/$D$5)^(1/$F$29)-1+$C$5*$K$2</f>
        <v>0.29047185200544651</v>
      </c>
    </row>
    <row r="47" spans="1:13">
      <c r="B47" s="83">
        <f>$E$5*$K$8</f>
        <v>101.374</v>
      </c>
      <c r="C47" s="34">
        <f>($B47/$D$5)^(1/$C$29)-1+$C$5*$K$2</f>
        <v>1.3896291089312229</v>
      </c>
      <c r="D47" s="34">
        <f>($B47/$D$5)^(1/$D$29)-1+$C$5*$K$2</f>
        <v>0.71031065073112476</v>
      </c>
      <c r="E47" s="34">
        <f>($B47/$D$5)^(1/$E$29)-1+$C$5*$K$2</f>
        <v>0.48309078951375301</v>
      </c>
      <c r="F47" s="34">
        <f>($B47/$D$5)^(1/$F$29)-1+$C$5*$K$2</f>
        <v>0.33321727520375116</v>
      </c>
      <c r="I47" s="94" t="s">
        <v>7525</v>
      </c>
    </row>
    <row r="48" spans="1:13">
      <c r="B48" s="83">
        <f>$E$5*$K$10</f>
        <v>144.82</v>
      </c>
      <c r="C48" s="34">
        <f>($B48/$D$5)^(1/$C$29)-1+$C$5*$K$2</f>
        <v>1.6860975253208013</v>
      </c>
      <c r="D48" s="34">
        <f>($B48/$D$5)^(1/$D$29)-1+$C$5*$K$2</f>
        <v>0.83371699153139422</v>
      </c>
      <c r="E48" s="34">
        <f>($B48/$D$5)^(1/$E$29)-1+$C$5*$K$2</f>
        <v>0.55845769496805597</v>
      </c>
      <c r="F48" s="34">
        <f>($B48/$D$5)^(1/$F$29)-1+$C$5*$K$2</f>
        <v>0.38012744679018801</v>
      </c>
    </row>
    <row r="49" spans="1:6">
      <c r="C49" s="34"/>
      <c r="D49" s="34"/>
      <c r="E49" s="34"/>
      <c r="F49" s="34"/>
    </row>
    <row r="50" spans="1:6">
      <c r="A50" s="83" t="s">
        <v>37</v>
      </c>
      <c r="B50" s="83">
        <f>$E$6*$K$4</f>
        <v>41.358000000000004</v>
      </c>
      <c r="C50" s="34">
        <f>($B50/$D$6)^(1/$C$29)-1+$C$6*$K$2</f>
        <v>2.0240233005854397E-2</v>
      </c>
      <c r="D50" s="34">
        <f>($B50/$D$6)^(1/$D$29)-1+$C$6*$K$2</f>
        <v>3.8607898164327276E-2</v>
      </c>
      <c r="E50" s="34">
        <f>($B50/$D$6)^(1/$E$29)-1+$C$6*$K$2</f>
        <v>4.6587683222985982E-2</v>
      </c>
      <c r="F50" s="34">
        <f>($B50/$D$6)^(1/$F$29)-1+$C$6*$K$2</f>
        <v>5.261549405252805E-2</v>
      </c>
    </row>
    <row r="51" spans="1:6">
      <c r="A51" s="82">
        <f>B6</f>
        <v>2.4085612499999999E-2</v>
      </c>
      <c r="B51" s="83">
        <f>$E$6*$K$6</f>
        <v>68.930000000000007</v>
      </c>
      <c r="C51" s="34">
        <f>($B51/$D$6)^(1/$C$29)-1+$C$6*$K$2</f>
        <v>0.19722375289245217</v>
      </c>
      <c r="D51" s="34">
        <f>($B51/$D$6)^(1/$D$29)-1+$C$6*$K$2</f>
        <v>0.14313903095108924</v>
      </c>
      <c r="E51" s="34">
        <f>($B51/$D$6)^(1/$E$29)-1+$C$6*$K$2</f>
        <v>0.12075938250136628</v>
      </c>
      <c r="F51" s="34">
        <f>($B51/$D$6)^(1/$F$29)-1+$C$6*$K$2</f>
        <v>0.10428055613293105</v>
      </c>
    </row>
    <row r="52" spans="1:6">
      <c r="B52" s="83">
        <f>$E$6*$K$8</f>
        <v>96.50200000000001</v>
      </c>
      <c r="C52" s="34">
        <f>($B52/$D$6)^(1/$C$29)-1+$C$6*$K$2</f>
        <v>0.33138958500338755</v>
      </c>
      <c r="D52" s="34">
        <f>($B52/$D$6)^(1/$D$29)-1+$C$6*$K$2</f>
        <v>0.21806165504375805</v>
      </c>
      <c r="E52" s="34">
        <f>($B52/$D$6)^(1/$E$29)-1+$C$6*$K$2</f>
        <v>0.17265662626885123</v>
      </c>
      <c r="F52" s="34">
        <f>($B52/$D$6)^(1/$F$29)-1+$C$6*$K$2</f>
        <v>0.13978196793662598</v>
      </c>
    </row>
    <row r="53" spans="1:6">
      <c r="B53" s="83">
        <f>$E$6*$K$10</f>
        <v>137.86000000000001</v>
      </c>
      <c r="C53" s="34">
        <f>($B53/$D$6)^(1/$C$29)-1+$C$6*$K$2</f>
        <v>0.49103818354411366</v>
      </c>
      <c r="D53" s="34">
        <f>($B53/$D$6)^(1/$D$29)-1+$C$6*$K$2</f>
        <v>0.30318515681374414</v>
      </c>
      <c r="E53" s="34">
        <f>($B53/$D$6)^(1/$E$29)-1+$C$6*$K$2</f>
        <v>0.23046289982004317</v>
      </c>
      <c r="F53" s="34">
        <f>($B53/$D$6)^(1/$F$29)-1+$C$6*$K$2</f>
        <v>0.17874233362410727</v>
      </c>
    </row>
    <row r="54" spans="1:6">
      <c r="C54" s="34"/>
      <c r="D54" s="34"/>
      <c r="E54" s="34"/>
      <c r="F54" s="34"/>
    </row>
    <row r="55" spans="1:6">
      <c r="A55" s="83" t="s">
        <v>7419</v>
      </c>
      <c r="B55" s="83">
        <f>$E$7*$K$4</f>
        <v>6.5190000000000001</v>
      </c>
      <c r="C55" s="34">
        <f>($B55/$D$7)^(1/$C$29)-1+$C$7*$K$2</f>
        <v>-1.7311406808173418E-2</v>
      </c>
      <c r="D55" s="34">
        <f>($B55/$D$7)^(1/$D$29)-1+$C$7*$K$2</f>
        <v>2.788285660288628E-2</v>
      </c>
      <c r="E55" s="34">
        <f>($B55/$D$7)^(1/$E$29)-1+$C$7*$K$2</f>
        <v>4.7953453541241836E-2</v>
      </c>
      <c r="F55" s="34">
        <f>($B55/$D$7)^(1/$F$29)-1+$C$7*$K$2</f>
        <v>6.329080924911315E-2</v>
      </c>
    </row>
    <row r="56" spans="1:6">
      <c r="A56" s="82">
        <f>B7</f>
        <v>8.2900000000000001E-2</v>
      </c>
      <c r="B56" s="83">
        <f>$E$7*$K$6</f>
        <v>10.865</v>
      </c>
      <c r="C56" s="34">
        <f>($B56/$D$7)^(1/$C$29)-1+$C$7*$K$2</f>
        <v>0.14653376746951222</v>
      </c>
      <c r="D56" s="34">
        <f>($B56/$D$7)^(1/$D$29)-1+$C$7*$K$2</f>
        <v>0.12768644413327371</v>
      </c>
      <c r="E56" s="34">
        <f>($B56/$D$7)^(1/$E$29)-1+$C$7*$K$2</f>
        <v>0.11971328998420397</v>
      </c>
      <c r="F56" s="34">
        <f>($B56/$D$7)^(1/$F$29)-1+$C$7*$K$2</f>
        <v>0.11377404732909138</v>
      </c>
    </row>
    <row r="57" spans="1:6">
      <c r="B57" s="83">
        <f>$E$7*$K$8</f>
        <v>15.210999999999999</v>
      </c>
      <c r="C57" s="34">
        <f>($B57/$D$7)^(1/$C$29)-1+$C$7*$K$2</f>
        <v>0.27073981873582298</v>
      </c>
      <c r="D57" s="34">
        <f>($B57/$D$7)^(1/$D$29)-1+$C$7*$K$2</f>
        <v>0.19922060311816472</v>
      </c>
      <c r="E57" s="34">
        <f>($B57/$D$7)^(1/$E$29)-1+$C$7*$K$2</f>
        <v>0.16992297589982333</v>
      </c>
      <c r="F57" s="34">
        <f>($B57/$D$7)^(1/$F$29)-1+$C$7*$K$2</f>
        <v>0.14846337416029012</v>
      </c>
    </row>
    <row r="58" spans="1:6">
      <c r="B58" s="83">
        <f>$E$7*$K$10</f>
        <v>21.73</v>
      </c>
      <c r="C58" s="34">
        <f>($B58/$D$7)^(1/$C$29)-1+$C$7*$K$2</f>
        <v>0.41853692700813006</v>
      </c>
      <c r="D58" s="34">
        <f>($B58/$D$7)^(1/$D$29)-1+$C$7*$K$2</f>
        <v>0.28049429291089401</v>
      </c>
      <c r="E58" s="34">
        <f>($B58/$D$7)^(1/$E$29)-1+$C$7*$K$2</f>
        <v>0.22584954594969922</v>
      </c>
      <c r="F58" s="34">
        <f>($B58/$D$7)^(1/$F$29)-1+$C$7*$K$2</f>
        <v>0.18653253226220537</v>
      </c>
    </row>
    <row r="59" spans="1:6">
      <c r="C59" s="34"/>
      <c r="D59" s="34"/>
      <c r="E59" s="34"/>
      <c r="F59" s="34"/>
    </row>
    <row r="60" spans="1:6">
      <c r="A60" s="83" t="s">
        <v>7490</v>
      </c>
      <c r="B60" s="83">
        <f>$E$8*$K$4</f>
        <v>15.741</v>
      </c>
      <c r="C60" s="34">
        <f>($B60/$D$8)^(1/$C$29)-1+$C$8*$K$2</f>
        <v>-2.9319600467357931E-3</v>
      </c>
      <c r="D60" s="34">
        <f>($B60/$D$8)^(1/$D$29)-1+$C$8*$K$2</f>
        <v>4.2823479287519395E-2</v>
      </c>
      <c r="E60" s="34">
        <f>($B60/$D$8)^(1/$E$29)-1+$C$8*$K$2</f>
        <v>6.315325703012753E-2</v>
      </c>
      <c r="F60" s="34">
        <f>($B60/$D$8)^(1/$F$29)-1+$C$8*$K$2</f>
        <v>7.8692685917436278E-2</v>
      </c>
    </row>
    <row r="61" spans="1:6">
      <c r="A61" s="82">
        <f>B8</f>
        <v>7.2749999999999995E-2</v>
      </c>
      <c r="B61" s="83">
        <f>$E$8*$K$6</f>
        <v>26.234999999999999</v>
      </c>
      <c r="C61" s="34">
        <f>($B61/$D$8)^(1/$C$29)-1+$C$8*$K$2</f>
        <v>0.16063095225839108</v>
      </c>
      <c r="D61" s="34">
        <f>($B61/$D$8)^(1/$D$29)-1+$C$8*$K$2</f>
        <v>0.14252387010829737</v>
      </c>
      <c r="E61" s="34">
        <f>($B61/$D$8)^(1/$E$29)-1+$C$8*$K$2</f>
        <v>0.13486008597857357</v>
      </c>
      <c r="F61" s="34">
        <f>($B61/$D$8)^(1/$F$29)-1+$C$8*$K$2</f>
        <v>0.12914981746361232</v>
      </c>
    </row>
    <row r="62" spans="1:6">
      <c r="B62" s="83">
        <f>$E$8*$K$8</f>
        <v>36.728999999999999</v>
      </c>
      <c r="C62" s="34">
        <f>($B62/$D$8)^(1/$C$29)-1+$C$8*$K$2</f>
        <v>0.28462302929452576</v>
      </c>
      <c r="D62" s="34">
        <f>($B62/$D$8)^(1/$D$29)-1+$C$8*$K$2</f>
        <v>0.21398406291607408</v>
      </c>
      <c r="E62" s="34">
        <f>($B62/$D$8)^(1/$E$29)-1+$C$8*$K$2</f>
        <v>0.18503268304640907</v>
      </c>
      <c r="F62" s="34">
        <f>($B62/$D$8)^(1/$F$29)-1+$C$8*$K$2</f>
        <v>0.163821205309161</v>
      </c>
    </row>
    <row r="63" spans="1:6">
      <c r="B63" s="83">
        <f>$E$8*$K$10</f>
        <v>52.47</v>
      </c>
      <c r="C63" s="34">
        <f>($B63/$D$8)^(1/$C$29)-1+$C$8*$K$2</f>
        <v>0.43216552217456794</v>
      </c>
      <c r="D63" s="34">
        <f>($B63/$D$8)^(1/$D$29)-1+$C$8*$K$2</f>
        <v>0.29517371587634122</v>
      </c>
      <c r="E63" s="34">
        <f>($B63/$D$8)^(1/$E$29)-1+$C$8*$K$2</f>
        <v>0.24091794130542543</v>
      </c>
      <c r="F63" s="34">
        <f>($B63/$D$8)^(1/$F$29)-1+$C$8*$K$2</f>
        <v>0.20187067660411606</v>
      </c>
    </row>
    <row r="64" spans="1:6">
      <c r="C64" s="34"/>
      <c r="D64" s="34"/>
      <c r="E64" s="34"/>
      <c r="F64" s="34"/>
    </row>
    <row r="65" spans="1:6">
      <c r="A65" s="83" t="s">
        <v>7491</v>
      </c>
      <c r="B65" s="83">
        <f>$E$9*$K$4</f>
        <v>22.326000000000001</v>
      </c>
      <c r="C65" s="34">
        <f>($B65/$D$9)^(1/$C$29)-1+$C$9*$K$2</f>
        <v>-8.3125995660171537E-4</v>
      </c>
      <c r="D65" s="34">
        <f>($B65/$D$9)^(1/$D$29)-1+$C$9*$K$2</f>
        <v>2.8271321460996091E-2</v>
      </c>
      <c r="E65" s="34">
        <f>($B65/$D$9)^(1/$E$29)-1+$C$9*$K$2</f>
        <v>4.1022337497930939E-2</v>
      </c>
      <c r="F65" s="34">
        <f>($B65/$D$9)^(1/$F$29)-1+$C$9*$K$2</f>
        <v>5.0697246278805119E-2</v>
      </c>
    </row>
    <row r="66" spans="1:6">
      <c r="A66" s="82">
        <f>B9</f>
        <v>6.1076224999999998E-2</v>
      </c>
      <c r="B66" s="83">
        <f>$E$9*$K$6</f>
        <v>37.21</v>
      </c>
      <c r="C66" s="34">
        <f>($B66/$D$9)^(1/$C$29)-1+$C$9*$K$2</f>
        <v>0.17097380321348088</v>
      </c>
      <c r="D66" s="34">
        <f>($B66/$D$9)^(1/$D$29)-1+$C$9*$K$2</f>
        <v>0.13095644619740576</v>
      </c>
      <c r="E66" s="34">
        <f>($B66/$D$9)^(1/$E$29)-1+$C$9*$K$2</f>
        <v>0.11425604126697975</v>
      </c>
      <c r="F66" s="34">
        <f>($B66/$D$9)^(1/$F$29)-1+$C$9*$K$2</f>
        <v>0.10190407667434309</v>
      </c>
    </row>
    <row r="67" spans="1:6">
      <c r="B67" s="83">
        <f>$E$9*$K$8</f>
        <v>52.094000000000001</v>
      </c>
      <c r="C67" s="34">
        <f>($B67/$D$9)^(1/$C$29)-1+$C$9*$K$2</f>
        <v>0.3012140045376237</v>
      </c>
      <c r="D67" s="34">
        <f>($B67/$D$9)^(1/$D$29)-1+$C$9*$K$2</f>
        <v>0.20455594517374442</v>
      </c>
      <c r="E67" s="34">
        <f>($B67/$D$9)^(1/$E$29)-1+$C$9*$K$2</f>
        <v>0.16549697835584998</v>
      </c>
      <c r="F67" s="34">
        <f>($B67/$D$9)^(1/$F$29)-1+$C$9*$K$2</f>
        <v>0.13709061666542732</v>
      </c>
    </row>
    <row r="68" spans="1:6">
      <c r="B68" s="83">
        <f>$E$9*$K$10</f>
        <v>74.42</v>
      </c>
      <c r="C68" s="34">
        <f>($B68/$D$9)^(1/$C$29)-1+$C$9*$K$2</f>
        <v>0.45619135821936396</v>
      </c>
      <c r="D68" s="34">
        <f>($B68/$D$9)^(1/$D$29)-1+$C$9*$K$2</f>
        <v>0.28817617547472119</v>
      </c>
      <c r="E68" s="34">
        <f>($B68/$D$9)^(1/$E$29)-1+$C$9*$K$2</f>
        <v>0.22257221802849059</v>
      </c>
      <c r="F68" s="34">
        <f>($B68/$D$9)^(1/$F$29)-1+$C$9*$K$2</f>
        <v>0.17570543212431966</v>
      </c>
    </row>
    <row r="69" spans="1:6">
      <c r="C69" s="34"/>
      <c r="D69" s="34"/>
      <c r="E69" s="34"/>
      <c r="F69" s="34"/>
    </row>
    <row r="70" spans="1:6">
      <c r="A70" s="83" t="s">
        <v>7492</v>
      </c>
      <c r="B70" s="83">
        <f>$E$10*$K$4</f>
        <v>36.347999999999999</v>
      </c>
      <c r="C70" s="34">
        <f>($B70/$D$10)^(1/$C$29)-1+$C$10*$K$2</f>
        <v>3.9534867803883461E-2</v>
      </c>
      <c r="D70" s="34">
        <f>($B70/$D$10)^(1/$D$29)-1+$C$10*$K$2</f>
        <v>4.6958745941734742E-2</v>
      </c>
      <c r="E70" s="34">
        <f>($B70/$D$10)^(1/$E$29)-1+$C$10*$K$2</f>
        <v>5.0157575823430584E-2</v>
      </c>
      <c r="F70" s="34">
        <f>($B70/$D$10)^(1/$F$29)-1+$C$10*$K$2</f>
        <v>5.2563487836181005E-2</v>
      </c>
    </row>
    <row r="71" spans="1:6">
      <c r="A71" s="82">
        <f>B10</f>
        <v>4.5025412500000001E-2</v>
      </c>
      <c r="B71" s="83">
        <f>$E$10*$K$6</f>
        <v>60.58</v>
      </c>
      <c r="C71" s="34">
        <f>($B71/$D$10)^(1/$C$29)-1+$C$10*$K$2</f>
        <v>0.22170114025142459</v>
      </c>
      <c r="D71" s="34">
        <f>($B71/$D$10)^(1/$D$29)-1+$C$10*$K$2</f>
        <v>0.15331590859745223</v>
      </c>
      <c r="E71" s="34">
        <f>($B71/$D$10)^(1/$E$29)-1+$C$10*$K$2</f>
        <v>0.12525247407864579</v>
      </c>
      <c r="F71" s="34">
        <f>($B71/$D$10)^(1/$F$29)-1+$C$10*$K$2</f>
        <v>0.10467785862743037</v>
      </c>
    </row>
    <row r="72" spans="1:6">
      <c r="B72" s="83">
        <f>$E$10*$K$8</f>
        <v>84.811999999999998</v>
      </c>
      <c r="C72" s="34">
        <f>($B72/$D$10)^(1/$C$29)-1+$C$10*$K$2</f>
        <v>0.35979585969836503</v>
      </c>
      <c r="D72" s="34">
        <f>($B72/$D$10)^(1/$D$29)-1+$C$10*$K$2</f>
        <v>0.2295473384574209</v>
      </c>
      <c r="E72" s="34">
        <f>($B72/$D$10)^(1/$E$29)-1+$C$10*$K$2</f>
        <v>0.17779567152944684</v>
      </c>
      <c r="F72" s="34">
        <f>($B72/$D$10)^(1/$F$29)-1+$C$10*$K$2</f>
        <v>0.14048801086282989</v>
      </c>
    </row>
    <row r="73" spans="1:6">
      <c r="B73" s="83">
        <f>$E$10*$K$10</f>
        <v>121.16</v>
      </c>
      <c r="C73" s="34">
        <f>($B73/$D$10)^(1/$C$29)-1+$C$10*$K$2</f>
        <v>0.52411957817945698</v>
      </c>
      <c r="D73" s="34">
        <f>($B73/$D$10)^(1/$D$29)-1+$C$10*$K$2</f>
        <v>0.31615784273697667</v>
      </c>
      <c r="E73" s="34">
        <f>($B73/$D$10)^(1/$E$29)-1+$C$10*$K$2</f>
        <v>0.23632144716993017</v>
      </c>
      <c r="F73" s="34">
        <f>($B73/$D$10)^(1/$F$29)-1+$C$10*$K$2</f>
        <v>0.17978719800868645</v>
      </c>
    </row>
    <row r="74" spans="1:6">
      <c r="C74" s="34"/>
      <c r="D74" s="34"/>
      <c r="E74" s="34"/>
      <c r="F74" s="34"/>
    </row>
    <row r="75" spans="1:6">
      <c r="A75" s="83" t="s">
        <v>7423</v>
      </c>
      <c r="B75" s="83">
        <f>$E$11*$K$4</f>
        <v>21.338999999999999</v>
      </c>
      <c r="C75" s="34">
        <f>($B75/$D$11)^(1/$C$29)-1+$C$11*$K$2</f>
        <v>-4.7974000293490707E-2</v>
      </c>
      <c r="D75" s="34">
        <f>($B75/$D$11)^(1/$D$29)-1+$C$11*$K$2</f>
        <v>-1.2910779039416315E-3</v>
      </c>
      <c r="E75" s="34">
        <f>($B75/$D$11)^(1/$E$29)-1+$C$11*$K$2</f>
        <v>1.9467671063943356E-2</v>
      </c>
      <c r="F75" s="34">
        <f>($B75/$D$11)^(1/$F$29)-1+$C$11*$K$2</f>
        <v>3.5341795828027142E-2</v>
      </c>
    </row>
    <row r="76" spans="1:6">
      <c r="A76" s="82">
        <f>B11</f>
        <v>6.0069037499999992E-2</v>
      </c>
      <c r="B76" s="83">
        <f>$E$11*$K$6</f>
        <v>35.564999999999998</v>
      </c>
      <c r="C76" s="34">
        <f>($B76/$D$11)^(1/$C$29)-1+$C$11*$K$2</f>
        <v>0.11512167105811948</v>
      </c>
      <c r="D76" s="34">
        <f>($B76/$D$11)^(1/$D$29)-1+$C$11*$K$2</f>
        <v>9.8238330062366971E-2</v>
      </c>
      <c r="E76" s="34">
        <f>($B76/$D$11)^(1/$E$29)-1+$C$11*$K$2</f>
        <v>9.1086639314340065E-2</v>
      </c>
      <c r="F76" s="34">
        <f>($B76/$D$11)^(1/$F$29)-1+$C$11*$K$2</f>
        <v>8.5755642657016004E-2</v>
      </c>
    </row>
    <row r="77" spans="1:6">
      <c r="B77" s="35">
        <f>$E$11*$K$8</f>
        <v>49.790999999999997</v>
      </c>
      <c r="C77" s="34">
        <f>($B77/$D$11)^(1/$C$29)-1+$C$11*$K$2</f>
        <v>0.23875954691572038</v>
      </c>
      <c r="D77" s="34">
        <f>($B77/$D$11)^(1/$D$29)-1+$C$11*$K$2</f>
        <v>0.16957597101606731</v>
      </c>
      <c r="E77" s="34">
        <f>($B77/$D$11)^(1/$E$29)-1+$C$11*$K$2</f>
        <v>0.14119776107409171</v>
      </c>
      <c r="F77" s="34">
        <f>($B77/$D$11)^(1/$F$29)-1+$C$11*$K$2</f>
        <v>0.12039728760653794</v>
      </c>
    </row>
    <row r="78" spans="1:6">
      <c r="A78" s="82"/>
      <c r="B78" s="35">
        <f>$E$11*$K$10</f>
        <v>71.13</v>
      </c>
      <c r="C78" s="34">
        <f>($B78/$D$11)^(1/$C$29)-1+$C$11*$K$2</f>
        <v>0.38588056347154026</v>
      </c>
      <c r="D78" s="34">
        <f>($B78/$D$11)^(1/$D$29)-1+$C$11*$K$2</f>
        <v>0.2506263864216744</v>
      </c>
      <c r="E78" s="34">
        <f>($B78/$D$11)^(1/$E$29)-1+$C$11*$K$2</f>
        <v>0.19701454443506455</v>
      </c>
      <c r="F78" s="34">
        <f>($B78/$D$11)^(1/$F$29)-1+$C$11*$K$2</f>
        <v>0.15841411811210099</v>
      </c>
    </row>
    <row r="79" spans="1:6">
      <c r="B79" s="35"/>
      <c r="C79" s="34"/>
      <c r="D79" s="34"/>
      <c r="E79" s="34"/>
      <c r="F79" s="34"/>
    </row>
    <row r="80" spans="1:6">
      <c r="A80" s="83" t="s">
        <v>7424</v>
      </c>
      <c r="B80" s="35">
        <f>$E$12*$K$4</f>
        <v>12.422999999999998</v>
      </c>
      <c r="C80" s="34">
        <f>($B80/$D$12)^(1/$C$29)-1+$C$12*$K$2</f>
        <v>-0.22925378613290862</v>
      </c>
      <c r="D80" s="34">
        <f>($B80/$D$12)^(1/$D$29)-1+$C$12*$K$2</f>
        <v>-9.8668593052528647E-2</v>
      </c>
      <c r="E80" s="34">
        <f>($B80/$D$12)^(1/$E$29)-1+$C$12*$K$2</f>
        <v>-3.4599224925193545E-2</v>
      </c>
      <c r="F80" s="34">
        <f>($B80/$D$12)^(1/$F$29)-1+$C$12*$K$2</f>
        <v>1.7015857971087484E-2</v>
      </c>
    </row>
    <row r="81" spans="1:11">
      <c r="A81" s="82">
        <f>B12</f>
        <v>-4.4255500000000003E-3</v>
      </c>
      <c r="B81" s="35">
        <f>$E$12*$K$6</f>
        <v>20.704999999999998</v>
      </c>
      <c r="C81" s="34">
        <f>($B81/$D$12)^(1/$C$29)-1+$C$12*$K$2</f>
        <v>-0.11412143903114771</v>
      </c>
      <c r="D81" s="34">
        <f>($B81/$D$12)^(1/$D$29)-1+$C$12*$K$2</f>
        <v>-1.7907093369801591E-2</v>
      </c>
      <c r="E81" s="34">
        <f>($B81/$D$12)^(1/$E$29)-1+$C$12*$K$2</f>
        <v>2.7089918755256098E-2</v>
      </c>
      <c r="F81" s="34">
        <f>($B81/$D$12)^(1/$F$29)-1+$C$12*$K$2</f>
        <v>6.2428452471915169E-2</v>
      </c>
    </row>
    <row r="82" spans="1:11">
      <c r="A82" s="82"/>
      <c r="B82" s="35">
        <f>$E$12*$K$8</f>
        <v>28.986999999999995</v>
      </c>
      <c r="C82" s="34">
        <f>($B82/$D$12)^(1/$C$29)-1+$C$12*$K$2</f>
        <v>-2.6843102823966875E-2</v>
      </c>
      <c r="D82" s="34">
        <f>($B82/$D$12)^(1/$D$29)-1+$C$12*$K$2</f>
        <v>3.9978661051635472E-2</v>
      </c>
      <c r="E82" s="34">
        <f>($B82/$D$12)^(1/$E$29)-1+$C$12*$K$2</f>
        <v>7.0253235202623471E-2</v>
      </c>
      <c r="F82" s="34">
        <f>($B82/$D$12)^(1/$F$29)-1+$C$12*$K$2</f>
        <v>9.3633509691029876E-2</v>
      </c>
    </row>
    <row r="83" spans="1:11">
      <c r="B83" s="35">
        <f>$E$12*$K$10</f>
        <v>41.41</v>
      </c>
      <c r="C83" s="34">
        <f>($B83/$D$12)^(1/$C$29)-1+$C$12*$K$2</f>
        <v>7.7012430579809971E-2</v>
      </c>
      <c r="D83" s="34">
        <f>($B83/$D$12)^(1/$D$29)-1+$C$12*$K$2</f>
        <v>0.10574568641443691</v>
      </c>
      <c r="E83" s="34">
        <f>($B83/$D$12)^(1/$E$29)-1+$C$12*$K$2</f>
        <v>0.1183311348520156</v>
      </c>
      <c r="F83" s="34">
        <f>($B83/$D$12)^(1/$F$29)-1+$C$12*$K$2</f>
        <v>0.12787892075462456</v>
      </c>
    </row>
    <row r="84" spans="1:11">
      <c r="B84" s="35"/>
      <c r="C84" s="34"/>
      <c r="D84" s="34"/>
      <c r="E84" s="34"/>
      <c r="F84" s="34"/>
    </row>
    <row r="85" spans="1:11">
      <c r="A85" s="83" t="s">
        <v>7493</v>
      </c>
      <c r="B85" s="35">
        <f>$E$13*$K$4</f>
        <v>1.05</v>
      </c>
      <c r="C85" s="34">
        <f>($B85/$D$13)^(1/$C$29)-1+$C$13*$K$2</f>
        <v>0.12256551715462309</v>
      </c>
      <c r="D85" s="34">
        <f>($B85/$D$13)^(1/$D$29)-1+$C$13*$K$2</f>
        <v>0.11112401473023852</v>
      </c>
      <c r="E85" s="34">
        <f>($B85/$D$13)^(1/$E$29)-1+$C$13*$K$2</f>
        <v>0.10625956514596606</v>
      </c>
      <c r="F85" s="34">
        <f>($B85/$D$13)^(1/$F$29)-1+$C$13*$K$2</f>
        <v>0.10262650437711056</v>
      </c>
    </row>
    <row r="86" spans="1:11">
      <c r="A86" s="82">
        <f>B13</f>
        <v>2.4E-2</v>
      </c>
      <c r="B86" s="35">
        <f>$E$13*$K$6</f>
        <v>1.75</v>
      </c>
      <c r="C86" s="34">
        <f>($B86/$D$13)^(1/$C$29)-1+$C$13*$K$2</f>
        <v>0.31346214084524643</v>
      </c>
      <c r="D86" s="34">
        <f>($B86/$D$13)^(1/$D$29)-1+$C$13*$K$2</f>
        <v>0.22051081235614051</v>
      </c>
      <c r="E86" s="34">
        <f>($B86/$D$13)^(1/$E$29)-1+$C$13*$K$2</f>
        <v>0.18287625917117695</v>
      </c>
      <c r="F86" s="34">
        <f>($B86/$D$13)^(1/$F$29)-1+$C$13*$K$2</f>
        <v>0.15547791475943779</v>
      </c>
    </row>
    <row r="87" spans="1:11">
      <c r="B87" s="35">
        <f>$E$13*$K$8</f>
        <v>2.4499999999999997</v>
      </c>
      <c r="C87" s="34">
        <f>($B87/$D$13)^(1/$C$29)-1+$C$13*$K$2</f>
        <v>0.45817507446206779</v>
      </c>
      <c r="D87" s="34">
        <f>($B87/$D$13)^(1/$D$29)-1+$C$13*$K$2</f>
        <v>0.29891373118745895</v>
      </c>
      <c r="E87" s="34">
        <f>($B87/$D$13)^(1/$E$29)-1+$C$13*$K$2</f>
        <v>0.2364842428788409</v>
      </c>
      <c r="F87" s="34">
        <f>($B87/$D$13)^(1/$F$29)-1+$C$13*$K$2</f>
        <v>0.19179452038877226</v>
      </c>
    </row>
    <row r="88" spans="1:11">
      <c r="B88" s="35">
        <f>$E$13*$K$10</f>
        <v>3.5</v>
      </c>
      <c r="C88" s="34">
        <f>($B88/$D$13)^(1/$C$29)-1+$C$13*$K$2</f>
        <v>0.63037403659081359</v>
      </c>
      <c r="D88" s="34">
        <f>($B88/$D$13)^(1/$D$29)-1+$C$13*$K$2</f>
        <v>0.38799137736887274</v>
      </c>
      <c r="E88" s="34">
        <f>($B88/$D$13)^(1/$E$29)-1+$C$13*$K$2</f>
        <v>0.29619604153652984</v>
      </c>
      <c r="F88" s="34">
        <f>($B88/$D$13)^(1/$F$29)-1+$C$13*$K$2</f>
        <v>0.23164950541501955</v>
      </c>
    </row>
    <row r="89" spans="1:11">
      <c r="B89" s="35"/>
      <c r="C89" s="34"/>
      <c r="D89" s="34"/>
      <c r="E89" s="34"/>
      <c r="F89" s="34"/>
    </row>
    <row r="90" spans="1:11">
      <c r="A90" s="82" t="s">
        <v>7426</v>
      </c>
      <c r="B90" s="35">
        <f>$E$14*$K$4</f>
        <v>1.512</v>
      </c>
      <c r="C90" s="34">
        <f>($B90/$D$14)^(1/$C$29)-1+$C$14*$K$2</f>
        <v>6.5117603208356578E-2</v>
      </c>
      <c r="D90" s="34">
        <f>($B90/$D$14)^(1/$D$29)-1+$C$14*$K$2</f>
        <v>5.3705752489397018E-2</v>
      </c>
      <c r="E90" s="34">
        <f>($B90/$D$14)^(1/$E$29)-1+$C$14*$K$2</f>
        <v>4.885381117606713E-2</v>
      </c>
      <c r="F90" s="34">
        <f>($B90/$D$14)^(1/$F$29)-1+$C$14*$K$2</f>
        <v>4.523005378017475E-2</v>
      </c>
    </row>
    <row r="91" spans="1:11">
      <c r="A91" s="82">
        <f>B14</f>
        <v>3.1965149999999998E-2</v>
      </c>
      <c r="B91" s="35">
        <f>$E$14*$K$6</f>
        <v>2.52</v>
      </c>
      <c r="C91" s="34">
        <f>($B91/$D$14)^(1/$C$29)-1+$C$14*$K$2</f>
        <v>0.25600069180282004</v>
      </c>
      <c r="D91" s="34">
        <f>($B91/$D$14)^(1/$D$29)-1+$C$14*$K$2</f>
        <v>0.16308789655425071</v>
      </c>
      <c r="E91" s="34">
        <f>($B91/$D$14)^(1/$E$29)-1+$C$14*$K$2</f>
        <v>0.12546817701074164</v>
      </c>
      <c r="F91" s="34">
        <f>($B91/$D$14)^(1/$F$29)-1+$C$14*$K$2</f>
        <v>9.8080339941453931E-2</v>
      </c>
    </row>
    <row r="92" spans="1:11">
      <c r="B92" s="35">
        <f>$E$14*$K$8</f>
        <v>3.5279999999999996</v>
      </c>
      <c r="C92" s="34">
        <f>($B92/$D$14)^(1/$C$29)-1+$C$14*$K$2</f>
        <v>0.40070336487425162</v>
      </c>
      <c r="D92" s="34">
        <f>($B92/$D$14)^(1/$D$29)-1+$C$14*$K$2</f>
        <v>0.24148747994859654</v>
      </c>
      <c r="E92" s="34">
        <f>($B92/$D$14)^(1/$E$29)-1+$C$14*$K$2</f>
        <v>0.17907453170527832</v>
      </c>
      <c r="F92" s="34">
        <f>($B92/$D$14)^(1/$F$29)-1+$C$14*$K$2</f>
        <v>0.1343961730674218</v>
      </c>
    </row>
    <row r="93" spans="1:11">
      <c r="B93" s="35">
        <f>$E$14*$K$10</f>
        <v>5.04</v>
      </c>
      <c r="C93" s="34">
        <f>($B93/$D$14)^(1/$C$29)-1+$C$14*$K$2</f>
        <v>0.57289011762251729</v>
      </c>
      <c r="D93" s="34">
        <f>($B93/$D$14)^(1/$D$29)-1+$C$14*$K$2</f>
        <v>0.33056133656606368</v>
      </c>
      <c r="E93" s="34">
        <f>($B93/$D$14)^(1/$E$29)-1+$C$14*$K$2</f>
        <v>0.23878451587010374</v>
      </c>
      <c r="F93" s="34">
        <f>($B93/$D$14)^(1/$F$29)-1+$C$14*$K$2</f>
        <v>0.17425031032418292</v>
      </c>
    </row>
    <row r="94" spans="1:11">
      <c r="A94" s="82"/>
      <c r="B94" s="35"/>
      <c r="C94" s="34"/>
      <c r="D94" s="34"/>
      <c r="E94" s="34"/>
      <c r="F94" s="34"/>
      <c r="H94" s="34"/>
      <c r="I94" s="34"/>
      <c r="J94" s="34"/>
      <c r="K94" s="34"/>
    </row>
    <row r="95" spans="1:11">
      <c r="A95" s="83" t="s">
        <v>7427</v>
      </c>
      <c r="B95" s="35">
        <f>$E$15*$K$4</f>
        <v>4.3380000000000001</v>
      </c>
      <c r="C95" s="34">
        <f>($B95/$D$15)^(1/$C$29)-1+$C$15*$K$2</f>
        <v>-0.13765264112895714</v>
      </c>
      <c r="D95" s="34">
        <f>($B95/$D$15)^(1/$D$29)-1+$C$15*$K$2</f>
        <v>-5.5693763562341458E-2</v>
      </c>
      <c r="E95" s="34">
        <f>($B95/$D$15)^(1/$E$29)-1+$C$15*$K$2</f>
        <v>-1.7978533544648734E-2</v>
      </c>
      <c r="F95" s="34">
        <f>($B95/$D$15)^(1/$F$29)-1+$C$15*$K$2</f>
        <v>1.1388652748139716E-2</v>
      </c>
      <c r="H95" s="34"/>
      <c r="I95" s="34"/>
      <c r="J95" s="34"/>
      <c r="K95" s="34"/>
    </row>
    <row r="96" spans="1:11">
      <c r="A96" s="82">
        <f>B15</f>
        <v>8.0000000000000002E-3</v>
      </c>
      <c r="B96" s="35">
        <f>$E$15*$K$6</f>
        <v>7.23</v>
      </c>
      <c r="C96" s="34">
        <f>($B96/$D$15)^(1/$C$29)-1+$C$15*$K$2</f>
        <v>6.8885257757611562E-3</v>
      </c>
      <c r="D96" s="34">
        <f>($B96/$D$15)^(1/$D$29)-1+$C$15*$K$2</f>
        <v>3.6878502267930768E-2</v>
      </c>
      <c r="E96" s="34">
        <f>($B96/$D$15)^(1/$E$29)-1+$C$15*$K$2</f>
        <v>5.0027761047074848E-2</v>
      </c>
      <c r="F96" s="34">
        <f>($B96/$D$15)^(1/$F$29)-1+$C$15*$K$2</f>
        <v>6.0008610157633924E-2</v>
      </c>
      <c r="H96" s="34"/>
      <c r="I96" s="34"/>
      <c r="J96" s="34"/>
      <c r="K96" s="34"/>
    </row>
    <row r="97" spans="1:11">
      <c r="B97" s="35">
        <f>$E$15*$K$8</f>
        <v>10.122</v>
      </c>
      <c r="C97" s="34">
        <f>($B97/$D$15)^(1/$C$29)-1+$C$15*$K$2</f>
        <v>0.11646079524177055</v>
      </c>
      <c r="D97" s="34">
        <f>($B97/$D$15)^(1/$D$29)-1+$C$15*$K$2</f>
        <v>0.10322961594385982</v>
      </c>
      <c r="E97" s="34">
        <f>($B97/$D$15)^(1/$E$29)-1+$C$15*$K$2</f>
        <v>9.7611128861041174E-2</v>
      </c>
      <c r="F97" s="34">
        <f>($B97/$D$15)^(1/$F$29)-1+$C$15*$K$2</f>
        <v>9.3417592173108521E-2</v>
      </c>
      <c r="H97" s="34"/>
      <c r="I97" s="34"/>
      <c r="J97" s="34"/>
      <c r="K97" s="34"/>
    </row>
    <row r="98" spans="1:11">
      <c r="A98" s="82"/>
      <c r="B98" s="35">
        <f>$E$15*$K$10</f>
        <v>14.46</v>
      </c>
      <c r="C98" s="34">
        <f>($B98/$D$15)^(1/$C$29)-1+$C$15*$K$2</f>
        <v>0.24684465664629707</v>
      </c>
      <c r="D98" s="34">
        <f>($B98/$D$15)^(1/$D$29)-1+$C$15*$K$2</f>
        <v>0.17861457757370969</v>
      </c>
      <c r="E98" s="34">
        <f>($B98/$D$15)^(1/$E$29)-1+$C$15*$K$2</f>
        <v>0.15061234774396881</v>
      </c>
      <c r="F98" s="34">
        <f>($B98/$D$15)^(1/$F$29)-1+$C$15*$K$2</f>
        <v>0.13008165961264317</v>
      </c>
    </row>
    <row r="99" spans="1:11">
      <c r="B99" s="35"/>
      <c r="C99" s="34"/>
      <c r="D99" s="34"/>
      <c r="E99" s="34"/>
      <c r="F99" s="34"/>
    </row>
    <row r="100" spans="1:11">
      <c r="A100" s="83" t="s">
        <v>7298</v>
      </c>
      <c r="B100" s="83">
        <v>1</v>
      </c>
      <c r="C100" s="34">
        <f t="shared" ref="C100:F103" si="6">$L$4</f>
        <v>6.5000000000000002E-2</v>
      </c>
      <c r="D100" s="34">
        <f t="shared" si="6"/>
        <v>6.5000000000000002E-2</v>
      </c>
      <c r="E100" s="34">
        <f t="shared" si="6"/>
        <v>6.5000000000000002E-2</v>
      </c>
      <c r="F100" s="34">
        <f t="shared" si="6"/>
        <v>6.5000000000000002E-2</v>
      </c>
    </row>
    <row r="101" spans="1:11">
      <c r="A101" s="82">
        <f>B16</f>
        <v>2.4E-2</v>
      </c>
      <c r="B101" s="83">
        <v>1</v>
      </c>
      <c r="C101" s="34">
        <f t="shared" si="6"/>
        <v>6.5000000000000002E-2</v>
      </c>
      <c r="D101" s="34">
        <f t="shared" si="6"/>
        <v>6.5000000000000002E-2</v>
      </c>
      <c r="E101" s="34">
        <f t="shared" si="6"/>
        <v>6.5000000000000002E-2</v>
      </c>
      <c r="F101" s="34">
        <f t="shared" si="6"/>
        <v>6.5000000000000002E-2</v>
      </c>
    </row>
    <row r="102" spans="1:11">
      <c r="A102" s="82" t="s">
        <v>7498</v>
      </c>
      <c r="B102" s="83">
        <v>1</v>
      </c>
      <c r="C102" s="34">
        <f t="shared" si="6"/>
        <v>6.5000000000000002E-2</v>
      </c>
      <c r="D102" s="34">
        <f t="shared" si="6"/>
        <v>6.5000000000000002E-2</v>
      </c>
      <c r="E102" s="34">
        <f t="shared" si="6"/>
        <v>6.5000000000000002E-2</v>
      </c>
      <c r="F102" s="34">
        <f t="shared" si="6"/>
        <v>6.5000000000000002E-2</v>
      </c>
    </row>
    <row r="103" spans="1:11">
      <c r="B103" s="83">
        <v>1</v>
      </c>
      <c r="C103" s="34">
        <f t="shared" si="6"/>
        <v>6.5000000000000002E-2</v>
      </c>
      <c r="D103" s="34">
        <f t="shared" si="6"/>
        <v>6.5000000000000002E-2</v>
      </c>
      <c r="E103" s="34">
        <f t="shared" si="6"/>
        <v>6.5000000000000002E-2</v>
      </c>
      <c r="F103" s="34">
        <f t="shared" si="6"/>
        <v>6.5000000000000002E-2</v>
      </c>
    </row>
    <row r="104" spans="1:11">
      <c r="C104" s="34"/>
      <c r="D104" s="34"/>
      <c r="E104" s="34"/>
      <c r="F104" s="34"/>
    </row>
    <row r="105" spans="1:11">
      <c r="A105" s="83" t="s">
        <v>70</v>
      </c>
      <c r="B105" s="35">
        <f>$E$17*$K$4</f>
        <v>7.4099999999999993</v>
      </c>
      <c r="C105" s="34">
        <f>($B105/$D$17)^(1/$C$29)-1+$C$17*$K$2</f>
        <v>-0.21428584361451786</v>
      </c>
      <c r="D105" s="34">
        <f>($B105/$D$17)^(1/$D$29)-1+$C$17*$K$2</f>
        <v>-0.11487604344028379</v>
      </c>
      <c r="E105" s="34">
        <f>($B105/$D$17)^(1/$E$29)-1+$C$17*$K$2</f>
        <v>-6.8204602771281153E-2</v>
      </c>
      <c r="F105" s="34">
        <f>($B105/$D$17)^(1/$F$29)-1+$C$17*$K$2</f>
        <v>-3.1475885600833142E-2</v>
      </c>
    </row>
    <row r="106" spans="1:11">
      <c r="A106" s="82">
        <f>B17</f>
        <v>2.8250000000000001E-2</v>
      </c>
      <c r="B106" s="35">
        <f>$E$17*$K$6</f>
        <v>12.35</v>
      </c>
      <c r="C106" s="34">
        <f t="shared" ref="C106:C108" si="7">($B106/$D$17)^(1/$C$29)-1+$C$17*$K$2</f>
        <v>-7.9637121017917867E-2</v>
      </c>
      <c r="D106" s="34">
        <f t="shared" ref="D106:D108" si="8">($B106/$D$17)^(1/$D$29)-1+$C$17*$K$2</f>
        <v>-2.6158950510438705E-2</v>
      </c>
      <c r="E106" s="34">
        <f t="shared" ref="E106:E108" si="9">($B106/$D$17)^(1/$E$29)-1+$C$17*$K$2</f>
        <v>-2.2335081669520029E-3</v>
      </c>
      <c r="F106" s="34">
        <f t="shared" ref="F106:F108" si="10">($B106/$D$17)^(1/$F$29)-1+$C$17*$K$2</f>
        <v>1.6120916912685135E-2</v>
      </c>
    </row>
    <row r="107" spans="1:11">
      <c r="A107" s="83" t="s">
        <v>7499</v>
      </c>
      <c r="B107" s="35">
        <f>$E$17*$K$8</f>
        <v>17.29</v>
      </c>
      <c r="C107" s="34">
        <f t="shared" si="7"/>
        <v>2.2435986813944986E-2</v>
      </c>
      <c r="D107" s="34">
        <f t="shared" si="8"/>
        <v>3.7428970398602823E-2</v>
      </c>
      <c r="E107" s="34">
        <f t="shared" si="9"/>
        <v>4.3925849264496497E-2</v>
      </c>
      <c r="F107" s="34">
        <f t="shared" si="10"/>
        <v>4.8826842707217155E-2</v>
      </c>
    </row>
    <row r="108" spans="1:11">
      <c r="B108" s="35">
        <f>$E$17*$K$10</f>
        <v>24.7</v>
      </c>
      <c r="C108" s="34">
        <f t="shared" si="7"/>
        <v>0.14389633448710726</v>
      </c>
      <c r="D108" s="34">
        <f t="shared" si="8"/>
        <v>0.10967452457667892</v>
      </c>
      <c r="E108" s="34">
        <f t="shared" si="9"/>
        <v>9.5340919679109182E-2</v>
      </c>
      <c r="F108" s="34">
        <f t="shared" si="10"/>
        <v>8.4719354141648995E-2</v>
      </c>
    </row>
    <row r="109" spans="1:11">
      <c r="B109" s="35"/>
      <c r="C109" s="34"/>
      <c r="D109" s="34"/>
      <c r="E109" s="34"/>
      <c r="F109" s="34"/>
    </row>
    <row r="110" spans="1:11">
      <c r="A110" s="82" t="s">
        <v>7494</v>
      </c>
      <c r="B110" s="83">
        <v>1</v>
      </c>
      <c r="C110" s="34">
        <f t="shared" ref="C110:F113" si="11">$L$8</f>
        <v>0.04</v>
      </c>
      <c r="D110" s="34">
        <f t="shared" si="11"/>
        <v>0.04</v>
      </c>
      <c r="E110" s="34">
        <f t="shared" si="11"/>
        <v>0.04</v>
      </c>
      <c r="F110" s="34">
        <f t="shared" si="11"/>
        <v>0.04</v>
      </c>
    </row>
    <row r="111" spans="1:11">
      <c r="A111" s="82">
        <f>B18</f>
        <v>2.4E-2</v>
      </c>
      <c r="B111" s="83">
        <v>1</v>
      </c>
      <c r="C111" s="34">
        <f t="shared" si="11"/>
        <v>0.04</v>
      </c>
      <c r="D111" s="34">
        <f t="shared" si="11"/>
        <v>0.04</v>
      </c>
      <c r="E111" s="34">
        <f t="shared" si="11"/>
        <v>0.04</v>
      </c>
      <c r="F111" s="34">
        <f t="shared" si="11"/>
        <v>0.04</v>
      </c>
    </row>
    <row r="112" spans="1:11">
      <c r="A112" s="83" t="s">
        <v>7500</v>
      </c>
      <c r="B112" s="83">
        <v>1</v>
      </c>
      <c r="C112" s="34">
        <f t="shared" si="11"/>
        <v>0.04</v>
      </c>
      <c r="D112" s="34">
        <f t="shared" si="11"/>
        <v>0.04</v>
      </c>
      <c r="E112" s="34">
        <f t="shared" si="11"/>
        <v>0.04</v>
      </c>
      <c r="F112" s="34">
        <f t="shared" si="11"/>
        <v>0.04</v>
      </c>
    </row>
    <row r="113" spans="1:6">
      <c r="B113" s="83">
        <v>1</v>
      </c>
      <c r="C113" s="34">
        <f t="shared" si="11"/>
        <v>0.04</v>
      </c>
      <c r="D113" s="34">
        <f t="shared" si="11"/>
        <v>0.04</v>
      </c>
      <c r="E113" s="34">
        <f t="shared" si="11"/>
        <v>0.04</v>
      </c>
      <c r="F113" s="34">
        <f t="shared" si="11"/>
        <v>0.04</v>
      </c>
    </row>
    <row r="114" spans="1:6">
      <c r="A114" s="82"/>
      <c r="B114" s="35"/>
      <c r="C114" s="34"/>
      <c r="D114" s="34"/>
      <c r="E114" s="34"/>
      <c r="F114" s="34"/>
    </row>
    <row r="115" spans="1:6">
      <c r="A115" s="83" t="s">
        <v>7428</v>
      </c>
      <c r="B115" s="83">
        <v>1</v>
      </c>
      <c r="C115" s="34">
        <f t="shared" ref="C115:F118" si="12">$L$4</f>
        <v>6.5000000000000002E-2</v>
      </c>
      <c r="D115" s="34">
        <f t="shared" si="12"/>
        <v>6.5000000000000002E-2</v>
      </c>
      <c r="E115" s="34">
        <f t="shared" si="12"/>
        <v>6.5000000000000002E-2</v>
      </c>
      <c r="F115" s="34">
        <f t="shared" si="12"/>
        <v>6.5000000000000002E-2</v>
      </c>
    </row>
    <row r="116" spans="1:6">
      <c r="A116" s="82">
        <f>B19</f>
        <v>8.7999999999999995E-2</v>
      </c>
      <c r="B116" s="83">
        <v>1</v>
      </c>
      <c r="C116" s="34">
        <f t="shared" si="12"/>
        <v>6.5000000000000002E-2</v>
      </c>
      <c r="D116" s="34">
        <f t="shared" si="12"/>
        <v>6.5000000000000002E-2</v>
      </c>
      <c r="E116" s="34">
        <f t="shared" si="12"/>
        <v>6.5000000000000002E-2</v>
      </c>
      <c r="F116" s="34">
        <f t="shared" si="12"/>
        <v>6.5000000000000002E-2</v>
      </c>
    </row>
    <row r="117" spans="1:6">
      <c r="A117" s="83" t="s">
        <v>7498</v>
      </c>
      <c r="B117" s="83">
        <v>1</v>
      </c>
      <c r="C117" s="34">
        <f t="shared" si="12"/>
        <v>6.5000000000000002E-2</v>
      </c>
      <c r="D117" s="34">
        <f t="shared" si="12"/>
        <v>6.5000000000000002E-2</v>
      </c>
      <c r="E117" s="34">
        <f t="shared" si="12"/>
        <v>6.5000000000000002E-2</v>
      </c>
      <c r="F117" s="34">
        <f t="shared" si="12"/>
        <v>6.5000000000000002E-2</v>
      </c>
    </row>
    <row r="118" spans="1:6">
      <c r="A118" s="32"/>
      <c r="B118" s="83">
        <v>1</v>
      </c>
      <c r="C118" s="34">
        <f t="shared" si="12"/>
        <v>6.5000000000000002E-2</v>
      </c>
      <c r="D118" s="34">
        <f t="shared" si="12"/>
        <v>6.5000000000000002E-2</v>
      </c>
      <c r="E118" s="34">
        <f t="shared" si="12"/>
        <v>6.5000000000000002E-2</v>
      </c>
      <c r="F118" s="34">
        <f t="shared" si="12"/>
        <v>6.5000000000000002E-2</v>
      </c>
    </row>
    <row r="119" spans="1:6">
      <c r="A119" s="32"/>
      <c r="C119" s="34"/>
      <c r="D119" s="34"/>
      <c r="E119" s="34"/>
      <c r="F119" s="34"/>
    </row>
    <row r="120" spans="1:6">
      <c r="A120" s="83" t="s">
        <v>7429</v>
      </c>
      <c r="B120" s="83">
        <v>1</v>
      </c>
      <c r="C120" s="34">
        <f t="shared" ref="C120:F123" si="13">$L$2</f>
        <v>3.5000000000000003E-2</v>
      </c>
      <c r="D120" s="34">
        <f t="shared" si="13"/>
        <v>3.5000000000000003E-2</v>
      </c>
      <c r="E120" s="34">
        <f t="shared" si="13"/>
        <v>3.5000000000000003E-2</v>
      </c>
      <c r="F120" s="34">
        <f t="shared" si="13"/>
        <v>3.5000000000000003E-2</v>
      </c>
    </row>
    <row r="121" spans="1:6">
      <c r="A121" s="34">
        <f>B20</f>
        <v>6.4313999999999994E-3</v>
      </c>
      <c r="B121" s="83">
        <v>1</v>
      </c>
      <c r="C121" s="34">
        <f t="shared" si="13"/>
        <v>3.5000000000000003E-2</v>
      </c>
      <c r="D121" s="34">
        <f t="shared" si="13"/>
        <v>3.5000000000000003E-2</v>
      </c>
      <c r="E121" s="34">
        <f t="shared" si="13"/>
        <v>3.5000000000000003E-2</v>
      </c>
      <c r="F121" s="34">
        <f t="shared" si="13"/>
        <v>3.5000000000000003E-2</v>
      </c>
    </row>
    <row r="122" spans="1:6">
      <c r="A122" s="32" t="s">
        <v>7501</v>
      </c>
      <c r="B122" s="83">
        <v>1</v>
      </c>
      <c r="C122" s="34">
        <f t="shared" si="13"/>
        <v>3.5000000000000003E-2</v>
      </c>
      <c r="D122" s="34">
        <f t="shared" si="13"/>
        <v>3.5000000000000003E-2</v>
      </c>
      <c r="E122" s="34">
        <f t="shared" si="13"/>
        <v>3.5000000000000003E-2</v>
      </c>
      <c r="F122" s="34">
        <f t="shared" si="13"/>
        <v>3.5000000000000003E-2</v>
      </c>
    </row>
    <row r="123" spans="1:6">
      <c r="A123" s="32"/>
      <c r="B123" s="83">
        <v>1</v>
      </c>
      <c r="C123" s="34">
        <f t="shared" si="13"/>
        <v>3.5000000000000003E-2</v>
      </c>
      <c r="D123" s="34">
        <f t="shared" si="13"/>
        <v>3.5000000000000003E-2</v>
      </c>
      <c r="E123" s="34">
        <f t="shared" si="13"/>
        <v>3.5000000000000003E-2</v>
      </c>
      <c r="F123" s="34">
        <f t="shared" si="13"/>
        <v>3.5000000000000003E-2</v>
      </c>
    </row>
    <row r="124" spans="1:6">
      <c r="C124" s="34"/>
      <c r="D124" s="34"/>
      <c r="E124" s="34"/>
      <c r="F124" s="34"/>
    </row>
    <row r="125" spans="1:6">
      <c r="A125" s="32" t="s">
        <v>7430</v>
      </c>
      <c r="B125" s="83">
        <v>1</v>
      </c>
      <c r="C125" s="34">
        <f t="shared" ref="C125:F128" si="14">$L$2</f>
        <v>3.5000000000000003E-2</v>
      </c>
      <c r="D125" s="34">
        <f t="shared" si="14"/>
        <v>3.5000000000000003E-2</v>
      </c>
      <c r="E125" s="34">
        <f t="shared" si="14"/>
        <v>3.5000000000000003E-2</v>
      </c>
      <c r="F125" s="34">
        <f t="shared" si="14"/>
        <v>3.5000000000000003E-2</v>
      </c>
    </row>
    <row r="126" spans="1:6">
      <c r="A126" s="34">
        <f>B21</f>
        <v>6.1842449999999993E-2</v>
      </c>
      <c r="B126" s="83">
        <v>1</v>
      </c>
      <c r="C126" s="34">
        <f t="shared" si="14"/>
        <v>3.5000000000000003E-2</v>
      </c>
      <c r="D126" s="34">
        <f t="shared" si="14"/>
        <v>3.5000000000000003E-2</v>
      </c>
      <c r="E126" s="34">
        <f t="shared" si="14"/>
        <v>3.5000000000000003E-2</v>
      </c>
      <c r="F126" s="34">
        <f t="shared" si="14"/>
        <v>3.5000000000000003E-2</v>
      </c>
    </row>
    <row r="127" spans="1:6">
      <c r="A127" s="32" t="s">
        <v>7502</v>
      </c>
      <c r="B127" s="83">
        <v>1</v>
      </c>
      <c r="C127" s="34">
        <f t="shared" si="14"/>
        <v>3.5000000000000003E-2</v>
      </c>
      <c r="D127" s="34">
        <f t="shared" si="14"/>
        <v>3.5000000000000003E-2</v>
      </c>
      <c r="E127" s="34">
        <f t="shared" si="14"/>
        <v>3.5000000000000003E-2</v>
      </c>
      <c r="F127" s="34">
        <f t="shared" si="14"/>
        <v>3.5000000000000003E-2</v>
      </c>
    </row>
    <row r="128" spans="1:6">
      <c r="A128" s="32"/>
      <c r="B128" s="83">
        <v>1</v>
      </c>
      <c r="C128" s="34">
        <f t="shared" si="14"/>
        <v>3.5000000000000003E-2</v>
      </c>
      <c r="D128" s="34">
        <f t="shared" si="14"/>
        <v>3.5000000000000003E-2</v>
      </c>
      <c r="E128" s="34">
        <f t="shared" si="14"/>
        <v>3.5000000000000003E-2</v>
      </c>
      <c r="F128" s="34">
        <f t="shared" si="14"/>
        <v>3.5000000000000003E-2</v>
      </c>
    </row>
  </sheetData>
  <phoneticPr fontId="3" type="noConversion"/>
  <conditionalFormatting sqref="J30:M3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I15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5:I2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F3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F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F4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F4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F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F5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F6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F6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F7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F7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F8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F8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F9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F9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4:K9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C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:I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C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F10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66"/>
  <sheetViews>
    <sheetView workbookViewId="0">
      <selection activeCell="D58" sqref="D58"/>
    </sheetView>
  </sheetViews>
  <sheetFormatPr defaultColWidth="8.875" defaultRowHeight="14.25"/>
  <cols>
    <col min="2" max="2" width="7.5" bestFit="1" customWidth="1"/>
    <col min="3" max="3" width="9" bestFit="1" customWidth="1"/>
    <col min="4" max="4" width="8.5" customWidth="1"/>
    <col min="5" max="5" width="13" bestFit="1" customWidth="1"/>
    <col min="6" max="6" width="9" bestFit="1" customWidth="1"/>
    <col min="7" max="7" width="8.125" bestFit="1" customWidth="1"/>
    <col min="8" max="8" width="7.5" bestFit="1" customWidth="1"/>
    <col min="10" max="10" width="9.125" bestFit="1" customWidth="1"/>
    <col min="11" max="11" width="6.5" bestFit="1" customWidth="1"/>
    <col min="12" max="13" width="7.5" bestFit="1" customWidth="1"/>
  </cols>
  <sheetData>
    <row r="1" spans="1:20">
      <c r="A1" s="45" t="s">
        <v>177</v>
      </c>
      <c r="B1" s="45" t="s">
        <v>34</v>
      </c>
      <c r="C1" s="45" t="s">
        <v>146</v>
      </c>
      <c r="D1" s="45"/>
      <c r="E1" s="45" t="s">
        <v>179</v>
      </c>
      <c r="F1" s="45" t="s">
        <v>178</v>
      </c>
      <c r="G1" s="45"/>
      <c r="H1" s="45"/>
      <c r="K1" s="47" t="s">
        <v>152</v>
      </c>
      <c r="L1" s="47" t="s">
        <v>151</v>
      </c>
      <c r="M1" s="47" t="s">
        <v>153</v>
      </c>
      <c r="N1" s="47" t="s">
        <v>154</v>
      </c>
      <c r="O1" s="47" t="s">
        <v>155</v>
      </c>
      <c r="P1" s="47" t="s">
        <v>156</v>
      </c>
      <c r="Q1" s="47" t="s">
        <v>142</v>
      </c>
      <c r="R1" s="47" t="s">
        <v>157</v>
      </c>
      <c r="S1" s="47" t="s">
        <v>160</v>
      </c>
      <c r="T1" s="47" t="s">
        <v>158</v>
      </c>
    </row>
    <row r="2" spans="1:20">
      <c r="A2" s="25" t="s">
        <v>50</v>
      </c>
      <c r="B2" s="48">
        <f>交易明细!AA15</f>
        <v>8.2900000000000001E-2</v>
      </c>
      <c r="C2" s="49" t="s">
        <v>7561</v>
      </c>
      <c r="D2" s="49"/>
      <c r="E2" s="45" t="s">
        <v>152</v>
      </c>
      <c r="F2" s="46">
        <f>$B$2*K$2+$B$3*K$4+$B$4*K$5+$B$5*K$6+$B$6*K$7+$B$7*K$8+$B$8*K$9+$B$9*K$10+$B$10*K$11+$B$11*K$12+$B$12*K$13+$B13*$K$14</f>
        <v>1.2459343301249998E-2</v>
      </c>
      <c r="G2" s="46"/>
      <c r="H2" s="44"/>
      <c r="J2" s="47" t="s">
        <v>159</v>
      </c>
      <c r="K2" s="18">
        <v>4.82E-2</v>
      </c>
      <c r="L2" s="18">
        <v>0.1021</v>
      </c>
      <c r="M2" s="18">
        <v>0.19900000000000001</v>
      </c>
      <c r="N2" s="18">
        <v>0.1852</v>
      </c>
      <c r="O2" s="18">
        <v>6.5600000000000006E-2</v>
      </c>
      <c r="P2" s="18">
        <v>3.0599999999999999E-2</v>
      </c>
      <c r="Q2" s="18">
        <v>0.26369999999999999</v>
      </c>
      <c r="R2" s="18">
        <v>2.9399999999999999E-2</v>
      </c>
      <c r="S2" s="18">
        <v>0</v>
      </c>
      <c r="T2" s="18">
        <v>7.6300000000000007E-2</v>
      </c>
    </row>
    <row r="3" spans="1:20">
      <c r="A3" s="45" t="s">
        <v>38</v>
      </c>
      <c r="B3" s="48">
        <f>交易明细!AA16</f>
        <v>8.0543625000000004E-3</v>
      </c>
      <c r="C3" s="49" t="s">
        <v>148</v>
      </c>
      <c r="D3" s="49"/>
      <c r="E3" s="45" t="s">
        <v>151</v>
      </c>
      <c r="F3" s="46">
        <f>$B$2*L$2+$B$3*L$4+$B$4*L$5+$B$5*L$6+$B$6*L$7+$B$7*L$8+$B$8*L$9+$B$9*L$10+$B$10*L$11+$B$11*L$12+$B$12*L$13+$B13*$L$14</f>
        <v>6.9322917899999989E-2</v>
      </c>
      <c r="G3" s="46"/>
      <c r="H3" s="44"/>
      <c r="J3" s="54" t="s">
        <v>7287</v>
      </c>
      <c r="K3" s="18">
        <v>9.2799999999999994E-2</v>
      </c>
      <c r="L3" s="18">
        <v>8.14E-2</v>
      </c>
      <c r="M3" s="18">
        <v>0.16070000000000001</v>
      </c>
      <c r="N3" s="18">
        <v>8.6499999999999994E-2</v>
      </c>
      <c r="O3" s="18">
        <v>7.2999999999999995E-2</v>
      </c>
      <c r="P3" s="18">
        <v>4.1500000000000002E-2</v>
      </c>
      <c r="Q3" s="18">
        <v>0.35630000000000001</v>
      </c>
      <c r="R3" s="18">
        <v>5.4100000000000002E-2</v>
      </c>
      <c r="S3" s="18">
        <v>6.3E-3</v>
      </c>
      <c r="T3" s="18">
        <v>4.7399999999999998E-2</v>
      </c>
    </row>
    <row r="4" spans="1:20">
      <c r="A4" s="45" t="s">
        <v>36</v>
      </c>
      <c r="B4" s="48">
        <f>交易明细!AA17</f>
        <v>6.3755074999999994E-2</v>
      </c>
      <c r="C4" s="49" t="s">
        <v>149</v>
      </c>
      <c r="D4" s="49"/>
      <c r="E4" s="45" t="s">
        <v>153</v>
      </c>
      <c r="F4" s="46">
        <f>$B$2*M$2+$B$3*M$4+$B$4*M$5+$B$5*M$6+$B$6*M$7+$B$7*M$8+$B$8*M$9+$B$9*M$10+$B$10*M$11+$B$11*M$12+$B$12*M$13+$B13*$M$14</f>
        <v>0.11851927324749999</v>
      </c>
      <c r="G4" s="46"/>
      <c r="H4" s="44"/>
      <c r="J4" s="47" t="s">
        <v>161</v>
      </c>
      <c r="K4" s="18">
        <v>3.6400000000000002E-2</v>
      </c>
      <c r="L4" s="18">
        <v>4.9099999999999998E-2</v>
      </c>
      <c r="M4" s="18">
        <v>0.1038</v>
      </c>
      <c r="N4" s="18">
        <v>4.7199999999999999E-2</v>
      </c>
      <c r="O4" s="18">
        <v>0.1013</v>
      </c>
      <c r="P4" s="18">
        <v>3.44E-2</v>
      </c>
      <c r="Q4" s="18">
        <v>0.60509999999999997</v>
      </c>
      <c r="R4" s="18">
        <v>1.15E-2</v>
      </c>
      <c r="S4" s="18">
        <v>1.12E-2</v>
      </c>
      <c r="T4" s="18">
        <v>0</v>
      </c>
    </row>
    <row r="5" spans="1:20">
      <c r="A5" s="45" t="s">
        <v>18</v>
      </c>
      <c r="B5" s="48">
        <f>交易明细!AA19</f>
        <v>0.28365731249999998</v>
      </c>
      <c r="C5" s="49" t="s">
        <v>150</v>
      </c>
      <c r="D5" s="49"/>
      <c r="E5" s="45" t="s">
        <v>154</v>
      </c>
      <c r="F5" s="46">
        <f>$B$2*N$2+$B$3*N$4+$B$4*N$5+$B$5*N$6+$B$6*N$7+$B$7*N$8+$B$8*N$9+$B$9*N$10+$B$10*N$11+$B$11*N$12+$B$12*N$13+$B13*$N$14</f>
        <v>9.1015713901250003E-2</v>
      </c>
      <c r="G5" s="46"/>
      <c r="H5" s="44"/>
      <c r="J5" s="47" t="s">
        <v>162</v>
      </c>
      <c r="K5" s="18">
        <v>2.69E-2</v>
      </c>
      <c r="L5" s="18">
        <v>7.0300000000000001E-2</v>
      </c>
      <c r="M5" s="18">
        <v>0.1308</v>
      </c>
      <c r="N5" s="18">
        <v>0.1053</v>
      </c>
      <c r="O5" s="18">
        <v>9.1200000000000003E-2</v>
      </c>
      <c r="P5" s="18">
        <v>6.1199999999999997E-2</v>
      </c>
      <c r="Q5" s="18">
        <v>0.39539999999999997</v>
      </c>
      <c r="R5" s="18">
        <v>8.3000000000000004E-2</v>
      </c>
      <c r="S5" s="18">
        <v>5.1000000000000004E-3</v>
      </c>
      <c r="T5" s="18">
        <v>3.0700000000000002E-2</v>
      </c>
    </row>
    <row r="6" spans="1:20">
      <c r="A6" s="45" t="s">
        <v>19</v>
      </c>
      <c r="B6" s="48">
        <f>交易明细!AA21</f>
        <v>6.5635124999999968E-3</v>
      </c>
      <c r="C6" s="49" t="s">
        <v>164</v>
      </c>
      <c r="D6" s="49"/>
      <c r="E6" s="45" t="s">
        <v>155</v>
      </c>
      <c r="F6" s="46">
        <f>$B$2*O$2+$B$3*O$4+$B$4*O$5+$B$5*O$6+$B$6*O$7+$B$7*O$8+$B$8*O$9+$B$9*O$10+$B$10*O$11+$B$11*O$12+$B$12*O$13+$B13*$O$14</f>
        <v>5.1450161417499994E-2</v>
      </c>
      <c r="G6" s="46"/>
      <c r="H6" s="44"/>
      <c r="J6" s="47" t="s">
        <v>163</v>
      </c>
      <c r="K6" s="18">
        <v>2.2200000000000001E-2</v>
      </c>
      <c r="L6" s="18">
        <v>0.1716</v>
      </c>
      <c r="M6" s="18">
        <v>0.2006</v>
      </c>
      <c r="N6" s="18">
        <v>0.13100000000000001</v>
      </c>
      <c r="O6" s="18">
        <v>8.3000000000000004E-2</v>
      </c>
      <c r="P6" s="18">
        <v>8.5999999999999993E-2</v>
      </c>
      <c r="Q6" s="18">
        <v>9.5500000000000002E-2</v>
      </c>
      <c r="R6" s="18">
        <v>0.17219999999999999</v>
      </c>
      <c r="S6" s="18">
        <v>3.3999999999999998E-3</v>
      </c>
      <c r="T6" s="18">
        <v>3.2000000000000001E-2</v>
      </c>
    </row>
    <row r="7" spans="1:20">
      <c r="A7" s="45" t="s">
        <v>59</v>
      </c>
      <c r="B7" s="48">
        <f>交易明细!AA24</f>
        <v>6.1076224999999998E-2</v>
      </c>
      <c r="C7" s="49" t="s">
        <v>166</v>
      </c>
      <c r="D7" s="49"/>
      <c r="E7" s="45" t="s">
        <v>156</v>
      </c>
      <c r="F7" s="46">
        <f>$B$2*P$2+$B$3*P$4+$B$4*P$5+$B$5*P$6+$B$6*P$7+$B$7*P$8+$B$8*P$9+$B$9*P$10+$B$10*P$11+$B$11*P$12+$B$12*P$13+$B13*$P$14</f>
        <v>0.11578882864250001</v>
      </c>
      <c r="G7" s="46"/>
      <c r="H7" s="44"/>
      <c r="J7" s="47" t="s">
        <v>165</v>
      </c>
      <c r="K7" s="18">
        <v>2.41E-2</v>
      </c>
      <c r="L7" s="18">
        <v>0.16450000000000001</v>
      </c>
      <c r="M7" s="18">
        <v>0.2233</v>
      </c>
      <c r="N7" s="18">
        <v>0.13270000000000001</v>
      </c>
      <c r="O7" s="18">
        <v>6.5699999999999995E-2</v>
      </c>
      <c r="P7" s="18">
        <v>9.8000000000000004E-2</v>
      </c>
      <c r="Q7" s="18">
        <v>4.2900000000000001E-2</v>
      </c>
      <c r="R7" s="18">
        <v>0.22270000000000001</v>
      </c>
      <c r="S7" s="18">
        <v>1.1000000000000001E-3</v>
      </c>
      <c r="T7" s="18">
        <v>2.52E-2</v>
      </c>
    </row>
    <row r="8" spans="1:20">
      <c r="A8" s="25" t="s">
        <v>48</v>
      </c>
      <c r="B8" s="48">
        <f>交易明细!AA27</f>
        <v>3.1965149999999998E-2</v>
      </c>
      <c r="C8" s="49" t="s">
        <v>168</v>
      </c>
      <c r="D8" s="49"/>
      <c r="E8" s="45" t="s">
        <v>142</v>
      </c>
      <c r="F8" s="46">
        <f>$B$2*Q$2+$B$3*Q$4+$B$4*Q$5+$B$5*Q$6+$B$6*Q$7+$B$7*Q$8+$B$8*Q$9+$B$9*Q$10+$B$10*Q$11+$B$11*Q$12+$B$12*Q$13+$B13*$Q$14</f>
        <v>0.18018517281250002</v>
      </c>
      <c r="G8" s="46"/>
      <c r="H8" s="44"/>
      <c r="J8" s="47" t="s">
        <v>170</v>
      </c>
      <c r="K8" s="18">
        <v>0</v>
      </c>
      <c r="L8" s="18">
        <v>0</v>
      </c>
      <c r="M8" s="18">
        <v>0</v>
      </c>
      <c r="N8" s="18">
        <v>7.7000000000000002E-3</v>
      </c>
      <c r="O8" s="18">
        <v>0</v>
      </c>
      <c r="P8" s="18">
        <v>6.9999999999999999E-4</v>
      </c>
      <c r="Q8" s="18">
        <v>0.99070000000000003</v>
      </c>
      <c r="R8" s="18">
        <v>8.0000000000000004E-4</v>
      </c>
      <c r="S8" s="18">
        <v>0</v>
      </c>
      <c r="T8" s="18">
        <v>0</v>
      </c>
    </row>
    <row r="9" spans="1:20">
      <c r="A9" s="25" t="s">
        <v>51</v>
      </c>
      <c r="B9" s="48">
        <f>交易明细!AA33</f>
        <v>2.4E-2</v>
      </c>
      <c r="C9" s="49" t="s">
        <v>147</v>
      </c>
      <c r="D9" s="49"/>
      <c r="E9" s="45" t="s">
        <v>157</v>
      </c>
      <c r="F9" s="46">
        <f>$B$2*R$2+$B$3*R$4+$B$4*R$5+$B$5*R$6+$B$6*R$7+$B$7*R$8+$B$8*R$9+$B$9*R$10+$B$10*R$11+$B$11*R$12+$B$12*R$13+$B13*$R$14</f>
        <v>9.5477935946250009E-2</v>
      </c>
      <c r="G9" s="46"/>
      <c r="H9" s="44"/>
      <c r="J9" s="47" t="s">
        <v>169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1</v>
      </c>
      <c r="R9" s="18">
        <v>0</v>
      </c>
      <c r="S9" s="18">
        <v>0</v>
      </c>
      <c r="T9" s="18">
        <v>0</v>
      </c>
    </row>
    <row r="10" spans="1:20">
      <c r="A10" s="25" t="s">
        <v>52</v>
      </c>
      <c r="B10" s="48">
        <f>交易明细!AA26</f>
        <v>7.2749999999999995E-2</v>
      </c>
      <c r="C10" s="49" t="s">
        <v>171</v>
      </c>
      <c r="D10" s="49"/>
      <c r="E10" s="45" t="s">
        <v>160</v>
      </c>
      <c r="F10" s="46">
        <f>$B$2*S$2+$B$3*S$4+$B$4*S$5+$B$5*S$6+$B$6*S$7+$B$7*S$8+$B$8*S$9+$B$9*S$10+$B$10*S$11+$B$11*S$12+$B$12*S$13+$B13*$S$14</f>
        <v>1.38701446875E-3</v>
      </c>
      <c r="G10" s="46"/>
      <c r="H10" s="44"/>
      <c r="J10" s="47" t="s">
        <v>174</v>
      </c>
      <c r="K10" s="18">
        <v>0</v>
      </c>
      <c r="L10" s="18">
        <v>0</v>
      </c>
      <c r="M10" s="18">
        <v>0</v>
      </c>
      <c r="N10" s="18">
        <v>0.48649999999999999</v>
      </c>
      <c r="O10" s="18">
        <v>0</v>
      </c>
      <c r="P10" s="18">
        <v>0</v>
      </c>
      <c r="Q10" s="18">
        <v>9.9299999999999999E-2</v>
      </c>
      <c r="R10" s="18">
        <v>0.41420000000000001</v>
      </c>
      <c r="S10" s="18">
        <v>0</v>
      </c>
      <c r="T10" s="18">
        <v>0</v>
      </c>
    </row>
    <row r="11" spans="1:20">
      <c r="A11" s="25" t="s">
        <v>49</v>
      </c>
      <c r="B11" s="48">
        <f>交易明细!AA30</f>
        <v>4.5025412500000001E-2</v>
      </c>
      <c r="C11" s="49" t="s">
        <v>173</v>
      </c>
      <c r="D11" s="49"/>
      <c r="E11" s="45" t="s">
        <v>158</v>
      </c>
      <c r="F11" s="46">
        <f>$B$2*T$2+$B$3*T$4+$B$4*T$5+$B$5*T$6+$B$6*T$7+$B$7*T$8+$B$8*T$9+$B$9*T$10+$B$10*T$11+$B$11*T$12+$B$12*T$13+$B13*$T$14</f>
        <v>2.7574535291250001E-2</v>
      </c>
      <c r="G11" s="46"/>
      <c r="H11" s="44"/>
      <c r="J11" s="47" t="s">
        <v>167</v>
      </c>
      <c r="K11" s="18">
        <v>0</v>
      </c>
      <c r="L11" s="18">
        <v>1.2999999999999999E-3</v>
      </c>
      <c r="M11" s="18">
        <v>1E-3</v>
      </c>
      <c r="N11" s="18">
        <v>5.5999999999999999E-3</v>
      </c>
      <c r="O11" s="18">
        <v>8.0699999999999994E-2</v>
      </c>
      <c r="P11" s="18">
        <v>0.89590000000000003</v>
      </c>
      <c r="Q11" s="18">
        <v>0</v>
      </c>
      <c r="R11" s="18">
        <v>1.54E-2</v>
      </c>
      <c r="S11" s="18">
        <v>0</v>
      </c>
      <c r="T11" s="18">
        <v>0</v>
      </c>
    </row>
    <row r="12" spans="1:20">
      <c r="A12" s="45" t="s">
        <v>33</v>
      </c>
      <c r="B12" s="48">
        <f>交易明细!AA28</f>
        <v>6.0069037499999992E-2</v>
      </c>
      <c r="C12" s="49" t="s">
        <v>175</v>
      </c>
      <c r="D12" s="49"/>
      <c r="J12" s="47" t="s">
        <v>172</v>
      </c>
      <c r="K12" s="18">
        <v>0</v>
      </c>
      <c r="L12" s="18">
        <v>0</v>
      </c>
      <c r="M12" s="18">
        <v>0</v>
      </c>
      <c r="N12" s="18">
        <v>0.2949</v>
      </c>
      <c r="O12" s="18">
        <v>0.14000000000000001</v>
      </c>
      <c r="P12" s="18">
        <v>0.3276</v>
      </c>
      <c r="Q12" s="18">
        <v>0.104</v>
      </c>
      <c r="R12" s="18">
        <v>0.1336</v>
      </c>
      <c r="S12" s="18">
        <v>0</v>
      </c>
      <c r="T12" s="18">
        <v>0</v>
      </c>
    </row>
    <row r="13" spans="1:20">
      <c r="A13" s="25" t="s">
        <v>3747</v>
      </c>
      <c r="B13" s="48">
        <f>交易明细!AA22</f>
        <v>2.4085612499999999E-2</v>
      </c>
      <c r="C13" s="49" t="s">
        <v>3748</v>
      </c>
      <c r="J13" s="47" t="s">
        <v>176</v>
      </c>
      <c r="K13" s="18">
        <v>0</v>
      </c>
      <c r="L13" s="18">
        <v>8.7800000000000003E-2</v>
      </c>
      <c r="M13" s="18">
        <v>0.49399999999999999</v>
      </c>
      <c r="N13" s="18">
        <v>5.1499999999999997E-2</v>
      </c>
      <c r="O13" s="18">
        <v>0</v>
      </c>
      <c r="P13" s="18">
        <v>0</v>
      </c>
      <c r="Q13" s="18">
        <v>0</v>
      </c>
      <c r="R13" s="18">
        <v>0.1993</v>
      </c>
      <c r="S13" s="18">
        <v>0</v>
      </c>
      <c r="T13" s="18">
        <v>0.1673</v>
      </c>
    </row>
    <row r="14" spans="1:20">
      <c r="J14" s="47" t="s">
        <v>3749</v>
      </c>
      <c r="K14" s="18">
        <v>0</v>
      </c>
      <c r="L14" s="18">
        <v>3.56E-2</v>
      </c>
      <c r="M14" s="18">
        <v>0.19650000000000001</v>
      </c>
      <c r="N14" s="18">
        <v>6.7000000000000004E-2</v>
      </c>
      <c r="O14" s="18">
        <v>0.13420000000000001</v>
      </c>
      <c r="P14" s="18">
        <v>0.16880000000000001</v>
      </c>
      <c r="Q14" s="18">
        <v>5.5300000000000002E-2</v>
      </c>
      <c r="R14" s="18">
        <v>0.34260000000000002</v>
      </c>
      <c r="S14" s="18">
        <v>0</v>
      </c>
      <c r="T14" s="18">
        <v>0</v>
      </c>
    </row>
    <row r="15" spans="1:20">
      <c r="G15" s="45"/>
      <c r="H15" s="45"/>
    </row>
    <row r="16" spans="1:20">
      <c r="A16" s="25"/>
      <c r="B16" s="18"/>
    </row>
    <row r="17" spans="1:26">
      <c r="A17" s="45"/>
      <c r="B17" s="18"/>
    </row>
    <row r="18" spans="1:26">
      <c r="A18" s="45"/>
      <c r="B18" s="18"/>
    </row>
    <row r="19" spans="1:26">
      <c r="A19" s="45"/>
      <c r="B19" s="18"/>
    </row>
    <row r="20" spans="1:26">
      <c r="A20" s="45"/>
      <c r="B20" s="18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</row>
    <row r="21" spans="1:26">
      <c r="A21" s="45"/>
      <c r="B21" s="18"/>
      <c r="L21" s="50"/>
      <c r="M21" s="50"/>
      <c r="N21" s="69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19"/>
    </row>
    <row r="22" spans="1:26">
      <c r="A22" s="25"/>
      <c r="B22" s="18"/>
      <c r="L22" s="18"/>
      <c r="M22" s="18"/>
      <c r="N22" s="69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19"/>
    </row>
    <row r="23" spans="1:26">
      <c r="A23" s="25"/>
      <c r="B23" s="18"/>
      <c r="N23" s="69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19"/>
    </row>
    <row r="24" spans="1:26">
      <c r="A24" s="25"/>
      <c r="B24" s="18"/>
      <c r="K24" s="18"/>
      <c r="L24" s="18"/>
      <c r="M24" s="18"/>
      <c r="N24" s="69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19"/>
    </row>
    <row r="25" spans="1:26">
      <c r="A25" s="25"/>
      <c r="B25" s="18"/>
      <c r="K25" s="18"/>
      <c r="L25" s="18"/>
      <c r="M25" s="18"/>
      <c r="N25" s="69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19"/>
    </row>
    <row r="26" spans="1:26">
      <c r="A26" s="45"/>
      <c r="B26" s="18"/>
      <c r="K26" s="18"/>
      <c r="L26" s="18"/>
      <c r="M26" s="18"/>
      <c r="N26" s="69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19"/>
    </row>
    <row r="27" spans="1:26">
      <c r="A27" s="25"/>
      <c r="B27" s="19"/>
      <c r="K27" s="18"/>
      <c r="N27" s="69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19"/>
    </row>
    <row r="28" spans="1:26">
      <c r="K28" s="18"/>
      <c r="N28" s="69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19"/>
    </row>
    <row r="29" spans="1:26">
      <c r="K29" s="18"/>
      <c r="N29" s="69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19"/>
    </row>
    <row r="30" spans="1:26">
      <c r="K30" s="18"/>
      <c r="N30" s="69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19"/>
    </row>
    <row r="31" spans="1:26">
      <c r="K31" s="18"/>
      <c r="N31" s="69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19"/>
    </row>
    <row r="32" spans="1:26">
      <c r="K32" s="18"/>
      <c r="N32" s="69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19"/>
    </row>
    <row r="33" spans="11:26">
      <c r="K33" s="18"/>
      <c r="N33" s="69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19"/>
    </row>
    <row r="34" spans="11:26">
      <c r="K34" s="18"/>
      <c r="N34" s="18"/>
    </row>
    <row r="35" spans="11:26">
      <c r="K35" s="18"/>
      <c r="N35" s="18"/>
    </row>
    <row r="36" spans="11:26">
      <c r="K36" s="18"/>
      <c r="N36" s="18"/>
    </row>
    <row r="37" spans="11:26">
      <c r="K37" s="18"/>
      <c r="N37" s="18"/>
    </row>
    <row r="38" spans="11:26">
      <c r="K38" s="18"/>
      <c r="N38" s="18"/>
    </row>
    <row r="39" spans="11:26">
      <c r="K39" s="18"/>
      <c r="N39" s="18"/>
    </row>
    <row r="40" spans="11:26">
      <c r="K40" s="18"/>
      <c r="N40" s="18"/>
    </row>
    <row r="41" spans="11:26">
      <c r="K41" s="18"/>
      <c r="N41" s="18"/>
    </row>
    <row r="42" spans="11:26">
      <c r="K42" s="18"/>
      <c r="N42" s="18"/>
    </row>
    <row r="43" spans="11:26">
      <c r="K43" s="18"/>
      <c r="N43" s="18"/>
    </row>
    <row r="44" spans="11:26">
      <c r="K44" s="18"/>
      <c r="N44" s="18"/>
    </row>
    <row r="45" spans="11:26">
      <c r="K45" s="18"/>
      <c r="N45" s="18"/>
    </row>
    <row r="46" spans="11:26">
      <c r="K46" s="18"/>
      <c r="N46" s="18"/>
    </row>
    <row r="47" spans="11:26">
      <c r="K47" s="18"/>
      <c r="N47" s="18"/>
    </row>
    <row r="48" spans="11:26">
      <c r="K48" s="18"/>
      <c r="N48" s="18"/>
    </row>
    <row r="49" spans="11:14">
      <c r="K49" s="18"/>
      <c r="N49" s="18"/>
    </row>
    <row r="50" spans="11:14">
      <c r="K50" s="18"/>
      <c r="N50" s="18"/>
    </row>
    <row r="51" spans="11:14">
      <c r="K51" s="18"/>
      <c r="N51" s="18"/>
    </row>
    <row r="52" spans="11:14">
      <c r="K52" s="18"/>
      <c r="N52" s="18"/>
    </row>
    <row r="53" spans="11:14">
      <c r="K53" s="18"/>
      <c r="N53" s="18"/>
    </row>
    <row r="54" spans="11:14">
      <c r="K54" s="18"/>
      <c r="N54" s="18"/>
    </row>
    <row r="55" spans="11:14">
      <c r="K55" s="18"/>
      <c r="N55" s="18"/>
    </row>
    <row r="56" spans="11:14">
      <c r="K56" s="18"/>
      <c r="N56" s="18"/>
    </row>
    <row r="57" spans="11:14">
      <c r="K57" s="18"/>
      <c r="N57" s="18"/>
    </row>
    <row r="58" spans="11:14">
      <c r="K58" s="18"/>
      <c r="N58" s="18"/>
    </row>
    <row r="59" spans="11:14">
      <c r="K59" s="18"/>
      <c r="N59" s="18"/>
    </row>
    <row r="60" spans="11:14">
      <c r="K60" s="18"/>
      <c r="N60" s="18"/>
    </row>
    <row r="61" spans="11:14">
      <c r="K61" s="18"/>
      <c r="N61" s="18"/>
    </row>
    <row r="62" spans="11:14">
      <c r="K62" s="18"/>
      <c r="N62" s="18"/>
    </row>
    <row r="63" spans="11:14">
      <c r="K63" s="18"/>
      <c r="N63" s="18"/>
    </row>
    <row r="64" spans="11:14">
      <c r="K64" s="18"/>
      <c r="N64" s="18"/>
    </row>
    <row r="65" spans="11:14">
      <c r="K65" s="18"/>
      <c r="N65" s="18"/>
    </row>
    <row r="66" spans="11:14">
      <c r="K66" s="18"/>
      <c r="N66" s="18"/>
    </row>
  </sheetData>
  <phoneticPr fontId="3" type="noConversion"/>
  <conditionalFormatting sqref="H2:H11">
    <cfRule type="dataBar" priority="10">
      <dataBar>
        <cfvo type="min"/>
        <cfvo type="max"/>
        <color theme="6"/>
      </dataBar>
      <extLst>
        <ext xmlns:x14="http://schemas.microsoft.com/office/spreadsheetml/2009/9/main" uri="{B025F937-C7B1-47D3-B67F-A62EFF666E3E}">
          <x14:id>{BC1EC98E-AD63-4E78-B04F-B0327E471751}</x14:id>
        </ext>
      </extLst>
    </cfRule>
  </conditionalFormatting>
  <conditionalFormatting sqref="L14:R14">
    <cfRule type="dataBar" priority="9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{C7B739D8-6224-4339-A69B-56DF89B93C7D}</x14:id>
        </ext>
      </extLst>
    </cfRule>
  </conditionalFormatting>
  <conditionalFormatting sqref="K14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{6716BFB0-182C-4C8A-9350-EF8834A69F7B}</x14:id>
        </ext>
      </extLst>
    </cfRule>
  </conditionalFormatting>
  <conditionalFormatting sqref="S14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{5D84EA6C-8763-41C9-9CAE-ABF89001A919}</x14:id>
        </ext>
      </extLst>
    </cfRule>
  </conditionalFormatting>
  <conditionalFormatting sqref="T14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{34686704-C87C-4C61-8DBB-B396C56470CA}</x14:id>
        </ext>
      </extLst>
    </cfRule>
  </conditionalFormatting>
  <conditionalFormatting sqref="L22:P22 U21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{3B0759F2-380E-43A7-9936-AF856656EFC5}</x14:id>
        </ext>
      </extLst>
    </cfRule>
  </conditionalFormatting>
  <conditionalFormatting sqref="L25:T25 U24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{52B82DF8-703B-4988-94F8-4F1424C6D765}</x14:id>
        </ext>
      </extLst>
    </cfRule>
  </conditionalFormatting>
  <conditionalFormatting sqref="K2:T2 K4:T13">
    <cfRule type="dataBar" priority="6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{C26CD3D2-BC0C-49B2-95B6-8E330978462C}</x14:id>
        </ext>
      </extLst>
    </cfRule>
  </conditionalFormatting>
  <conditionalFormatting sqref="K3:T3">
    <cfRule type="dataBar" priority="1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{F4412CD8-DD8C-4409-8434-8E54BD33C5CB}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1EC98E-AD63-4E78-B04F-B0327E471751}">
            <x14:dataBar minLength="0" maxLength="100" gradient="0">
              <x14:cfvo type="autoMin"/>
              <x14:cfvo type="autoMax"/>
              <x14:negativeFillColor theme="4" tint="0.39997558519241921"/>
              <x14:axisColor rgb="FF000000"/>
            </x14:dataBar>
          </x14:cfRule>
          <xm:sqref>H2:H11</xm:sqref>
        </x14:conditionalFormatting>
        <x14:conditionalFormatting xmlns:xm="http://schemas.microsoft.com/office/excel/2006/main">
          <x14:cfRule type="dataBar" id="{C7B739D8-6224-4339-A69B-56DF89B93C7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L14:R14</xm:sqref>
        </x14:conditionalFormatting>
        <x14:conditionalFormatting xmlns:xm="http://schemas.microsoft.com/office/excel/2006/main">
          <x14:cfRule type="dataBar" id="{6716BFB0-182C-4C8A-9350-EF8834A69F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5D84EA6C-8763-41C9-9CAE-ABF89001A91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4686704-C87C-4C61-8DBB-B396C56470C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3B0759F2-380E-43A7-9936-AF856656EFC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L22:P22 U21</xm:sqref>
        </x14:conditionalFormatting>
        <x14:conditionalFormatting xmlns:xm="http://schemas.microsoft.com/office/excel/2006/main">
          <x14:cfRule type="dataBar" id="{52B82DF8-703B-4988-94F8-4F1424C6D7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L25:T25 U24</xm:sqref>
        </x14:conditionalFormatting>
        <x14:conditionalFormatting xmlns:xm="http://schemas.microsoft.com/office/excel/2006/main">
          <x14:cfRule type="dataBar" id="{C26CD3D2-BC0C-49B2-95B6-8E330978462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K2:T2 K4:T13</xm:sqref>
        </x14:conditionalFormatting>
        <x14:conditionalFormatting xmlns:xm="http://schemas.microsoft.com/office/excel/2006/main">
          <x14:cfRule type="dataBar" id="{F4412CD8-DD8C-4409-8434-8E54BD33C5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K3:T3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3668"/>
  <sheetViews>
    <sheetView workbookViewId="0">
      <selection activeCell="H27" sqref="H27"/>
    </sheetView>
  </sheetViews>
  <sheetFormatPr defaultColWidth="8.875" defaultRowHeight="14.25"/>
  <cols>
    <col min="1" max="1" width="5.5" bestFit="1" customWidth="1"/>
    <col min="2" max="2" width="12.625" bestFit="1" customWidth="1"/>
    <col min="4" max="4" width="8.5" bestFit="1" customWidth="1"/>
    <col min="6" max="6" width="12.625" bestFit="1" customWidth="1"/>
    <col min="8" max="8" width="9" bestFit="1" customWidth="1"/>
    <col min="9" max="9" width="11" bestFit="1" customWidth="1"/>
  </cols>
  <sheetData>
    <row r="1" spans="1:9">
      <c r="B1" t="s">
        <v>180</v>
      </c>
      <c r="C1" t="s">
        <v>3759</v>
      </c>
      <c r="D1" t="s">
        <v>3740</v>
      </c>
      <c r="E1" t="s">
        <v>3741</v>
      </c>
      <c r="G1" s="50" t="s">
        <v>3758</v>
      </c>
      <c r="H1" s="50" t="s">
        <v>3757</v>
      </c>
      <c r="I1" t="s">
        <v>3756</v>
      </c>
    </row>
    <row r="2" spans="1:9">
      <c r="A2">
        <v>0</v>
      </c>
      <c r="B2" t="s">
        <v>181</v>
      </c>
      <c r="C2" t="s">
        <v>3760</v>
      </c>
      <c r="D2" t="s">
        <v>182</v>
      </c>
      <c r="E2" t="s">
        <v>152</v>
      </c>
      <c r="G2" s="50" t="s">
        <v>182</v>
      </c>
      <c r="H2" s="50" t="s">
        <v>152</v>
      </c>
      <c r="I2" s="18">
        <f t="shared" ref="I2:I12" si="0">COUNTIF($D:$D,$G2)/COUNT($A:$A)</f>
        <v>2.0452686119443685E-2</v>
      </c>
    </row>
    <row r="3" spans="1:9">
      <c r="A3">
        <v>1</v>
      </c>
      <c r="B3" t="s">
        <v>183</v>
      </c>
      <c r="C3" t="s">
        <v>3761</v>
      </c>
      <c r="D3" t="s">
        <v>182</v>
      </c>
      <c r="E3" t="s">
        <v>152</v>
      </c>
      <c r="G3" s="50" t="s">
        <v>257</v>
      </c>
      <c r="H3" s="50" t="s">
        <v>3742</v>
      </c>
      <c r="I3" s="18">
        <f t="shared" si="0"/>
        <v>0.15407690209980912</v>
      </c>
    </row>
    <row r="4" spans="1:9">
      <c r="A4">
        <v>2</v>
      </c>
      <c r="B4" t="s">
        <v>184</v>
      </c>
      <c r="C4" t="s">
        <v>3762</v>
      </c>
      <c r="D4" t="s">
        <v>182</v>
      </c>
      <c r="E4" t="s">
        <v>152</v>
      </c>
      <c r="G4" s="50" t="s">
        <v>823</v>
      </c>
      <c r="H4" s="50" t="s">
        <v>153</v>
      </c>
      <c r="I4" s="18">
        <f t="shared" si="0"/>
        <v>0.26397600218161987</v>
      </c>
    </row>
    <row r="5" spans="1:9">
      <c r="A5">
        <v>3</v>
      </c>
      <c r="B5" t="s">
        <v>185</v>
      </c>
      <c r="C5" t="s">
        <v>3763</v>
      </c>
      <c r="D5" t="s">
        <v>182</v>
      </c>
      <c r="E5" t="s">
        <v>152</v>
      </c>
      <c r="G5" s="50" t="s">
        <v>1768</v>
      </c>
      <c r="H5" s="50" t="s">
        <v>3753</v>
      </c>
      <c r="I5" s="18">
        <f t="shared" si="0"/>
        <v>0.16307608399236434</v>
      </c>
    </row>
    <row r="6" spans="1:9">
      <c r="A6">
        <v>4</v>
      </c>
      <c r="B6" t="s">
        <v>186</v>
      </c>
      <c r="C6" t="s">
        <v>3764</v>
      </c>
      <c r="D6" t="s">
        <v>182</v>
      </c>
      <c r="E6" t="s">
        <v>152</v>
      </c>
      <c r="G6" s="50" t="s">
        <v>2348</v>
      </c>
      <c r="H6" s="50" t="s">
        <v>3754</v>
      </c>
      <c r="I6" s="18">
        <f t="shared" si="0"/>
        <v>6.0812653395145896E-2</v>
      </c>
    </row>
    <row r="7" spans="1:9">
      <c r="A7">
        <v>5</v>
      </c>
      <c r="B7" t="s">
        <v>187</v>
      </c>
      <c r="C7" t="s">
        <v>3765</v>
      </c>
      <c r="D7" t="s">
        <v>182</v>
      </c>
      <c r="E7" t="s">
        <v>152</v>
      </c>
      <c r="G7" s="50" t="s">
        <v>2567</v>
      </c>
      <c r="H7" s="50" t="s">
        <v>3755</v>
      </c>
      <c r="I7" s="18">
        <f t="shared" si="0"/>
        <v>8.044723206981183E-2</v>
      </c>
    </row>
    <row r="8" spans="1:9">
      <c r="A8">
        <v>6</v>
      </c>
      <c r="B8" t="s">
        <v>188</v>
      </c>
      <c r="C8" t="s">
        <v>3766</v>
      </c>
      <c r="D8" t="s">
        <v>182</v>
      </c>
      <c r="E8" t="s">
        <v>152</v>
      </c>
      <c r="G8" s="50" t="s">
        <v>3750</v>
      </c>
      <c r="H8" s="50" t="s">
        <v>3751</v>
      </c>
      <c r="I8" s="18">
        <f t="shared" si="0"/>
        <v>2.6997545677665668E-2</v>
      </c>
    </row>
    <row r="9" spans="1:9">
      <c r="A9">
        <v>7</v>
      </c>
      <c r="B9" t="s">
        <v>189</v>
      </c>
      <c r="C9" t="s">
        <v>3767</v>
      </c>
      <c r="D9" t="s">
        <v>182</v>
      </c>
      <c r="E9" t="s">
        <v>152</v>
      </c>
      <c r="G9" s="50" t="s">
        <v>2929</v>
      </c>
      <c r="H9" s="50" t="s">
        <v>157</v>
      </c>
      <c r="I9" s="18">
        <f t="shared" si="0"/>
        <v>0.16171257158440142</v>
      </c>
    </row>
    <row r="10" spans="1:9">
      <c r="A10">
        <v>8</v>
      </c>
      <c r="B10" t="s">
        <v>190</v>
      </c>
      <c r="C10" t="s">
        <v>3768</v>
      </c>
      <c r="D10" t="s">
        <v>182</v>
      </c>
      <c r="E10" t="s">
        <v>152</v>
      </c>
      <c r="G10" s="50" t="s">
        <v>3496</v>
      </c>
      <c r="H10" s="50" t="s">
        <v>3745</v>
      </c>
      <c r="I10" s="18">
        <f t="shared" si="0"/>
        <v>1.636214889555495E-3</v>
      </c>
    </row>
    <row r="11" spans="1:9">
      <c r="A11">
        <v>9</v>
      </c>
      <c r="B11" t="s">
        <v>191</v>
      </c>
      <c r="C11" t="s">
        <v>3769</v>
      </c>
      <c r="D11" t="s">
        <v>182</v>
      </c>
      <c r="E11" t="s">
        <v>152</v>
      </c>
      <c r="G11" s="50" t="s">
        <v>3502</v>
      </c>
      <c r="H11" s="50" t="s">
        <v>158</v>
      </c>
      <c r="I11" s="18">
        <f t="shared" si="0"/>
        <v>2.9724570493591493E-2</v>
      </c>
    </row>
    <row r="12" spans="1:9">
      <c r="A12">
        <v>10</v>
      </c>
      <c r="B12" t="s">
        <v>192</v>
      </c>
      <c r="C12" t="s">
        <v>3770</v>
      </c>
      <c r="D12" t="s">
        <v>182</v>
      </c>
      <c r="E12" t="s">
        <v>152</v>
      </c>
      <c r="G12" s="50" t="s">
        <v>3606</v>
      </c>
      <c r="H12" s="50" t="s">
        <v>3752</v>
      </c>
      <c r="I12" s="18">
        <f t="shared" si="0"/>
        <v>3.7087537496591216E-2</v>
      </c>
    </row>
    <row r="13" spans="1:9">
      <c r="A13">
        <v>11</v>
      </c>
      <c r="B13" t="s">
        <v>193</v>
      </c>
      <c r="C13" t="s">
        <v>3771</v>
      </c>
      <c r="D13" t="s">
        <v>182</v>
      </c>
      <c r="E13" t="s">
        <v>152</v>
      </c>
      <c r="G13" s="18"/>
    </row>
    <row r="14" spans="1:9">
      <c r="A14">
        <v>12</v>
      </c>
      <c r="B14" t="s">
        <v>194</v>
      </c>
      <c r="C14" t="s">
        <v>3772</v>
      </c>
      <c r="D14" t="s">
        <v>182</v>
      </c>
      <c r="E14" t="s">
        <v>152</v>
      </c>
      <c r="G14" s="18"/>
    </row>
    <row r="15" spans="1:9">
      <c r="A15">
        <v>13</v>
      </c>
      <c r="B15" t="s">
        <v>195</v>
      </c>
      <c r="C15" t="s">
        <v>3773</v>
      </c>
      <c r="D15" t="s">
        <v>182</v>
      </c>
      <c r="E15" t="s">
        <v>152</v>
      </c>
      <c r="G15" s="18"/>
    </row>
    <row r="16" spans="1:9">
      <c r="A16">
        <v>14</v>
      </c>
      <c r="B16" t="s">
        <v>196</v>
      </c>
      <c r="C16" t="s">
        <v>3774</v>
      </c>
      <c r="D16" t="s">
        <v>182</v>
      </c>
      <c r="E16" t="s">
        <v>152</v>
      </c>
      <c r="G16" s="18"/>
    </row>
    <row r="17" spans="1:7">
      <c r="A17">
        <v>15</v>
      </c>
      <c r="B17" t="s">
        <v>197</v>
      </c>
      <c r="C17" t="s">
        <v>3775</v>
      </c>
      <c r="D17" t="s">
        <v>182</v>
      </c>
      <c r="E17" t="s">
        <v>152</v>
      </c>
      <c r="G17" s="18"/>
    </row>
    <row r="18" spans="1:7">
      <c r="A18">
        <v>16</v>
      </c>
      <c r="B18" t="s">
        <v>198</v>
      </c>
      <c r="C18" t="s">
        <v>3776</v>
      </c>
      <c r="D18" t="s">
        <v>182</v>
      </c>
      <c r="E18" t="s">
        <v>152</v>
      </c>
      <c r="G18" s="18"/>
    </row>
    <row r="19" spans="1:7">
      <c r="A19">
        <v>17</v>
      </c>
      <c r="B19" t="s">
        <v>199</v>
      </c>
      <c r="C19" t="s">
        <v>3777</v>
      </c>
      <c r="D19" t="s">
        <v>182</v>
      </c>
      <c r="E19" t="s">
        <v>152</v>
      </c>
      <c r="G19" s="18"/>
    </row>
    <row r="20" spans="1:7">
      <c r="A20">
        <v>18</v>
      </c>
      <c r="B20" t="s">
        <v>200</v>
      </c>
      <c r="C20" t="s">
        <v>3778</v>
      </c>
      <c r="D20" t="s">
        <v>182</v>
      </c>
      <c r="E20" t="s">
        <v>152</v>
      </c>
      <c r="G20" s="18"/>
    </row>
    <row r="21" spans="1:7">
      <c r="A21">
        <v>19</v>
      </c>
      <c r="B21" t="s">
        <v>201</v>
      </c>
      <c r="C21" t="s">
        <v>3779</v>
      </c>
      <c r="D21" t="s">
        <v>182</v>
      </c>
      <c r="E21" t="s">
        <v>152</v>
      </c>
      <c r="G21" s="18"/>
    </row>
    <row r="22" spans="1:7">
      <c r="A22">
        <v>20</v>
      </c>
      <c r="B22" t="s">
        <v>202</v>
      </c>
      <c r="C22" t="s">
        <v>3780</v>
      </c>
      <c r="D22" t="s">
        <v>182</v>
      </c>
      <c r="E22" t="s">
        <v>152</v>
      </c>
      <c r="G22" s="18"/>
    </row>
    <row r="23" spans="1:7">
      <c r="A23">
        <v>21</v>
      </c>
      <c r="B23" t="s">
        <v>203</v>
      </c>
      <c r="C23" t="s">
        <v>3781</v>
      </c>
      <c r="D23" t="s">
        <v>182</v>
      </c>
      <c r="E23" t="s">
        <v>152</v>
      </c>
      <c r="G23" s="18"/>
    </row>
    <row r="24" spans="1:7">
      <c r="A24">
        <v>22</v>
      </c>
      <c r="B24" t="s">
        <v>204</v>
      </c>
      <c r="C24" t="s">
        <v>3782</v>
      </c>
      <c r="D24" t="s">
        <v>182</v>
      </c>
      <c r="E24" t="s">
        <v>152</v>
      </c>
      <c r="G24" s="18"/>
    </row>
    <row r="25" spans="1:7">
      <c r="A25">
        <v>23</v>
      </c>
      <c r="B25" t="s">
        <v>205</v>
      </c>
      <c r="C25" t="s">
        <v>3783</v>
      </c>
      <c r="D25" t="s">
        <v>182</v>
      </c>
      <c r="E25" t="s">
        <v>152</v>
      </c>
      <c r="G25" s="18"/>
    </row>
    <row r="26" spans="1:7">
      <c r="A26">
        <v>24</v>
      </c>
      <c r="B26" t="s">
        <v>206</v>
      </c>
      <c r="C26" t="s">
        <v>3784</v>
      </c>
      <c r="D26" t="s">
        <v>182</v>
      </c>
      <c r="E26" t="s">
        <v>152</v>
      </c>
      <c r="G26" s="18"/>
    </row>
    <row r="27" spans="1:7">
      <c r="A27">
        <v>25</v>
      </c>
      <c r="B27" t="s">
        <v>207</v>
      </c>
      <c r="C27" t="s">
        <v>3785</v>
      </c>
      <c r="D27" t="s">
        <v>182</v>
      </c>
      <c r="E27" t="s">
        <v>152</v>
      </c>
      <c r="G27" s="18"/>
    </row>
    <row r="28" spans="1:7">
      <c r="A28">
        <v>26</v>
      </c>
      <c r="B28" t="s">
        <v>208</v>
      </c>
      <c r="C28" t="s">
        <v>3786</v>
      </c>
      <c r="D28" t="s">
        <v>182</v>
      </c>
      <c r="E28" t="s">
        <v>152</v>
      </c>
      <c r="G28" s="18"/>
    </row>
    <row r="29" spans="1:7">
      <c r="A29">
        <v>27</v>
      </c>
      <c r="B29" t="s">
        <v>209</v>
      </c>
      <c r="C29" t="s">
        <v>3787</v>
      </c>
      <c r="D29" t="s">
        <v>182</v>
      </c>
      <c r="E29" t="s">
        <v>152</v>
      </c>
      <c r="G29" s="18"/>
    </row>
    <row r="30" spans="1:7">
      <c r="A30">
        <v>28</v>
      </c>
      <c r="B30" t="s">
        <v>210</v>
      </c>
      <c r="C30" t="s">
        <v>3788</v>
      </c>
      <c r="D30" t="s">
        <v>182</v>
      </c>
      <c r="E30" t="s">
        <v>152</v>
      </c>
      <c r="G30" s="18"/>
    </row>
    <row r="31" spans="1:7">
      <c r="A31">
        <v>29</v>
      </c>
      <c r="B31" t="s">
        <v>211</v>
      </c>
      <c r="C31" t="s">
        <v>3789</v>
      </c>
      <c r="D31" t="s">
        <v>182</v>
      </c>
      <c r="E31" t="s">
        <v>152</v>
      </c>
      <c r="G31" s="18"/>
    </row>
    <row r="32" spans="1:7">
      <c r="A32">
        <v>30</v>
      </c>
      <c r="B32" t="s">
        <v>212</v>
      </c>
      <c r="C32" t="s">
        <v>3790</v>
      </c>
      <c r="D32" t="s">
        <v>182</v>
      </c>
      <c r="E32" t="s">
        <v>152</v>
      </c>
      <c r="G32" s="18"/>
    </row>
    <row r="33" spans="1:7">
      <c r="A33">
        <v>31</v>
      </c>
      <c r="B33" t="s">
        <v>213</v>
      </c>
      <c r="C33" t="s">
        <v>3791</v>
      </c>
      <c r="D33" t="s">
        <v>182</v>
      </c>
      <c r="E33" t="s">
        <v>152</v>
      </c>
      <c r="G33" s="18"/>
    </row>
    <row r="34" spans="1:7">
      <c r="A34">
        <v>32</v>
      </c>
      <c r="B34" t="s">
        <v>214</v>
      </c>
      <c r="C34" t="s">
        <v>3792</v>
      </c>
      <c r="D34" t="s">
        <v>182</v>
      </c>
      <c r="E34" t="s">
        <v>152</v>
      </c>
      <c r="G34" s="18"/>
    </row>
    <row r="35" spans="1:7">
      <c r="A35">
        <v>33</v>
      </c>
      <c r="B35" t="s">
        <v>215</v>
      </c>
      <c r="C35" t="s">
        <v>3793</v>
      </c>
      <c r="D35" t="s">
        <v>182</v>
      </c>
      <c r="E35" t="s">
        <v>152</v>
      </c>
      <c r="G35" s="18"/>
    </row>
    <row r="36" spans="1:7">
      <c r="A36">
        <v>34</v>
      </c>
      <c r="B36" t="s">
        <v>216</v>
      </c>
      <c r="C36" t="s">
        <v>3794</v>
      </c>
      <c r="D36" t="s">
        <v>182</v>
      </c>
      <c r="E36" t="s">
        <v>152</v>
      </c>
      <c r="G36" s="18"/>
    </row>
    <row r="37" spans="1:7">
      <c r="A37">
        <v>35</v>
      </c>
      <c r="B37" t="s">
        <v>217</v>
      </c>
      <c r="C37" t="s">
        <v>3795</v>
      </c>
      <c r="D37" t="s">
        <v>182</v>
      </c>
      <c r="E37" t="s">
        <v>152</v>
      </c>
      <c r="G37" s="18"/>
    </row>
    <row r="38" spans="1:7">
      <c r="A38">
        <v>36</v>
      </c>
      <c r="B38" t="s">
        <v>218</v>
      </c>
      <c r="C38" t="s">
        <v>3796</v>
      </c>
      <c r="D38" t="s">
        <v>182</v>
      </c>
      <c r="E38" t="s">
        <v>152</v>
      </c>
      <c r="G38" s="18"/>
    </row>
    <row r="39" spans="1:7">
      <c r="A39">
        <v>37</v>
      </c>
      <c r="B39" t="s">
        <v>219</v>
      </c>
      <c r="C39" t="s">
        <v>3797</v>
      </c>
      <c r="D39" t="s">
        <v>182</v>
      </c>
      <c r="E39" t="s">
        <v>152</v>
      </c>
      <c r="G39" s="18"/>
    </row>
    <row r="40" spans="1:7">
      <c r="A40">
        <v>38</v>
      </c>
      <c r="B40" t="s">
        <v>220</v>
      </c>
      <c r="C40" t="s">
        <v>3798</v>
      </c>
      <c r="D40" t="s">
        <v>182</v>
      </c>
      <c r="E40" t="s">
        <v>152</v>
      </c>
      <c r="G40" s="18"/>
    </row>
    <row r="41" spans="1:7">
      <c r="A41">
        <v>39</v>
      </c>
      <c r="B41" t="s">
        <v>221</v>
      </c>
      <c r="C41" t="s">
        <v>3799</v>
      </c>
      <c r="D41" t="s">
        <v>182</v>
      </c>
      <c r="E41" t="s">
        <v>152</v>
      </c>
      <c r="G41" s="18"/>
    </row>
    <row r="42" spans="1:7">
      <c r="A42">
        <v>40</v>
      </c>
      <c r="B42" t="s">
        <v>222</v>
      </c>
      <c r="C42" t="s">
        <v>3800</v>
      </c>
      <c r="D42" t="s">
        <v>182</v>
      </c>
      <c r="E42" t="s">
        <v>152</v>
      </c>
      <c r="G42" s="18"/>
    </row>
    <row r="43" spans="1:7">
      <c r="A43">
        <v>41</v>
      </c>
      <c r="B43" t="s">
        <v>223</v>
      </c>
      <c r="C43" t="s">
        <v>3801</v>
      </c>
      <c r="D43" t="s">
        <v>182</v>
      </c>
      <c r="E43" t="s">
        <v>152</v>
      </c>
      <c r="G43" s="18"/>
    </row>
    <row r="44" spans="1:7">
      <c r="A44">
        <v>42</v>
      </c>
      <c r="B44" t="s">
        <v>224</v>
      </c>
      <c r="C44" t="s">
        <v>3802</v>
      </c>
      <c r="D44" t="s">
        <v>182</v>
      </c>
      <c r="E44" t="s">
        <v>152</v>
      </c>
      <c r="G44" s="18"/>
    </row>
    <row r="45" spans="1:7">
      <c r="A45">
        <v>43</v>
      </c>
      <c r="B45" t="s">
        <v>225</v>
      </c>
      <c r="C45" t="s">
        <v>3803</v>
      </c>
      <c r="D45" t="s">
        <v>182</v>
      </c>
      <c r="E45" t="s">
        <v>152</v>
      </c>
      <c r="G45" s="18"/>
    </row>
    <row r="46" spans="1:7">
      <c r="A46">
        <v>44</v>
      </c>
      <c r="B46" t="s">
        <v>226</v>
      </c>
      <c r="C46" t="s">
        <v>3804</v>
      </c>
      <c r="D46" t="s">
        <v>182</v>
      </c>
      <c r="E46" t="s">
        <v>152</v>
      </c>
      <c r="G46" s="18"/>
    </row>
    <row r="47" spans="1:7">
      <c r="A47">
        <v>45</v>
      </c>
      <c r="B47" t="s">
        <v>227</v>
      </c>
      <c r="C47" t="s">
        <v>3805</v>
      </c>
      <c r="D47" t="s">
        <v>182</v>
      </c>
      <c r="E47" t="s">
        <v>152</v>
      </c>
      <c r="G47" s="18"/>
    </row>
    <row r="48" spans="1:7">
      <c r="A48">
        <v>46</v>
      </c>
      <c r="B48" t="s">
        <v>228</v>
      </c>
      <c r="C48" t="s">
        <v>3806</v>
      </c>
      <c r="D48" t="s">
        <v>182</v>
      </c>
      <c r="E48" t="s">
        <v>152</v>
      </c>
      <c r="G48" s="18"/>
    </row>
    <row r="49" spans="1:7">
      <c r="A49">
        <v>47</v>
      </c>
      <c r="B49" t="s">
        <v>229</v>
      </c>
      <c r="C49" t="s">
        <v>3807</v>
      </c>
      <c r="D49" t="s">
        <v>182</v>
      </c>
      <c r="E49" t="s">
        <v>152</v>
      </c>
      <c r="G49" s="18"/>
    </row>
    <row r="50" spans="1:7">
      <c r="A50">
        <v>48</v>
      </c>
      <c r="B50" t="s">
        <v>230</v>
      </c>
      <c r="C50" t="s">
        <v>3808</v>
      </c>
      <c r="D50" t="s">
        <v>182</v>
      </c>
      <c r="E50" t="s">
        <v>152</v>
      </c>
      <c r="G50" s="18"/>
    </row>
    <row r="51" spans="1:7">
      <c r="A51">
        <v>49</v>
      </c>
      <c r="B51" t="s">
        <v>231</v>
      </c>
      <c r="C51" t="s">
        <v>3809</v>
      </c>
      <c r="D51" t="s">
        <v>182</v>
      </c>
      <c r="E51" t="s">
        <v>152</v>
      </c>
      <c r="G51" s="18"/>
    </row>
    <row r="52" spans="1:7">
      <c r="A52">
        <v>50</v>
      </c>
      <c r="B52" t="s">
        <v>232</v>
      </c>
      <c r="C52" t="s">
        <v>3810</v>
      </c>
      <c r="D52" t="s">
        <v>182</v>
      </c>
      <c r="E52" t="s">
        <v>152</v>
      </c>
      <c r="G52" s="18"/>
    </row>
    <row r="53" spans="1:7">
      <c r="A53">
        <v>51</v>
      </c>
      <c r="B53" t="s">
        <v>726</v>
      </c>
      <c r="C53" t="s">
        <v>7315</v>
      </c>
      <c r="D53" t="s">
        <v>182</v>
      </c>
      <c r="E53" t="s">
        <v>152</v>
      </c>
      <c r="G53" s="18"/>
    </row>
    <row r="54" spans="1:7">
      <c r="A54">
        <v>52</v>
      </c>
      <c r="B54" t="s">
        <v>233</v>
      </c>
      <c r="C54" t="s">
        <v>3811</v>
      </c>
      <c r="D54" t="s">
        <v>182</v>
      </c>
      <c r="E54" t="s">
        <v>152</v>
      </c>
      <c r="G54" s="18"/>
    </row>
    <row r="55" spans="1:7">
      <c r="A55">
        <v>53</v>
      </c>
      <c r="B55" t="s">
        <v>234</v>
      </c>
      <c r="C55" t="s">
        <v>3812</v>
      </c>
      <c r="D55" t="s">
        <v>182</v>
      </c>
      <c r="E55" t="s">
        <v>152</v>
      </c>
      <c r="G55" s="18"/>
    </row>
    <row r="56" spans="1:7">
      <c r="A56">
        <v>54</v>
      </c>
      <c r="B56" t="s">
        <v>235</v>
      </c>
      <c r="C56" t="s">
        <v>3813</v>
      </c>
      <c r="D56" t="s">
        <v>182</v>
      </c>
      <c r="E56" t="s">
        <v>152</v>
      </c>
      <c r="G56" s="18"/>
    </row>
    <row r="57" spans="1:7">
      <c r="A57">
        <v>55</v>
      </c>
      <c r="B57" t="s">
        <v>236</v>
      </c>
      <c r="C57" t="s">
        <v>3814</v>
      </c>
      <c r="D57" t="s">
        <v>182</v>
      </c>
      <c r="E57" t="s">
        <v>152</v>
      </c>
      <c r="G57" s="18"/>
    </row>
    <row r="58" spans="1:7">
      <c r="A58">
        <v>56</v>
      </c>
      <c r="B58" t="s">
        <v>237</v>
      </c>
      <c r="C58" t="s">
        <v>3815</v>
      </c>
      <c r="D58" t="s">
        <v>182</v>
      </c>
      <c r="E58" t="s">
        <v>152</v>
      </c>
      <c r="G58" s="18"/>
    </row>
    <row r="59" spans="1:7">
      <c r="A59">
        <v>57</v>
      </c>
      <c r="B59" t="s">
        <v>238</v>
      </c>
      <c r="C59" t="s">
        <v>3816</v>
      </c>
      <c r="D59" t="s">
        <v>182</v>
      </c>
      <c r="E59" t="s">
        <v>152</v>
      </c>
      <c r="G59" s="18"/>
    </row>
    <row r="60" spans="1:7">
      <c r="A60">
        <v>58</v>
      </c>
      <c r="B60" t="s">
        <v>239</v>
      </c>
      <c r="C60" t="s">
        <v>3817</v>
      </c>
      <c r="D60" t="s">
        <v>182</v>
      </c>
      <c r="E60" t="s">
        <v>152</v>
      </c>
      <c r="G60" s="18"/>
    </row>
    <row r="61" spans="1:7">
      <c r="A61">
        <v>59</v>
      </c>
      <c r="B61" t="s">
        <v>240</v>
      </c>
      <c r="C61" t="s">
        <v>3818</v>
      </c>
      <c r="D61" t="s">
        <v>182</v>
      </c>
      <c r="E61" t="s">
        <v>152</v>
      </c>
      <c r="G61" s="18"/>
    </row>
    <row r="62" spans="1:7">
      <c r="A62">
        <v>60</v>
      </c>
      <c r="B62" t="s">
        <v>241</v>
      </c>
      <c r="C62" t="s">
        <v>3819</v>
      </c>
      <c r="D62" t="s">
        <v>182</v>
      </c>
      <c r="E62" t="s">
        <v>152</v>
      </c>
      <c r="G62" s="18"/>
    </row>
    <row r="63" spans="1:7">
      <c r="A63">
        <v>61</v>
      </c>
      <c r="B63" t="s">
        <v>242</v>
      </c>
      <c r="C63" t="s">
        <v>3820</v>
      </c>
      <c r="D63" t="s">
        <v>182</v>
      </c>
      <c r="E63" t="s">
        <v>152</v>
      </c>
      <c r="G63" s="18"/>
    </row>
    <row r="64" spans="1:7">
      <c r="A64">
        <v>62</v>
      </c>
      <c r="B64" t="s">
        <v>243</v>
      </c>
      <c r="C64" t="s">
        <v>3821</v>
      </c>
      <c r="D64" t="s">
        <v>182</v>
      </c>
      <c r="E64" t="s">
        <v>152</v>
      </c>
      <c r="G64" s="18"/>
    </row>
    <row r="65" spans="1:7">
      <c r="A65">
        <v>63</v>
      </c>
      <c r="B65" t="s">
        <v>244</v>
      </c>
      <c r="C65" t="s">
        <v>3822</v>
      </c>
      <c r="D65" t="s">
        <v>182</v>
      </c>
      <c r="E65" t="s">
        <v>152</v>
      </c>
      <c r="G65" s="18"/>
    </row>
    <row r="66" spans="1:7">
      <c r="A66">
        <v>64</v>
      </c>
      <c r="B66" t="s">
        <v>245</v>
      </c>
      <c r="C66" t="s">
        <v>3823</v>
      </c>
      <c r="D66" t="s">
        <v>182</v>
      </c>
      <c r="E66" t="s">
        <v>152</v>
      </c>
      <c r="G66" s="18"/>
    </row>
    <row r="67" spans="1:7">
      <c r="A67">
        <v>65</v>
      </c>
      <c r="B67" t="s">
        <v>246</v>
      </c>
      <c r="C67" t="s">
        <v>3824</v>
      </c>
      <c r="D67" t="s">
        <v>182</v>
      </c>
      <c r="E67" t="s">
        <v>152</v>
      </c>
      <c r="G67" s="18"/>
    </row>
    <row r="68" spans="1:7">
      <c r="A68">
        <v>66</v>
      </c>
      <c r="B68" t="s">
        <v>247</v>
      </c>
      <c r="C68" t="s">
        <v>3825</v>
      </c>
      <c r="D68" t="s">
        <v>182</v>
      </c>
      <c r="E68" t="s">
        <v>152</v>
      </c>
      <c r="G68" s="18"/>
    </row>
    <row r="69" spans="1:7">
      <c r="A69">
        <v>67</v>
      </c>
      <c r="B69" t="s">
        <v>248</v>
      </c>
      <c r="C69" t="s">
        <v>3826</v>
      </c>
      <c r="D69" t="s">
        <v>182</v>
      </c>
      <c r="E69" t="s">
        <v>152</v>
      </c>
      <c r="G69" s="18"/>
    </row>
    <row r="70" spans="1:7">
      <c r="A70">
        <v>68</v>
      </c>
      <c r="B70" t="s">
        <v>249</v>
      </c>
      <c r="C70" t="s">
        <v>3827</v>
      </c>
      <c r="D70" t="s">
        <v>182</v>
      </c>
      <c r="E70" t="s">
        <v>152</v>
      </c>
      <c r="G70" s="18"/>
    </row>
    <row r="71" spans="1:7">
      <c r="A71">
        <v>69</v>
      </c>
      <c r="B71" t="s">
        <v>250</v>
      </c>
      <c r="C71" t="s">
        <v>3828</v>
      </c>
      <c r="D71" t="s">
        <v>182</v>
      </c>
      <c r="E71" t="s">
        <v>152</v>
      </c>
      <c r="G71" s="18"/>
    </row>
    <row r="72" spans="1:7">
      <c r="A72">
        <v>70</v>
      </c>
      <c r="B72" t="s">
        <v>251</v>
      </c>
      <c r="C72" t="s">
        <v>3829</v>
      </c>
      <c r="D72" t="s">
        <v>182</v>
      </c>
      <c r="E72" t="s">
        <v>152</v>
      </c>
      <c r="G72" s="18"/>
    </row>
    <row r="73" spans="1:7">
      <c r="A73">
        <v>71</v>
      </c>
      <c r="B73" t="s">
        <v>252</v>
      </c>
      <c r="C73" t="s">
        <v>3830</v>
      </c>
      <c r="D73" t="s">
        <v>182</v>
      </c>
      <c r="E73" t="s">
        <v>152</v>
      </c>
      <c r="G73" s="18"/>
    </row>
    <row r="74" spans="1:7">
      <c r="A74">
        <v>72</v>
      </c>
      <c r="B74" t="s">
        <v>253</v>
      </c>
      <c r="C74" t="s">
        <v>3831</v>
      </c>
      <c r="D74" t="s">
        <v>182</v>
      </c>
      <c r="E74" t="s">
        <v>152</v>
      </c>
      <c r="G74" s="18"/>
    </row>
    <row r="75" spans="1:7">
      <c r="A75">
        <v>73</v>
      </c>
      <c r="B75" t="s">
        <v>254</v>
      </c>
      <c r="C75" t="s">
        <v>3832</v>
      </c>
      <c r="D75" t="s">
        <v>182</v>
      </c>
      <c r="E75" t="s">
        <v>152</v>
      </c>
      <c r="G75" s="18"/>
    </row>
    <row r="76" spans="1:7">
      <c r="A76">
        <v>74</v>
      </c>
      <c r="B76" t="s">
        <v>255</v>
      </c>
      <c r="C76" t="s">
        <v>3833</v>
      </c>
      <c r="D76" t="s">
        <v>182</v>
      </c>
      <c r="E76" t="s">
        <v>152</v>
      </c>
      <c r="G76" s="18"/>
    </row>
    <row r="77" spans="1:7">
      <c r="A77">
        <v>75</v>
      </c>
      <c r="B77" t="s">
        <v>256</v>
      </c>
      <c r="C77" t="s">
        <v>3834</v>
      </c>
      <c r="D77" t="s">
        <v>257</v>
      </c>
      <c r="E77" t="s">
        <v>3742</v>
      </c>
      <c r="G77" s="18"/>
    </row>
    <row r="78" spans="1:7">
      <c r="A78">
        <v>76</v>
      </c>
      <c r="B78" t="s">
        <v>258</v>
      </c>
      <c r="C78" t="s">
        <v>3835</v>
      </c>
      <c r="D78" t="s">
        <v>257</v>
      </c>
      <c r="E78" t="s">
        <v>3742</v>
      </c>
      <c r="G78" s="18"/>
    </row>
    <row r="79" spans="1:7">
      <c r="A79">
        <v>77</v>
      </c>
      <c r="B79" t="s">
        <v>259</v>
      </c>
      <c r="C79" t="s">
        <v>3836</v>
      </c>
      <c r="D79" t="s">
        <v>257</v>
      </c>
      <c r="E79" t="s">
        <v>3742</v>
      </c>
      <c r="G79" s="18"/>
    </row>
    <row r="80" spans="1:7">
      <c r="A80">
        <v>78</v>
      </c>
      <c r="B80" t="s">
        <v>260</v>
      </c>
      <c r="C80" t="s">
        <v>3837</v>
      </c>
      <c r="D80" t="s">
        <v>257</v>
      </c>
      <c r="E80" t="s">
        <v>3742</v>
      </c>
      <c r="G80" s="18"/>
    </row>
    <row r="81" spans="1:7">
      <c r="A81">
        <v>79</v>
      </c>
      <c r="B81" t="s">
        <v>261</v>
      </c>
      <c r="C81" t="s">
        <v>3838</v>
      </c>
      <c r="D81" t="s">
        <v>257</v>
      </c>
      <c r="E81" t="s">
        <v>3742</v>
      </c>
      <c r="G81" s="18"/>
    </row>
    <row r="82" spans="1:7">
      <c r="A82">
        <v>80</v>
      </c>
      <c r="B82" t="s">
        <v>262</v>
      </c>
      <c r="C82" t="s">
        <v>3839</v>
      </c>
      <c r="D82" t="s">
        <v>257</v>
      </c>
      <c r="E82" t="s">
        <v>3742</v>
      </c>
      <c r="G82" s="18"/>
    </row>
    <row r="83" spans="1:7">
      <c r="A83">
        <v>81</v>
      </c>
      <c r="B83" t="s">
        <v>263</v>
      </c>
      <c r="C83" t="s">
        <v>3840</v>
      </c>
      <c r="D83" t="s">
        <v>257</v>
      </c>
      <c r="E83" t="s">
        <v>3742</v>
      </c>
      <c r="G83" s="18"/>
    </row>
    <row r="84" spans="1:7">
      <c r="A84">
        <v>82</v>
      </c>
      <c r="B84" t="s">
        <v>264</v>
      </c>
      <c r="C84" t="s">
        <v>3841</v>
      </c>
      <c r="D84" t="s">
        <v>257</v>
      </c>
      <c r="E84" t="s">
        <v>3742</v>
      </c>
      <c r="G84" s="18"/>
    </row>
    <row r="85" spans="1:7">
      <c r="A85">
        <v>83</v>
      </c>
      <c r="B85" t="s">
        <v>265</v>
      </c>
      <c r="C85" t="s">
        <v>3842</v>
      </c>
      <c r="D85" t="s">
        <v>257</v>
      </c>
      <c r="E85" t="s">
        <v>3742</v>
      </c>
      <c r="G85" s="18"/>
    </row>
    <row r="86" spans="1:7">
      <c r="A86">
        <v>84</v>
      </c>
      <c r="B86" t="s">
        <v>266</v>
      </c>
      <c r="C86" t="s">
        <v>3843</v>
      </c>
      <c r="D86" t="s">
        <v>257</v>
      </c>
      <c r="E86" t="s">
        <v>3742</v>
      </c>
      <c r="G86" s="18"/>
    </row>
    <row r="87" spans="1:7">
      <c r="A87">
        <v>85</v>
      </c>
      <c r="B87" t="s">
        <v>267</v>
      </c>
      <c r="C87" t="s">
        <v>3844</v>
      </c>
      <c r="D87" t="s">
        <v>257</v>
      </c>
      <c r="E87" t="s">
        <v>3742</v>
      </c>
      <c r="G87" s="18"/>
    </row>
    <row r="88" spans="1:7">
      <c r="A88">
        <v>86</v>
      </c>
      <c r="B88" t="s">
        <v>268</v>
      </c>
      <c r="C88" t="s">
        <v>3845</v>
      </c>
      <c r="D88" t="s">
        <v>257</v>
      </c>
      <c r="E88" t="s">
        <v>3742</v>
      </c>
      <c r="G88" s="18"/>
    </row>
    <row r="89" spans="1:7">
      <c r="A89">
        <v>87</v>
      </c>
      <c r="B89" t="s">
        <v>269</v>
      </c>
      <c r="C89" t="s">
        <v>3846</v>
      </c>
      <c r="D89" t="s">
        <v>257</v>
      </c>
      <c r="E89" t="s">
        <v>3742</v>
      </c>
      <c r="G89" s="18"/>
    </row>
    <row r="90" spans="1:7">
      <c r="A90">
        <v>88</v>
      </c>
      <c r="B90" t="s">
        <v>270</v>
      </c>
      <c r="C90" t="s">
        <v>3847</v>
      </c>
      <c r="D90" t="s">
        <v>257</v>
      </c>
      <c r="E90" t="s">
        <v>3742</v>
      </c>
      <c r="G90" s="18"/>
    </row>
    <row r="91" spans="1:7">
      <c r="A91">
        <v>89</v>
      </c>
      <c r="B91" t="s">
        <v>271</v>
      </c>
      <c r="C91" t="s">
        <v>7316</v>
      </c>
      <c r="D91" t="s">
        <v>257</v>
      </c>
      <c r="E91" t="s">
        <v>3742</v>
      </c>
      <c r="G91" s="18"/>
    </row>
    <row r="92" spans="1:7">
      <c r="A92">
        <v>90</v>
      </c>
      <c r="B92" t="s">
        <v>272</v>
      </c>
      <c r="C92" t="s">
        <v>3848</v>
      </c>
      <c r="D92" t="s">
        <v>257</v>
      </c>
      <c r="E92" t="s">
        <v>3742</v>
      </c>
      <c r="G92" s="18"/>
    </row>
    <row r="93" spans="1:7">
      <c r="A93">
        <v>91</v>
      </c>
      <c r="B93" t="s">
        <v>273</v>
      </c>
      <c r="C93" t="s">
        <v>3849</v>
      </c>
      <c r="D93" t="s">
        <v>257</v>
      </c>
      <c r="E93" t="s">
        <v>3742</v>
      </c>
      <c r="G93" s="18"/>
    </row>
    <row r="94" spans="1:7">
      <c r="A94">
        <v>92</v>
      </c>
      <c r="B94" t="s">
        <v>274</v>
      </c>
      <c r="C94" t="s">
        <v>3850</v>
      </c>
      <c r="D94" t="s">
        <v>257</v>
      </c>
      <c r="E94" t="s">
        <v>3742</v>
      </c>
      <c r="G94" s="18"/>
    </row>
    <row r="95" spans="1:7">
      <c r="A95">
        <v>93</v>
      </c>
      <c r="B95" t="s">
        <v>275</v>
      </c>
      <c r="C95" t="s">
        <v>3851</v>
      </c>
      <c r="D95" t="s">
        <v>257</v>
      </c>
      <c r="E95" t="s">
        <v>3742</v>
      </c>
      <c r="G95" s="18"/>
    </row>
    <row r="96" spans="1:7">
      <c r="A96">
        <v>94</v>
      </c>
      <c r="B96" t="s">
        <v>276</v>
      </c>
      <c r="C96" t="s">
        <v>3852</v>
      </c>
      <c r="D96" t="s">
        <v>257</v>
      </c>
      <c r="E96" t="s">
        <v>3742</v>
      </c>
      <c r="G96" s="18"/>
    </row>
    <row r="97" spans="1:7">
      <c r="A97">
        <v>95</v>
      </c>
      <c r="B97" t="s">
        <v>277</v>
      </c>
      <c r="C97" t="s">
        <v>3853</v>
      </c>
      <c r="D97" t="s">
        <v>257</v>
      </c>
      <c r="E97" t="s">
        <v>3742</v>
      </c>
      <c r="G97" s="18"/>
    </row>
    <row r="98" spans="1:7">
      <c r="A98">
        <v>96</v>
      </c>
      <c r="B98" t="s">
        <v>278</v>
      </c>
      <c r="C98" t="s">
        <v>3854</v>
      </c>
      <c r="D98" t="s">
        <v>257</v>
      </c>
      <c r="E98" t="s">
        <v>3742</v>
      </c>
      <c r="G98" s="18"/>
    </row>
    <row r="99" spans="1:7">
      <c r="A99">
        <v>97</v>
      </c>
      <c r="B99" t="s">
        <v>279</v>
      </c>
      <c r="C99" t="s">
        <v>3855</v>
      </c>
      <c r="D99" t="s">
        <v>257</v>
      </c>
      <c r="E99" t="s">
        <v>3742</v>
      </c>
      <c r="G99" s="18"/>
    </row>
    <row r="100" spans="1:7">
      <c r="A100">
        <v>98</v>
      </c>
      <c r="B100" t="s">
        <v>280</v>
      </c>
      <c r="C100" t="s">
        <v>3856</v>
      </c>
      <c r="D100" t="s">
        <v>257</v>
      </c>
      <c r="E100" t="s">
        <v>3742</v>
      </c>
      <c r="G100" s="18"/>
    </row>
    <row r="101" spans="1:7">
      <c r="A101">
        <v>99</v>
      </c>
      <c r="B101" t="s">
        <v>281</v>
      </c>
      <c r="C101" t="s">
        <v>3857</v>
      </c>
      <c r="D101" t="s">
        <v>257</v>
      </c>
      <c r="E101" t="s">
        <v>3742</v>
      </c>
      <c r="G101" s="18"/>
    </row>
    <row r="102" spans="1:7">
      <c r="A102">
        <v>100</v>
      </c>
      <c r="B102" t="s">
        <v>282</v>
      </c>
      <c r="C102" t="s">
        <v>3858</v>
      </c>
      <c r="D102" t="s">
        <v>257</v>
      </c>
      <c r="E102" t="s">
        <v>3742</v>
      </c>
    </row>
    <row r="103" spans="1:7">
      <c r="A103">
        <v>101</v>
      </c>
      <c r="B103" t="s">
        <v>283</v>
      </c>
      <c r="C103" t="s">
        <v>3859</v>
      </c>
      <c r="D103" t="s">
        <v>257</v>
      </c>
      <c r="E103" t="s">
        <v>3742</v>
      </c>
    </row>
    <row r="104" spans="1:7">
      <c r="A104">
        <v>102</v>
      </c>
      <c r="B104" t="s">
        <v>284</v>
      </c>
      <c r="C104" t="s">
        <v>3860</v>
      </c>
      <c r="D104" t="s">
        <v>257</v>
      </c>
      <c r="E104" t="s">
        <v>3742</v>
      </c>
    </row>
    <row r="105" spans="1:7">
      <c r="A105">
        <v>103</v>
      </c>
      <c r="B105" t="s">
        <v>285</v>
      </c>
      <c r="C105" t="s">
        <v>3861</v>
      </c>
      <c r="D105" t="s">
        <v>257</v>
      </c>
      <c r="E105" t="s">
        <v>3742</v>
      </c>
    </row>
    <row r="106" spans="1:7">
      <c r="A106">
        <v>104</v>
      </c>
      <c r="B106" t="s">
        <v>286</v>
      </c>
      <c r="C106" t="s">
        <v>3862</v>
      </c>
      <c r="D106" t="s">
        <v>257</v>
      </c>
      <c r="E106" t="s">
        <v>3742</v>
      </c>
    </row>
    <row r="107" spans="1:7">
      <c r="A107">
        <v>105</v>
      </c>
      <c r="B107" t="s">
        <v>287</v>
      </c>
      <c r="C107" t="s">
        <v>3863</v>
      </c>
      <c r="D107" t="s">
        <v>257</v>
      </c>
      <c r="E107" t="s">
        <v>3742</v>
      </c>
    </row>
    <row r="108" spans="1:7">
      <c r="A108">
        <v>106</v>
      </c>
      <c r="B108" t="s">
        <v>288</v>
      </c>
      <c r="C108" t="s">
        <v>3864</v>
      </c>
      <c r="D108" t="s">
        <v>257</v>
      </c>
      <c r="E108" t="s">
        <v>3742</v>
      </c>
    </row>
    <row r="109" spans="1:7">
      <c r="A109">
        <v>107</v>
      </c>
      <c r="B109" t="s">
        <v>289</v>
      </c>
      <c r="C109" t="s">
        <v>3865</v>
      </c>
      <c r="D109" t="s">
        <v>257</v>
      </c>
      <c r="E109" t="s">
        <v>3742</v>
      </c>
    </row>
    <row r="110" spans="1:7">
      <c r="A110">
        <v>108</v>
      </c>
      <c r="B110" t="s">
        <v>290</v>
      </c>
      <c r="C110" t="s">
        <v>3866</v>
      </c>
      <c r="D110" t="s">
        <v>257</v>
      </c>
      <c r="E110" t="s">
        <v>3742</v>
      </c>
    </row>
    <row r="111" spans="1:7">
      <c r="A111">
        <v>109</v>
      </c>
      <c r="B111" t="s">
        <v>291</v>
      </c>
      <c r="C111" t="s">
        <v>3867</v>
      </c>
      <c r="D111" t="s">
        <v>257</v>
      </c>
      <c r="E111" t="s">
        <v>3742</v>
      </c>
    </row>
    <row r="112" spans="1:7">
      <c r="A112">
        <v>110</v>
      </c>
      <c r="B112" t="s">
        <v>292</v>
      </c>
      <c r="C112" t="s">
        <v>3868</v>
      </c>
      <c r="D112" t="s">
        <v>257</v>
      </c>
      <c r="E112" t="s">
        <v>3742</v>
      </c>
    </row>
    <row r="113" spans="1:5">
      <c r="A113">
        <v>111</v>
      </c>
      <c r="B113" t="s">
        <v>293</v>
      </c>
      <c r="C113" t="s">
        <v>3869</v>
      </c>
      <c r="D113" t="s">
        <v>257</v>
      </c>
      <c r="E113" t="s">
        <v>3742</v>
      </c>
    </row>
    <row r="114" spans="1:5">
      <c r="A114">
        <v>112</v>
      </c>
      <c r="B114" t="s">
        <v>294</v>
      </c>
      <c r="C114" t="s">
        <v>3870</v>
      </c>
      <c r="D114" t="s">
        <v>257</v>
      </c>
      <c r="E114" t="s">
        <v>3742</v>
      </c>
    </row>
    <row r="115" spans="1:5">
      <c r="A115">
        <v>113</v>
      </c>
      <c r="B115" t="s">
        <v>295</v>
      </c>
      <c r="C115" t="s">
        <v>3871</v>
      </c>
      <c r="D115" t="s">
        <v>257</v>
      </c>
      <c r="E115" t="s">
        <v>3742</v>
      </c>
    </row>
    <row r="116" spans="1:5">
      <c r="A116">
        <v>114</v>
      </c>
      <c r="B116" t="s">
        <v>296</v>
      </c>
      <c r="C116" t="s">
        <v>3872</v>
      </c>
      <c r="D116" t="s">
        <v>257</v>
      </c>
      <c r="E116" t="s">
        <v>3742</v>
      </c>
    </row>
    <row r="117" spans="1:5">
      <c r="A117">
        <v>115</v>
      </c>
      <c r="B117" t="s">
        <v>297</v>
      </c>
      <c r="C117" t="s">
        <v>3873</v>
      </c>
      <c r="D117" t="s">
        <v>257</v>
      </c>
      <c r="E117" t="s">
        <v>3742</v>
      </c>
    </row>
    <row r="118" spans="1:5">
      <c r="A118">
        <v>116</v>
      </c>
      <c r="B118" t="s">
        <v>299</v>
      </c>
      <c r="C118" t="s">
        <v>3874</v>
      </c>
      <c r="D118" t="s">
        <v>257</v>
      </c>
      <c r="E118" t="s">
        <v>3742</v>
      </c>
    </row>
    <row r="119" spans="1:5">
      <c r="A119">
        <v>117</v>
      </c>
      <c r="B119" t="s">
        <v>300</v>
      </c>
      <c r="C119" t="s">
        <v>3875</v>
      </c>
      <c r="D119" t="s">
        <v>257</v>
      </c>
      <c r="E119" t="s">
        <v>3742</v>
      </c>
    </row>
    <row r="120" spans="1:5">
      <c r="A120">
        <v>118</v>
      </c>
      <c r="B120" t="s">
        <v>301</v>
      </c>
      <c r="C120" t="s">
        <v>3876</v>
      </c>
      <c r="D120" t="s">
        <v>257</v>
      </c>
      <c r="E120" t="s">
        <v>3742</v>
      </c>
    </row>
    <row r="121" spans="1:5">
      <c r="A121">
        <v>119</v>
      </c>
      <c r="B121" t="s">
        <v>302</v>
      </c>
      <c r="C121" t="s">
        <v>3877</v>
      </c>
      <c r="D121" t="s">
        <v>257</v>
      </c>
      <c r="E121" t="s">
        <v>3742</v>
      </c>
    </row>
    <row r="122" spans="1:5">
      <c r="A122">
        <v>120</v>
      </c>
      <c r="B122" t="s">
        <v>303</v>
      </c>
      <c r="C122" t="s">
        <v>3878</v>
      </c>
      <c r="D122" t="s">
        <v>257</v>
      </c>
      <c r="E122" t="s">
        <v>3742</v>
      </c>
    </row>
    <row r="123" spans="1:5">
      <c r="A123">
        <v>121</v>
      </c>
      <c r="B123" t="s">
        <v>304</v>
      </c>
      <c r="C123" t="s">
        <v>3879</v>
      </c>
      <c r="D123" t="s">
        <v>257</v>
      </c>
      <c r="E123" t="s">
        <v>3742</v>
      </c>
    </row>
    <row r="124" spans="1:5">
      <c r="A124">
        <v>122</v>
      </c>
      <c r="B124" t="s">
        <v>305</v>
      </c>
      <c r="C124" t="s">
        <v>3880</v>
      </c>
      <c r="D124" t="s">
        <v>257</v>
      </c>
      <c r="E124" t="s">
        <v>3742</v>
      </c>
    </row>
    <row r="125" spans="1:5">
      <c r="A125">
        <v>123</v>
      </c>
      <c r="B125" t="s">
        <v>306</v>
      </c>
      <c r="C125" t="s">
        <v>3881</v>
      </c>
      <c r="D125" t="s">
        <v>257</v>
      </c>
      <c r="E125" t="s">
        <v>3742</v>
      </c>
    </row>
    <row r="126" spans="1:5">
      <c r="A126">
        <v>124</v>
      </c>
      <c r="B126" t="s">
        <v>307</v>
      </c>
      <c r="C126" t="s">
        <v>3882</v>
      </c>
      <c r="D126" t="s">
        <v>257</v>
      </c>
      <c r="E126" t="s">
        <v>3742</v>
      </c>
    </row>
    <row r="127" spans="1:5">
      <c r="A127">
        <v>125</v>
      </c>
      <c r="B127" t="s">
        <v>308</v>
      </c>
      <c r="C127" t="s">
        <v>3883</v>
      </c>
      <c r="D127" t="s">
        <v>257</v>
      </c>
      <c r="E127" t="s">
        <v>3742</v>
      </c>
    </row>
    <row r="128" spans="1:5">
      <c r="A128">
        <v>126</v>
      </c>
      <c r="B128" t="s">
        <v>309</v>
      </c>
      <c r="C128" t="s">
        <v>3884</v>
      </c>
      <c r="D128" t="s">
        <v>257</v>
      </c>
      <c r="E128" t="s">
        <v>3742</v>
      </c>
    </row>
    <row r="129" spans="1:5">
      <c r="A129">
        <v>127</v>
      </c>
      <c r="B129" t="s">
        <v>310</v>
      </c>
      <c r="C129" t="s">
        <v>3885</v>
      </c>
      <c r="D129" t="s">
        <v>257</v>
      </c>
      <c r="E129" t="s">
        <v>3742</v>
      </c>
    </row>
    <row r="130" spans="1:5">
      <c r="A130">
        <v>128</v>
      </c>
      <c r="B130" t="s">
        <v>311</v>
      </c>
      <c r="C130" t="s">
        <v>3886</v>
      </c>
      <c r="D130" t="s">
        <v>257</v>
      </c>
      <c r="E130" t="s">
        <v>3742</v>
      </c>
    </row>
    <row r="131" spans="1:5">
      <c r="A131">
        <v>129</v>
      </c>
      <c r="B131" t="s">
        <v>312</v>
      </c>
      <c r="C131" t="s">
        <v>3887</v>
      </c>
      <c r="D131" t="s">
        <v>257</v>
      </c>
      <c r="E131" t="s">
        <v>3742</v>
      </c>
    </row>
    <row r="132" spans="1:5">
      <c r="A132">
        <v>130</v>
      </c>
      <c r="B132" t="s">
        <v>313</v>
      </c>
      <c r="C132" t="s">
        <v>3888</v>
      </c>
      <c r="D132" t="s">
        <v>257</v>
      </c>
      <c r="E132" t="s">
        <v>3742</v>
      </c>
    </row>
    <row r="133" spans="1:5">
      <c r="A133">
        <v>131</v>
      </c>
      <c r="B133" t="s">
        <v>314</v>
      </c>
      <c r="C133" t="s">
        <v>3889</v>
      </c>
      <c r="D133" t="s">
        <v>257</v>
      </c>
      <c r="E133" t="s">
        <v>3742</v>
      </c>
    </row>
    <row r="134" spans="1:5">
      <c r="A134">
        <v>132</v>
      </c>
      <c r="B134" t="s">
        <v>315</v>
      </c>
      <c r="C134" t="s">
        <v>3890</v>
      </c>
      <c r="D134" t="s">
        <v>257</v>
      </c>
      <c r="E134" t="s">
        <v>3742</v>
      </c>
    </row>
    <row r="135" spans="1:5">
      <c r="A135">
        <v>133</v>
      </c>
      <c r="B135" t="s">
        <v>316</v>
      </c>
      <c r="C135" t="s">
        <v>3891</v>
      </c>
      <c r="D135" t="s">
        <v>257</v>
      </c>
      <c r="E135" t="s">
        <v>3742</v>
      </c>
    </row>
    <row r="136" spans="1:5">
      <c r="A136">
        <v>134</v>
      </c>
      <c r="B136" t="s">
        <v>317</v>
      </c>
      <c r="C136" t="s">
        <v>3892</v>
      </c>
      <c r="D136" t="s">
        <v>257</v>
      </c>
      <c r="E136" t="s">
        <v>3742</v>
      </c>
    </row>
    <row r="137" spans="1:5">
      <c r="A137">
        <v>135</v>
      </c>
      <c r="B137" t="s">
        <v>318</v>
      </c>
      <c r="C137" t="s">
        <v>3893</v>
      </c>
      <c r="D137" t="s">
        <v>257</v>
      </c>
      <c r="E137" t="s">
        <v>3742</v>
      </c>
    </row>
    <row r="138" spans="1:5">
      <c r="A138">
        <v>136</v>
      </c>
      <c r="B138" t="s">
        <v>319</v>
      </c>
      <c r="C138" t="s">
        <v>3894</v>
      </c>
      <c r="D138" t="s">
        <v>257</v>
      </c>
      <c r="E138" t="s">
        <v>3742</v>
      </c>
    </row>
    <row r="139" spans="1:5">
      <c r="A139">
        <v>137</v>
      </c>
      <c r="B139" t="s">
        <v>320</v>
      </c>
      <c r="C139" t="s">
        <v>3895</v>
      </c>
      <c r="D139" t="s">
        <v>257</v>
      </c>
      <c r="E139" t="s">
        <v>3742</v>
      </c>
    </row>
    <row r="140" spans="1:5">
      <c r="A140">
        <v>138</v>
      </c>
      <c r="B140" t="s">
        <v>321</v>
      </c>
      <c r="C140" t="s">
        <v>3896</v>
      </c>
      <c r="D140" t="s">
        <v>257</v>
      </c>
      <c r="E140" t="s">
        <v>3742</v>
      </c>
    </row>
    <row r="141" spans="1:5">
      <c r="A141">
        <v>139</v>
      </c>
      <c r="B141" t="s">
        <v>322</v>
      </c>
      <c r="C141" t="s">
        <v>3897</v>
      </c>
      <c r="D141" t="s">
        <v>257</v>
      </c>
      <c r="E141" t="s">
        <v>3742</v>
      </c>
    </row>
    <row r="142" spans="1:5">
      <c r="A142">
        <v>140</v>
      </c>
      <c r="B142" t="s">
        <v>323</v>
      </c>
      <c r="C142" t="s">
        <v>3898</v>
      </c>
      <c r="D142" t="s">
        <v>257</v>
      </c>
      <c r="E142" t="s">
        <v>3742</v>
      </c>
    </row>
    <row r="143" spans="1:5">
      <c r="A143">
        <v>141</v>
      </c>
      <c r="B143" t="s">
        <v>324</v>
      </c>
      <c r="C143" t="s">
        <v>3899</v>
      </c>
      <c r="D143" t="s">
        <v>257</v>
      </c>
      <c r="E143" t="s">
        <v>3742</v>
      </c>
    </row>
    <row r="144" spans="1:5">
      <c r="A144">
        <v>142</v>
      </c>
      <c r="B144" t="s">
        <v>325</v>
      </c>
      <c r="C144" t="s">
        <v>3900</v>
      </c>
      <c r="D144" t="s">
        <v>257</v>
      </c>
      <c r="E144" t="s">
        <v>3742</v>
      </c>
    </row>
    <row r="145" spans="1:5">
      <c r="A145">
        <v>143</v>
      </c>
      <c r="B145" t="s">
        <v>326</v>
      </c>
      <c r="C145" t="s">
        <v>3901</v>
      </c>
      <c r="D145" t="s">
        <v>257</v>
      </c>
      <c r="E145" t="s">
        <v>3742</v>
      </c>
    </row>
    <row r="146" spans="1:5">
      <c r="A146">
        <v>144</v>
      </c>
      <c r="B146" t="s">
        <v>327</v>
      </c>
      <c r="C146" t="s">
        <v>3902</v>
      </c>
      <c r="D146" t="s">
        <v>257</v>
      </c>
      <c r="E146" t="s">
        <v>3742</v>
      </c>
    </row>
    <row r="147" spans="1:5">
      <c r="A147">
        <v>145</v>
      </c>
      <c r="B147" t="s">
        <v>328</v>
      </c>
      <c r="C147" t="s">
        <v>3903</v>
      </c>
      <c r="D147" t="s">
        <v>257</v>
      </c>
      <c r="E147" t="s">
        <v>3742</v>
      </c>
    </row>
    <row r="148" spans="1:5">
      <c r="A148">
        <v>146</v>
      </c>
      <c r="B148" t="s">
        <v>329</v>
      </c>
      <c r="C148" t="s">
        <v>3904</v>
      </c>
      <c r="D148" t="s">
        <v>257</v>
      </c>
      <c r="E148" t="s">
        <v>3742</v>
      </c>
    </row>
    <row r="149" spans="1:5">
      <c r="A149">
        <v>147</v>
      </c>
      <c r="B149" t="s">
        <v>330</v>
      </c>
      <c r="C149" t="s">
        <v>3905</v>
      </c>
      <c r="D149" t="s">
        <v>257</v>
      </c>
      <c r="E149" t="s">
        <v>3742</v>
      </c>
    </row>
    <row r="150" spans="1:5">
      <c r="A150">
        <v>148</v>
      </c>
      <c r="B150" t="s">
        <v>331</v>
      </c>
      <c r="C150" t="s">
        <v>3906</v>
      </c>
      <c r="D150" t="s">
        <v>257</v>
      </c>
      <c r="E150" t="s">
        <v>3742</v>
      </c>
    </row>
    <row r="151" spans="1:5">
      <c r="A151">
        <v>149</v>
      </c>
      <c r="B151" t="s">
        <v>332</v>
      </c>
      <c r="C151" t="s">
        <v>3907</v>
      </c>
      <c r="D151" t="s">
        <v>257</v>
      </c>
      <c r="E151" t="s">
        <v>3742</v>
      </c>
    </row>
    <row r="152" spans="1:5">
      <c r="A152">
        <v>150</v>
      </c>
      <c r="B152" t="s">
        <v>333</v>
      </c>
      <c r="C152" t="s">
        <v>3908</v>
      </c>
      <c r="D152" t="s">
        <v>257</v>
      </c>
      <c r="E152" t="s">
        <v>3742</v>
      </c>
    </row>
    <row r="153" spans="1:5">
      <c r="A153">
        <v>151</v>
      </c>
      <c r="B153" t="s">
        <v>334</v>
      </c>
      <c r="C153" t="s">
        <v>3909</v>
      </c>
      <c r="D153" t="s">
        <v>257</v>
      </c>
      <c r="E153" t="s">
        <v>3742</v>
      </c>
    </row>
    <row r="154" spans="1:5">
      <c r="A154">
        <v>152</v>
      </c>
      <c r="B154" t="s">
        <v>335</v>
      </c>
      <c r="C154" t="s">
        <v>3910</v>
      </c>
      <c r="D154" t="s">
        <v>257</v>
      </c>
      <c r="E154" t="s">
        <v>3742</v>
      </c>
    </row>
    <row r="155" spans="1:5">
      <c r="A155">
        <v>153</v>
      </c>
      <c r="B155" t="s">
        <v>336</v>
      </c>
      <c r="C155" t="s">
        <v>3911</v>
      </c>
      <c r="D155" t="s">
        <v>257</v>
      </c>
      <c r="E155" t="s">
        <v>3742</v>
      </c>
    </row>
    <row r="156" spans="1:5">
      <c r="A156">
        <v>154</v>
      </c>
      <c r="B156" t="s">
        <v>337</v>
      </c>
      <c r="C156" t="s">
        <v>3912</v>
      </c>
      <c r="D156" t="s">
        <v>257</v>
      </c>
      <c r="E156" t="s">
        <v>3742</v>
      </c>
    </row>
    <row r="157" spans="1:5">
      <c r="A157">
        <v>155</v>
      </c>
      <c r="B157" t="s">
        <v>338</v>
      </c>
      <c r="C157" t="s">
        <v>3913</v>
      </c>
      <c r="D157" t="s">
        <v>257</v>
      </c>
      <c r="E157" t="s">
        <v>3742</v>
      </c>
    </row>
    <row r="158" spans="1:5">
      <c r="A158">
        <v>156</v>
      </c>
      <c r="B158" t="s">
        <v>339</v>
      </c>
      <c r="C158" t="s">
        <v>3914</v>
      </c>
      <c r="D158" t="s">
        <v>257</v>
      </c>
      <c r="E158" t="s">
        <v>3742</v>
      </c>
    </row>
    <row r="159" spans="1:5">
      <c r="A159">
        <v>157</v>
      </c>
      <c r="B159" t="s">
        <v>340</v>
      </c>
      <c r="C159" t="s">
        <v>3915</v>
      </c>
      <c r="D159" t="s">
        <v>257</v>
      </c>
      <c r="E159" t="s">
        <v>3742</v>
      </c>
    </row>
    <row r="160" spans="1:5">
      <c r="A160">
        <v>158</v>
      </c>
      <c r="B160" t="s">
        <v>341</v>
      </c>
      <c r="C160" t="s">
        <v>3916</v>
      </c>
      <c r="D160" t="s">
        <v>257</v>
      </c>
      <c r="E160" t="s">
        <v>3742</v>
      </c>
    </row>
    <row r="161" spans="1:5">
      <c r="A161">
        <v>159</v>
      </c>
      <c r="B161" t="s">
        <v>342</v>
      </c>
      <c r="C161" t="s">
        <v>3917</v>
      </c>
      <c r="D161" t="s">
        <v>257</v>
      </c>
      <c r="E161" t="s">
        <v>3742</v>
      </c>
    </row>
    <row r="162" spans="1:5">
      <c r="A162">
        <v>160</v>
      </c>
      <c r="B162" t="s">
        <v>343</v>
      </c>
      <c r="C162" t="s">
        <v>3918</v>
      </c>
      <c r="D162" t="s">
        <v>257</v>
      </c>
      <c r="E162" t="s">
        <v>3742</v>
      </c>
    </row>
    <row r="163" spans="1:5">
      <c r="A163">
        <v>161</v>
      </c>
      <c r="B163" t="s">
        <v>344</v>
      </c>
      <c r="C163" t="s">
        <v>3919</v>
      </c>
      <c r="D163" t="s">
        <v>257</v>
      </c>
      <c r="E163" t="s">
        <v>3742</v>
      </c>
    </row>
    <row r="164" spans="1:5">
      <c r="A164">
        <v>162</v>
      </c>
      <c r="B164" t="s">
        <v>345</v>
      </c>
      <c r="C164" t="s">
        <v>3920</v>
      </c>
      <c r="D164" t="s">
        <v>257</v>
      </c>
      <c r="E164" t="s">
        <v>3742</v>
      </c>
    </row>
    <row r="165" spans="1:5">
      <c r="A165">
        <v>163</v>
      </c>
      <c r="B165" t="s">
        <v>346</v>
      </c>
      <c r="C165" t="s">
        <v>3921</v>
      </c>
      <c r="D165" t="s">
        <v>257</v>
      </c>
      <c r="E165" t="s">
        <v>3742</v>
      </c>
    </row>
    <row r="166" spans="1:5">
      <c r="A166">
        <v>164</v>
      </c>
      <c r="B166" t="s">
        <v>347</v>
      </c>
      <c r="C166" t="s">
        <v>3922</v>
      </c>
      <c r="D166" t="s">
        <v>257</v>
      </c>
      <c r="E166" t="s">
        <v>3742</v>
      </c>
    </row>
    <row r="167" spans="1:5">
      <c r="A167">
        <v>165</v>
      </c>
      <c r="B167" t="s">
        <v>348</v>
      </c>
      <c r="C167" t="s">
        <v>3923</v>
      </c>
      <c r="D167" t="s">
        <v>257</v>
      </c>
      <c r="E167" t="s">
        <v>3742</v>
      </c>
    </row>
    <row r="168" spans="1:5">
      <c r="A168">
        <v>166</v>
      </c>
      <c r="B168" t="s">
        <v>349</v>
      </c>
      <c r="C168" t="s">
        <v>3924</v>
      </c>
      <c r="D168" t="s">
        <v>257</v>
      </c>
      <c r="E168" t="s">
        <v>3742</v>
      </c>
    </row>
    <row r="169" spans="1:5">
      <c r="A169">
        <v>167</v>
      </c>
      <c r="B169" t="s">
        <v>350</v>
      </c>
      <c r="C169" t="s">
        <v>3925</v>
      </c>
      <c r="D169" t="s">
        <v>257</v>
      </c>
      <c r="E169" t="s">
        <v>3742</v>
      </c>
    </row>
    <row r="170" spans="1:5">
      <c r="A170">
        <v>168</v>
      </c>
      <c r="B170" t="s">
        <v>351</v>
      </c>
      <c r="C170" t="s">
        <v>3926</v>
      </c>
      <c r="D170" t="s">
        <v>257</v>
      </c>
      <c r="E170" t="s">
        <v>3742</v>
      </c>
    </row>
    <row r="171" spans="1:5">
      <c r="A171">
        <v>169</v>
      </c>
      <c r="B171" t="s">
        <v>352</v>
      </c>
      <c r="C171" t="s">
        <v>3927</v>
      </c>
      <c r="D171" t="s">
        <v>257</v>
      </c>
      <c r="E171" t="s">
        <v>3742</v>
      </c>
    </row>
    <row r="172" spans="1:5">
      <c r="A172">
        <v>170</v>
      </c>
      <c r="B172" t="s">
        <v>353</v>
      </c>
      <c r="C172" t="s">
        <v>3928</v>
      </c>
      <c r="D172" t="s">
        <v>257</v>
      </c>
      <c r="E172" t="s">
        <v>3742</v>
      </c>
    </row>
    <row r="173" spans="1:5">
      <c r="A173">
        <v>171</v>
      </c>
      <c r="B173" t="s">
        <v>354</v>
      </c>
      <c r="C173" t="s">
        <v>3929</v>
      </c>
      <c r="D173" t="s">
        <v>257</v>
      </c>
      <c r="E173" t="s">
        <v>3742</v>
      </c>
    </row>
    <row r="174" spans="1:5">
      <c r="A174">
        <v>172</v>
      </c>
      <c r="B174" t="s">
        <v>355</v>
      </c>
      <c r="C174" t="s">
        <v>3930</v>
      </c>
      <c r="D174" t="s">
        <v>257</v>
      </c>
      <c r="E174" t="s">
        <v>3742</v>
      </c>
    </row>
    <row r="175" spans="1:5">
      <c r="A175">
        <v>173</v>
      </c>
      <c r="B175" t="s">
        <v>356</v>
      </c>
      <c r="C175" t="s">
        <v>3931</v>
      </c>
      <c r="D175" t="s">
        <v>257</v>
      </c>
      <c r="E175" t="s">
        <v>3742</v>
      </c>
    </row>
    <row r="176" spans="1:5">
      <c r="A176">
        <v>174</v>
      </c>
      <c r="B176" t="s">
        <v>357</v>
      </c>
      <c r="C176" t="s">
        <v>3932</v>
      </c>
      <c r="D176" t="s">
        <v>257</v>
      </c>
      <c r="E176" t="s">
        <v>3742</v>
      </c>
    </row>
    <row r="177" spans="1:5">
      <c r="A177">
        <v>175</v>
      </c>
      <c r="B177" t="s">
        <v>358</v>
      </c>
      <c r="C177" t="s">
        <v>3933</v>
      </c>
      <c r="D177" t="s">
        <v>257</v>
      </c>
      <c r="E177" t="s">
        <v>3742</v>
      </c>
    </row>
    <row r="178" spans="1:5">
      <c r="A178">
        <v>176</v>
      </c>
      <c r="B178" t="s">
        <v>359</v>
      </c>
      <c r="C178" t="s">
        <v>3934</v>
      </c>
      <c r="D178" t="s">
        <v>257</v>
      </c>
      <c r="E178" t="s">
        <v>3742</v>
      </c>
    </row>
    <row r="179" spans="1:5">
      <c r="A179">
        <v>177</v>
      </c>
      <c r="B179" t="s">
        <v>360</v>
      </c>
      <c r="C179" t="s">
        <v>3935</v>
      </c>
      <c r="D179" t="s">
        <v>257</v>
      </c>
      <c r="E179" t="s">
        <v>3742</v>
      </c>
    </row>
    <row r="180" spans="1:5">
      <c r="A180">
        <v>178</v>
      </c>
      <c r="B180" t="s">
        <v>361</v>
      </c>
      <c r="C180" t="s">
        <v>3936</v>
      </c>
      <c r="D180" t="s">
        <v>257</v>
      </c>
      <c r="E180" t="s">
        <v>3742</v>
      </c>
    </row>
    <row r="181" spans="1:5">
      <c r="A181">
        <v>179</v>
      </c>
      <c r="B181" t="s">
        <v>362</v>
      </c>
      <c r="C181" t="s">
        <v>3937</v>
      </c>
      <c r="D181" t="s">
        <v>257</v>
      </c>
      <c r="E181" t="s">
        <v>3742</v>
      </c>
    </row>
    <row r="182" spans="1:5">
      <c r="A182">
        <v>180</v>
      </c>
      <c r="B182" t="s">
        <v>363</v>
      </c>
      <c r="C182" t="s">
        <v>3938</v>
      </c>
      <c r="D182" t="s">
        <v>257</v>
      </c>
      <c r="E182" t="s">
        <v>3742</v>
      </c>
    </row>
    <row r="183" spans="1:5">
      <c r="A183">
        <v>181</v>
      </c>
      <c r="B183" t="s">
        <v>364</v>
      </c>
      <c r="C183" t="s">
        <v>3939</v>
      </c>
      <c r="D183" t="s">
        <v>257</v>
      </c>
      <c r="E183" t="s">
        <v>3742</v>
      </c>
    </row>
    <row r="184" spans="1:5">
      <c r="A184">
        <v>182</v>
      </c>
      <c r="B184" t="s">
        <v>365</v>
      </c>
      <c r="C184" t="s">
        <v>3940</v>
      </c>
      <c r="D184" t="s">
        <v>257</v>
      </c>
      <c r="E184" t="s">
        <v>3742</v>
      </c>
    </row>
    <row r="185" spans="1:5">
      <c r="A185">
        <v>183</v>
      </c>
      <c r="B185" t="s">
        <v>366</v>
      </c>
      <c r="C185" t="s">
        <v>3941</v>
      </c>
      <c r="D185" t="s">
        <v>257</v>
      </c>
      <c r="E185" t="s">
        <v>3742</v>
      </c>
    </row>
    <row r="186" spans="1:5">
      <c r="A186">
        <v>184</v>
      </c>
      <c r="B186" t="s">
        <v>367</v>
      </c>
      <c r="C186" t="s">
        <v>3942</v>
      </c>
      <c r="D186" t="s">
        <v>257</v>
      </c>
      <c r="E186" t="s">
        <v>3742</v>
      </c>
    </row>
    <row r="187" spans="1:5">
      <c r="A187">
        <v>185</v>
      </c>
      <c r="B187" t="s">
        <v>368</v>
      </c>
      <c r="C187" t="s">
        <v>3943</v>
      </c>
      <c r="D187" t="s">
        <v>257</v>
      </c>
      <c r="E187" t="s">
        <v>3742</v>
      </c>
    </row>
    <row r="188" spans="1:5">
      <c r="A188">
        <v>186</v>
      </c>
      <c r="B188" t="s">
        <v>369</v>
      </c>
      <c r="C188" t="s">
        <v>3944</v>
      </c>
      <c r="D188" t="s">
        <v>257</v>
      </c>
      <c r="E188" t="s">
        <v>3742</v>
      </c>
    </row>
    <row r="189" spans="1:5">
      <c r="A189">
        <v>187</v>
      </c>
      <c r="B189" t="s">
        <v>370</v>
      </c>
      <c r="C189" t="s">
        <v>3945</v>
      </c>
      <c r="D189" t="s">
        <v>257</v>
      </c>
      <c r="E189" t="s">
        <v>3742</v>
      </c>
    </row>
    <row r="190" spans="1:5">
      <c r="A190">
        <v>188</v>
      </c>
      <c r="B190" t="s">
        <v>371</v>
      </c>
      <c r="C190" t="s">
        <v>3946</v>
      </c>
      <c r="D190" t="s">
        <v>257</v>
      </c>
      <c r="E190" t="s">
        <v>3742</v>
      </c>
    </row>
    <row r="191" spans="1:5">
      <c r="A191">
        <v>189</v>
      </c>
      <c r="B191" t="s">
        <v>372</v>
      </c>
      <c r="C191" t="s">
        <v>3947</v>
      </c>
      <c r="D191" t="s">
        <v>257</v>
      </c>
      <c r="E191" t="s">
        <v>3742</v>
      </c>
    </row>
    <row r="192" spans="1:5">
      <c r="A192">
        <v>190</v>
      </c>
      <c r="B192" t="s">
        <v>373</v>
      </c>
      <c r="C192" t="s">
        <v>3948</v>
      </c>
      <c r="D192" t="s">
        <v>257</v>
      </c>
      <c r="E192" t="s">
        <v>3742</v>
      </c>
    </row>
    <row r="193" spans="1:5">
      <c r="A193">
        <v>191</v>
      </c>
      <c r="B193" t="s">
        <v>374</v>
      </c>
      <c r="C193" t="s">
        <v>3949</v>
      </c>
      <c r="D193" t="s">
        <v>257</v>
      </c>
      <c r="E193" t="s">
        <v>3742</v>
      </c>
    </row>
    <row r="194" spans="1:5">
      <c r="A194">
        <v>192</v>
      </c>
      <c r="B194" t="s">
        <v>375</v>
      </c>
      <c r="C194" t="s">
        <v>3950</v>
      </c>
      <c r="D194" t="s">
        <v>257</v>
      </c>
      <c r="E194" t="s">
        <v>3742</v>
      </c>
    </row>
    <row r="195" spans="1:5">
      <c r="A195">
        <v>193</v>
      </c>
      <c r="B195" t="s">
        <v>376</v>
      </c>
      <c r="C195" t="s">
        <v>3951</v>
      </c>
      <c r="D195" t="s">
        <v>257</v>
      </c>
      <c r="E195" t="s">
        <v>3742</v>
      </c>
    </row>
    <row r="196" spans="1:5">
      <c r="A196">
        <v>194</v>
      </c>
      <c r="B196" t="s">
        <v>377</v>
      </c>
      <c r="C196" t="s">
        <v>3952</v>
      </c>
      <c r="D196" t="s">
        <v>257</v>
      </c>
      <c r="E196" t="s">
        <v>3742</v>
      </c>
    </row>
    <row r="197" spans="1:5">
      <c r="A197">
        <v>195</v>
      </c>
      <c r="B197" t="s">
        <v>378</v>
      </c>
      <c r="C197" t="s">
        <v>3953</v>
      </c>
      <c r="D197" t="s">
        <v>257</v>
      </c>
      <c r="E197" t="s">
        <v>3742</v>
      </c>
    </row>
    <row r="198" spans="1:5">
      <c r="A198">
        <v>196</v>
      </c>
      <c r="B198" t="s">
        <v>379</v>
      </c>
      <c r="C198" t="s">
        <v>3954</v>
      </c>
      <c r="D198" t="s">
        <v>257</v>
      </c>
      <c r="E198" t="s">
        <v>3742</v>
      </c>
    </row>
    <row r="199" spans="1:5">
      <c r="A199">
        <v>197</v>
      </c>
      <c r="B199" t="s">
        <v>380</v>
      </c>
      <c r="C199" t="s">
        <v>3955</v>
      </c>
      <c r="D199" t="s">
        <v>257</v>
      </c>
      <c r="E199" t="s">
        <v>3742</v>
      </c>
    </row>
    <row r="200" spans="1:5">
      <c r="A200">
        <v>198</v>
      </c>
      <c r="B200" t="s">
        <v>381</v>
      </c>
      <c r="C200" t="s">
        <v>3956</v>
      </c>
      <c r="D200" t="s">
        <v>257</v>
      </c>
      <c r="E200" t="s">
        <v>3742</v>
      </c>
    </row>
    <row r="201" spans="1:5">
      <c r="A201">
        <v>199</v>
      </c>
      <c r="B201" t="s">
        <v>382</v>
      </c>
      <c r="C201" t="s">
        <v>3957</v>
      </c>
      <c r="D201" t="s">
        <v>257</v>
      </c>
      <c r="E201" t="s">
        <v>3742</v>
      </c>
    </row>
    <row r="202" spans="1:5">
      <c r="A202">
        <v>200</v>
      </c>
      <c r="B202" t="s">
        <v>383</v>
      </c>
      <c r="C202" t="s">
        <v>3958</v>
      </c>
      <c r="D202" t="s">
        <v>257</v>
      </c>
      <c r="E202" t="s">
        <v>3742</v>
      </c>
    </row>
    <row r="203" spans="1:5">
      <c r="A203">
        <v>201</v>
      </c>
      <c r="B203" t="s">
        <v>384</v>
      </c>
      <c r="C203" t="s">
        <v>3959</v>
      </c>
      <c r="D203" t="s">
        <v>257</v>
      </c>
      <c r="E203" t="s">
        <v>3742</v>
      </c>
    </row>
    <row r="204" spans="1:5">
      <c r="A204">
        <v>202</v>
      </c>
      <c r="B204" t="s">
        <v>385</v>
      </c>
      <c r="C204" t="s">
        <v>3960</v>
      </c>
      <c r="D204" t="s">
        <v>257</v>
      </c>
      <c r="E204" t="s">
        <v>3742</v>
      </c>
    </row>
    <row r="205" spans="1:5">
      <c r="A205">
        <v>203</v>
      </c>
      <c r="B205" t="s">
        <v>386</v>
      </c>
      <c r="C205" t="s">
        <v>3961</v>
      </c>
      <c r="D205" t="s">
        <v>257</v>
      </c>
      <c r="E205" t="s">
        <v>3742</v>
      </c>
    </row>
    <row r="206" spans="1:5">
      <c r="A206">
        <v>204</v>
      </c>
      <c r="B206" t="s">
        <v>387</v>
      </c>
      <c r="C206" t="s">
        <v>3962</v>
      </c>
      <c r="D206" t="s">
        <v>257</v>
      </c>
      <c r="E206" t="s">
        <v>3742</v>
      </c>
    </row>
    <row r="207" spans="1:5">
      <c r="A207">
        <v>205</v>
      </c>
      <c r="B207" t="s">
        <v>388</v>
      </c>
      <c r="C207" t="s">
        <v>3963</v>
      </c>
      <c r="D207" t="s">
        <v>257</v>
      </c>
      <c r="E207" t="s">
        <v>3742</v>
      </c>
    </row>
    <row r="208" spans="1:5">
      <c r="A208">
        <v>206</v>
      </c>
      <c r="B208" t="s">
        <v>389</v>
      </c>
      <c r="C208" t="s">
        <v>3964</v>
      </c>
      <c r="D208" t="s">
        <v>257</v>
      </c>
      <c r="E208" t="s">
        <v>3742</v>
      </c>
    </row>
    <row r="209" spans="1:5">
      <c r="A209">
        <v>207</v>
      </c>
      <c r="B209" t="s">
        <v>390</v>
      </c>
      <c r="C209" t="s">
        <v>3965</v>
      </c>
      <c r="D209" t="s">
        <v>257</v>
      </c>
      <c r="E209" t="s">
        <v>3742</v>
      </c>
    </row>
    <row r="210" spans="1:5">
      <c r="A210">
        <v>208</v>
      </c>
      <c r="B210" t="s">
        <v>391</v>
      </c>
      <c r="C210" t="s">
        <v>3966</v>
      </c>
      <c r="D210" t="s">
        <v>257</v>
      </c>
      <c r="E210" t="s">
        <v>3742</v>
      </c>
    </row>
    <row r="211" spans="1:5">
      <c r="A211">
        <v>209</v>
      </c>
      <c r="B211" t="s">
        <v>392</v>
      </c>
      <c r="C211" t="s">
        <v>3967</v>
      </c>
      <c r="D211" t="s">
        <v>257</v>
      </c>
      <c r="E211" t="s">
        <v>3742</v>
      </c>
    </row>
    <row r="212" spans="1:5">
      <c r="A212">
        <v>210</v>
      </c>
      <c r="B212" t="s">
        <v>393</v>
      </c>
      <c r="C212" t="s">
        <v>3968</v>
      </c>
      <c r="D212" t="s">
        <v>257</v>
      </c>
      <c r="E212" t="s">
        <v>3742</v>
      </c>
    </row>
    <row r="213" spans="1:5">
      <c r="A213">
        <v>211</v>
      </c>
      <c r="B213" t="s">
        <v>394</v>
      </c>
      <c r="C213" t="s">
        <v>3969</v>
      </c>
      <c r="D213" t="s">
        <v>257</v>
      </c>
      <c r="E213" t="s">
        <v>3742</v>
      </c>
    </row>
    <row r="214" spans="1:5">
      <c r="A214">
        <v>212</v>
      </c>
      <c r="B214" t="s">
        <v>395</v>
      </c>
      <c r="C214" t="s">
        <v>3970</v>
      </c>
      <c r="D214" t="s">
        <v>257</v>
      </c>
      <c r="E214" t="s">
        <v>3742</v>
      </c>
    </row>
    <row r="215" spans="1:5">
      <c r="A215">
        <v>213</v>
      </c>
      <c r="B215" t="s">
        <v>396</v>
      </c>
      <c r="C215" t="s">
        <v>3971</v>
      </c>
      <c r="D215" t="s">
        <v>257</v>
      </c>
      <c r="E215" t="s">
        <v>3742</v>
      </c>
    </row>
    <row r="216" spans="1:5">
      <c r="A216">
        <v>214</v>
      </c>
      <c r="B216" t="s">
        <v>397</v>
      </c>
      <c r="C216" t="s">
        <v>3972</v>
      </c>
      <c r="D216" t="s">
        <v>257</v>
      </c>
      <c r="E216" t="s">
        <v>3742</v>
      </c>
    </row>
    <row r="217" spans="1:5">
      <c r="A217">
        <v>215</v>
      </c>
      <c r="B217" t="s">
        <v>398</v>
      </c>
      <c r="C217" t="s">
        <v>3973</v>
      </c>
      <c r="D217" t="s">
        <v>257</v>
      </c>
      <c r="E217" t="s">
        <v>3742</v>
      </c>
    </row>
    <row r="218" spans="1:5">
      <c r="A218">
        <v>216</v>
      </c>
      <c r="B218" t="s">
        <v>399</v>
      </c>
      <c r="C218" t="s">
        <v>3974</v>
      </c>
      <c r="D218" t="s">
        <v>257</v>
      </c>
      <c r="E218" t="s">
        <v>3742</v>
      </c>
    </row>
    <row r="219" spans="1:5">
      <c r="A219">
        <v>217</v>
      </c>
      <c r="B219" t="s">
        <v>400</v>
      </c>
      <c r="C219" t="s">
        <v>3975</v>
      </c>
      <c r="D219" t="s">
        <v>257</v>
      </c>
      <c r="E219" t="s">
        <v>3742</v>
      </c>
    </row>
    <row r="220" spans="1:5">
      <c r="A220">
        <v>218</v>
      </c>
      <c r="B220" t="s">
        <v>401</v>
      </c>
      <c r="C220" t="s">
        <v>3976</v>
      </c>
      <c r="D220" t="s">
        <v>257</v>
      </c>
      <c r="E220" t="s">
        <v>3742</v>
      </c>
    </row>
    <row r="221" spans="1:5">
      <c r="A221">
        <v>219</v>
      </c>
      <c r="B221" t="s">
        <v>402</v>
      </c>
      <c r="C221" t="s">
        <v>3977</v>
      </c>
      <c r="D221" t="s">
        <v>257</v>
      </c>
      <c r="E221" t="s">
        <v>3742</v>
      </c>
    </row>
    <row r="222" spans="1:5">
      <c r="A222">
        <v>220</v>
      </c>
      <c r="B222" t="s">
        <v>403</v>
      </c>
      <c r="C222" t="s">
        <v>3978</v>
      </c>
      <c r="D222" t="s">
        <v>257</v>
      </c>
      <c r="E222" t="s">
        <v>3742</v>
      </c>
    </row>
    <row r="223" spans="1:5">
      <c r="A223">
        <v>221</v>
      </c>
      <c r="B223" t="s">
        <v>404</v>
      </c>
      <c r="C223" t="s">
        <v>3979</v>
      </c>
      <c r="D223" t="s">
        <v>257</v>
      </c>
      <c r="E223" t="s">
        <v>3742</v>
      </c>
    </row>
    <row r="224" spans="1:5">
      <c r="A224">
        <v>222</v>
      </c>
      <c r="B224" t="s">
        <v>405</v>
      </c>
      <c r="C224" t="s">
        <v>3980</v>
      </c>
      <c r="D224" t="s">
        <v>257</v>
      </c>
      <c r="E224" t="s">
        <v>3742</v>
      </c>
    </row>
    <row r="225" spans="1:5">
      <c r="A225">
        <v>223</v>
      </c>
      <c r="B225" t="s">
        <v>406</v>
      </c>
      <c r="C225" t="s">
        <v>3981</v>
      </c>
      <c r="D225" t="s">
        <v>257</v>
      </c>
      <c r="E225" t="s">
        <v>3742</v>
      </c>
    </row>
    <row r="226" spans="1:5">
      <c r="A226">
        <v>224</v>
      </c>
      <c r="B226" t="s">
        <v>407</v>
      </c>
      <c r="C226" t="s">
        <v>3982</v>
      </c>
      <c r="D226" t="s">
        <v>257</v>
      </c>
      <c r="E226" t="s">
        <v>3742</v>
      </c>
    </row>
    <row r="227" spans="1:5">
      <c r="A227">
        <v>225</v>
      </c>
      <c r="B227" t="s">
        <v>408</v>
      </c>
      <c r="C227" t="s">
        <v>3983</v>
      </c>
      <c r="D227" t="s">
        <v>257</v>
      </c>
      <c r="E227" t="s">
        <v>3742</v>
      </c>
    </row>
    <row r="228" spans="1:5">
      <c r="A228">
        <v>226</v>
      </c>
      <c r="B228" t="s">
        <v>409</v>
      </c>
      <c r="C228" t="s">
        <v>3984</v>
      </c>
      <c r="D228" t="s">
        <v>257</v>
      </c>
      <c r="E228" t="s">
        <v>3742</v>
      </c>
    </row>
    <row r="229" spans="1:5">
      <c r="A229">
        <v>227</v>
      </c>
      <c r="B229" t="s">
        <v>410</v>
      </c>
      <c r="C229" t="s">
        <v>3985</v>
      </c>
      <c r="D229" t="s">
        <v>257</v>
      </c>
      <c r="E229" t="s">
        <v>3742</v>
      </c>
    </row>
    <row r="230" spans="1:5">
      <c r="A230">
        <v>228</v>
      </c>
      <c r="B230" t="s">
        <v>411</v>
      </c>
      <c r="C230" t="s">
        <v>3986</v>
      </c>
      <c r="D230" t="s">
        <v>257</v>
      </c>
      <c r="E230" t="s">
        <v>3742</v>
      </c>
    </row>
    <row r="231" spans="1:5">
      <c r="A231">
        <v>229</v>
      </c>
      <c r="B231" t="s">
        <v>412</v>
      </c>
      <c r="C231" t="s">
        <v>3987</v>
      </c>
      <c r="D231" t="s">
        <v>257</v>
      </c>
      <c r="E231" t="s">
        <v>3742</v>
      </c>
    </row>
    <row r="232" spans="1:5">
      <c r="A232">
        <v>230</v>
      </c>
      <c r="B232" t="s">
        <v>413</v>
      </c>
      <c r="C232" t="s">
        <v>3988</v>
      </c>
      <c r="D232" t="s">
        <v>257</v>
      </c>
      <c r="E232" t="s">
        <v>3742</v>
      </c>
    </row>
    <row r="233" spans="1:5">
      <c r="A233">
        <v>231</v>
      </c>
      <c r="B233" t="s">
        <v>414</v>
      </c>
      <c r="C233" t="s">
        <v>3989</v>
      </c>
      <c r="D233" t="s">
        <v>257</v>
      </c>
      <c r="E233" t="s">
        <v>3742</v>
      </c>
    </row>
    <row r="234" spans="1:5">
      <c r="A234">
        <v>232</v>
      </c>
      <c r="B234" t="s">
        <v>415</v>
      </c>
      <c r="C234" t="s">
        <v>3990</v>
      </c>
      <c r="D234" t="s">
        <v>257</v>
      </c>
      <c r="E234" t="s">
        <v>3742</v>
      </c>
    </row>
    <row r="235" spans="1:5">
      <c r="A235">
        <v>233</v>
      </c>
      <c r="B235" t="s">
        <v>416</v>
      </c>
      <c r="C235" t="s">
        <v>3991</v>
      </c>
      <c r="D235" t="s">
        <v>257</v>
      </c>
      <c r="E235" t="s">
        <v>3742</v>
      </c>
    </row>
    <row r="236" spans="1:5">
      <c r="A236">
        <v>234</v>
      </c>
      <c r="B236" t="s">
        <v>417</v>
      </c>
      <c r="C236" t="s">
        <v>3992</v>
      </c>
      <c r="D236" t="s">
        <v>257</v>
      </c>
      <c r="E236" t="s">
        <v>3742</v>
      </c>
    </row>
    <row r="237" spans="1:5">
      <c r="A237">
        <v>235</v>
      </c>
      <c r="B237" t="s">
        <v>418</v>
      </c>
      <c r="C237" t="s">
        <v>3993</v>
      </c>
      <c r="D237" t="s">
        <v>257</v>
      </c>
      <c r="E237" t="s">
        <v>3742</v>
      </c>
    </row>
    <row r="238" spans="1:5">
      <c r="A238">
        <v>236</v>
      </c>
      <c r="B238" t="s">
        <v>419</v>
      </c>
      <c r="C238" t="s">
        <v>3994</v>
      </c>
      <c r="D238" t="s">
        <v>257</v>
      </c>
      <c r="E238" t="s">
        <v>3742</v>
      </c>
    </row>
    <row r="239" spans="1:5">
      <c r="A239">
        <v>237</v>
      </c>
      <c r="B239" t="s">
        <v>420</v>
      </c>
      <c r="C239" t="s">
        <v>3995</v>
      </c>
      <c r="D239" t="s">
        <v>257</v>
      </c>
      <c r="E239" t="s">
        <v>3742</v>
      </c>
    </row>
    <row r="240" spans="1:5">
      <c r="A240">
        <v>238</v>
      </c>
      <c r="B240" t="s">
        <v>421</v>
      </c>
      <c r="C240" t="s">
        <v>3996</v>
      </c>
      <c r="D240" t="s">
        <v>257</v>
      </c>
      <c r="E240" t="s">
        <v>3742</v>
      </c>
    </row>
    <row r="241" spans="1:5">
      <c r="A241">
        <v>239</v>
      </c>
      <c r="B241" t="s">
        <v>422</v>
      </c>
      <c r="C241" t="s">
        <v>3997</v>
      </c>
      <c r="D241" t="s">
        <v>257</v>
      </c>
      <c r="E241" t="s">
        <v>3742</v>
      </c>
    </row>
    <row r="242" spans="1:5">
      <c r="A242">
        <v>240</v>
      </c>
      <c r="B242" t="s">
        <v>423</v>
      </c>
      <c r="C242" t="s">
        <v>3998</v>
      </c>
      <c r="D242" t="s">
        <v>257</v>
      </c>
      <c r="E242" t="s">
        <v>3742</v>
      </c>
    </row>
    <row r="243" spans="1:5">
      <c r="A243">
        <v>241</v>
      </c>
      <c r="B243" t="s">
        <v>424</v>
      </c>
      <c r="C243" t="s">
        <v>3999</v>
      </c>
      <c r="D243" t="s">
        <v>257</v>
      </c>
      <c r="E243" t="s">
        <v>3742</v>
      </c>
    </row>
    <row r="244" spans="1:5">
      <c r="A244">
        <v>242</v>
      </c>
      <c r="B244" t="s">
        <v>425</v>
      </c>
      <c r="C244" t="s">
        <v>4000</v>
      </c>
      <c r="D244" t="s">
        <v>257</v>
      </c>
      <c r="E244" t="s">
        <v>3742</v>
      </c>
    </row>
    <row r="245" spans="1:5">
      <c r="A245">
        <v>243</v>
      </c>
      <c r="B245" t="s">
        <v>426</v>
      </c>
      <c r="C245" t="s">
        <v>4001</v>
      </c>
      <c r="D245" t="s">
        <v>257</v>
      </c>
      <c r="E245" t="s">
        <v>3742</v>
      </c>
    </row>
    <row r="246" spans="1:5">
      <c r="A246">
        <v>244</v>
      </c>
      <c r="B246" t="s">
        <v>427</v>
      </c>
      <c r="C246" t="s">
        <v>4002</v>
      </c>
      <c r="D246" t="s">
        <v>257</v>
      </c>
      <c r="E246" t="s">
        <v>3742</v>
      </c>
    </row>
    <row r="247" spans="1:5">
      <c r="A247">
        <v>245</v>
      </c>
      <c r="B247" t="s">
        <v>428</v>
      </c>
      <c r="C247" t="s">
        <v>4003</v>
      </c>
      <c r="D247" t="s">
        <v>257</v>
      </c>
      <c r="E247" t="s">
        <v>3742</v>
      </c>
    </row>
    <row r="248" spans="1:5">
      <c r="A248">
        <v>246</v>
      </c>
      <c r="B248" t="s">
        <v>429</v>
      </c>
      <c r="C248" t="s">
        <v>4004</v>
      </c>
      <c r="D248" t="s">
        <v>257</v>
      </c>
      <c r="E248" t="s">
        <v>3742</v>
      </c>
    </row>
    <row r="249" spans="1:5">
      <c r="A249">
        <v>247</v>
      </c>
      <c r="B249" t="s">
        <v>430</v>
      </c>
      <c r="C249" t="s">
        <v>4005</v>
      </c>
      <c r="D249" t="s">
        <v>257</v>
      </c>
      <c r="E249" t="s">
        <v>3742</v>
      </c>
    </row>
    <row r="250" spans="1:5">
      <c r="A250">
        <v>248</v>
      </c>
      <c r="B250" t="s">
        <v>431</v>
      </c>
      <c r="C250" t="s">
        <v>7317</v>
      </c>
      <c r="D250" t="s">
        <v>257</v>
      </c>
      <c r="E250" t="s">
        <v>3742</v>
      </c>
    </row>
    <row r="251" spans="1:5">
      <c r="A251">
        <v>249</v>
      </c>
      <c r="B251" t="s">
        <v>432</v>
      </c>
      <c r="C251" t="s">
        <v>4006</v>
      </c>
      <c r="D251" t="s">
        <v>257</v>
      </c>
      <c r="E251" t="s">
        <v>3742</v>
      </c>
    </row>
    <row r="252" spans="1:5">
      <c r="A252">
        <v>250</v>
      </c>
      <c r="B252" t="s">
        <v>433</v>
      </c>
      <c r="C252" t="s">
        <v>4007</v>
      </c>
      <c r="D252" t="s">
        <v>257</v>
      </c>
      <c r="E252" t="s">
        <v>3742</v>
      </c>
    </row>
    <row r="253" spans="1:5">
      <c r="A253">
        <v>251</v>
      </c>
      <c r="B253" t="s">
        <v>434</v>
      </c>
      <c r="C253" t="s">
        <v>4008</v>
      </c>
      <c r="D253" t="s">
        <v>257</v>
      </c>
      <c r="E253" t="s">
        <v>3742</v>
      </c>
    </row>
    <row r="254" spans="1:5">
      <c r="A254">
        <v>252</v>
      </c>
      <c r="B254" t="s">
        <v>435</v>
      </c>
      <c r="C254" t="s">
        <v>4009</v>
      </c>
      <c r="D254" t="s">
        <v>257</v>
      </c>
      <c r="E254" t="s">
        <v>3742</v>
      </c>
    </row>
    <row r="255" spans="1:5">
      <c r="A255">
        <v>253</v>
      </c>
      <c r="B255" t="s">
        <v>436</v>
      </c>
      <c r="C255" t="s">
        <v>4010</v>
      </c>
      <c r="D255" t="s">
        <v>257</v>
      </c>
      <c r="E255" t="s">
        <v>3742</v>
      </c>
    </row>
    <row r="256" spans="1:5">
      <c r="A256">
        <v>254</v>
      </c>
      <c r="B256" t="s">
        <v>437</v>
      </c>
      <c r="C256" t="s">
        <v>4011</v>
      </c>
      <c r="D256" t="s">
        <v>257</v>
      </c>
      <c r="E256" t="s">
        <v>3742</v>
      </c>
    </row>
    <row r="257" spans="1:5">
      <c r="A257">
        <v>255</v>
      </c>
      <c r="B257" t="s">
        <v>438</v>
      </c>
      <c r="C257" t="s">
        <v>4012</v>
      </c>
      <c r="D257" t="s">
        <v>257</v>
      </c>
      <c r="E257" t="s">
        <v>3742</v>
      </c>
    </row>
    <row r="258" spans="1:5">
      <c r="A258">
        <v>256</v>
      </c>
      <c r="B258" t="s">
        <v>439</v>
      </c>
      <c r="C258" t="s">
        <v>4013</v>
      </c>
      <c r="D258" t="s">
        <v>257</v>
      </c>
      <c r="E258" t="s">
        <v>3742</v>
      </c>
    </row>
    <row r="259" spans="1:5">
      <c r="A259">
        <v>257</v>
      </c>
      <c r="B259" t="s">
        <v>440</v>
      </c>
      <c r="C259" t="s">
        <v>4014</v>
      </c>
      <c r="D259" t="s">
        <v>257</v>
      </c>
      <c r="E259" t="s">
        <v>3742</v>
      </c>
    </row>
    <row r="260" spans="1:5">
      <c r="A260">
        <v>258</v>
      </c>
      <c r="B260" t="s">
        <v>441</v>
      </c>
      <c r="C260" t="s">
        <v>4015</v>
      </c>
      <c r="D260" t="s">
        <v>257</v>
      </c>
      <c r="E260" t="s">
        <v>3742</v>
      </c>
    </row>
    <row r="261" spans="1:5">
      <c r="A261">
        <v>259</v>
      </c>
      <c r="B261" t="s">
        <v>442</v>
      </c>
      <c r="C261" t="s">
        <v>4016</v>
      </c>
      <c r="D261" t="s">
        <v>257</v>
      </c>
      <c r="E261" t="s">
        <v>3742</v>
      </c>
    </row>
    <row r="262" spans="1:5">
      <c r="A262">
        <v>260</v>
      </c>
      <c r="B262" t="s">
        <v>443</v>
      </c>
      <c r="C262" t="s">
        <v>4017</v>
      </c>
      <c r="D262" t="s">
        <v>257</v>
      </c>
      <c r="E262" t="s">
        <v>3742</v>
      </c>
    </row>
    <row r="263" spans="1:5">
      <c r="A263">
        <v>261</v>
      </c>
      <c r="B263" t="s">
        <v>444</v>
      </c>
      <c r="C263" t="s">
        <v>4018</v>
      </c>
      <c r="D263" t="s">
        <v>257</v>
      </c>
      <c r="E263" t="s">
        <v>3742</v>
      </c>
    </row>
    <row r="264" spans="1:5">
      <c r="A264">
        <v>262</v>
      </c>
      <c r="B264" t="s">
        <v>445</v>
      </c>
      <c r="C264" t="s">
        <v>4019</v>
      </c>
      <c r="D264" t="s">
        <v>257</v>
      </c>
      <c r="E264" t="s">
        <v>3742</v>
      </c>
    </row>
    <row r="265" spans="1:5">
      <c r="A265">
        <v>263</v>
      </c>
      <c r="B265" t="s">
        <v>446</v>
      </c>
      <c r="C265" t="s">
        <v>4020</v>
      </c>
      <c r="D265" t="s">
        <v>257</v>
      </c>
      <c r="E265" t="s">
        <v>3742</v>
      </c>
    </row>
    <row r="266" spans="1:5">
      <c r="A266">
        <v>264</v>
      </c>
      <c r="B266" t="s">
        <v>447</v>
      </c>
      <c r="C266" t="s">
        <v>4021</v>
      </c>
      <c r="D266" t="s">
        <v>257</v>
      </c>
      <c r="E266" t="s">
        <v>3742</v>
      </c>
    </row>
    <row r="267" spans="1:5">
      <c r="A267">
        <v>265</v>
      </c>
      <c r="B267" t="s">
        <v>448</v>
      </c>
      <c r="C267" t="s">
        <v>4022</v>
      </c>
      <c r="D267" t="s">
        <v>257</v>
      </c>
      <c r="E267" t="s">
        <v>3742</v>
      </c>
    </row>
    <row r="268" spans="1:5">
      <c r="A268">
        <v>266</v>
      </c>
      <c r="B268" t="s">
        <v>449</v>
      </c>
      <c r="C268" t="s">
        <v>4023</v>
      </c>
      <c r="D268" t="s">
        <v>257</v>
      </c>
      <c r="E268" t="s">
        <v>3742</v>
      </c>
    </row>
    <row r="269" spans="1:5">
      <c r="A269">
        <v>267</v>
      </c>
      <c r="B269" t="s">
        <v>450</v>
      </c>
      <c r="C269" t="s">
        <v>4024</v>
      </c>
      <c r="D269" t="s">
        <v>257</v>
      </c>
      <c r="E269" t="s">
        <v>3742</v>
      </c>
    </row>
    <row r="270" spans="1:5">
      <c r="A270">
        <v>268</v>
      </c>
      <c r="B270" t="s">
        <v>451</v>
      </c>
      <c r="C270" t="s">
        <v>4025</v>
      </c>
      <c r="D270" t="s">
        <v>257</v>
      </c>
      <c r="E270" t="s">
        <v>3742</v>
      </c>
    </row>
    <row r="271" spans="1:5">
      <c r="A271">
        <v>269</v>
      </c>
      <c r="B271" t="s">
        <v>452</v>
      </c>
      <c r="C271" t="s">
        <v>4026</v>
      </c>
      <c r="D271" t="s">
        <v>257</v>
      </c>
      <c r="E271" t="s">
        <v>3742</v>
      </c>
    </row>
    <row r="272" spans="1:5">
      <c r="A272">
        <v>270</v>
      </c>
      <c r="B272" t="s">
        <v>453</v>
      </c>
      <c r="C272" t="s">
        <v>4027</v>
      </c>
      <c r="D272" t="s">
        <v>257</v>
      </c>
      <c r="E272" t="s">
        <v>3742</v>
      </c>
    </row>
    <row r="273" spans="1:5">
      <c r="A273">
        <v>271</v>
      </c>
      <c r="B273" t="s">
        <v>454</v>
      </c>
      <c r="C273" t="s">
        <v>4028</v>
      </c>
      <c r="D273" t="s">
        <v>257</v>
      </c>
      <c r="E273" t="s">
        <v>3742</v>
      </c>
    </row>
    <row r="274" spans="1:5">
      <c r="A274">
        <v>272</v>
      </c>
      <c r="B274" t="s">
        <v>455</v>
      </c>
      <c r="C274" t="s">
        <v>4029</v>
      </c>
      <c r="D274" t="s">
        <v>257</v>
      </c>
      <c r="E274" t="s">
        <v>3742</v>
      </c>
    </row>
    <row r="275" spans="1:5">
      <c r="A275">
        <v>273</v>
      </c>
      <c r="B275" t="s">
        <v>456</v>
      </c>
      <c r="C275" t="s">
        <v>4030</v>
      </c>
      <c r="D275" t="s">
        <v>257</v>
      </c>
      <c r="E275" t="s">
        <v>3742</v>
      </c>
    </row>
    <row r="276" spans="1:5">
      <c r="A276">
        <v>274</v>
      </c>
      <c r="B276" t="s">
        <v>457</v>
      </c>
      <c r="C276" t="s">
        <v>4031</v>
      </c>
      <c r="D276" t="s">
        <v>257</v>
      </c>
      <c r="E276" t="s">
        <v>3742</v>
      </c>
    </row>
    <row r="277" spans="1:5">
      <c r="A277">
        <v>275</v>
      </c>
      <c r="B277" t="s">
        <v>458</v>
      </c>
      <c r="C277" t="s">
        <v>4032</v>
      </c>
      <c r="D277" t="s">
        <v>257</v>
      </c>
      <c r="E277" t="s">
        <v>3742</v>
      </c>
    </row>
    <row r="278" spans="1:5">
      <c r="A278">
        <v>276</v>
      </c>
      <c r="B278" t="s">
        <v>459</v>
      </c>
      <c r="C278" t="s">
        <v>4033</v>
      </c>
      <c r="D278" t="s">
        <v>257</v>
      </c>
      <c r="E278" t="s">
        <v>3742</v>
      </c>
    </row>
    <row r="279" spans="1:5">
      <c r="A279">
        <v>277</v>
      </c>
      <c r="B279" t="s">
        <v>460</v>
      </c>
      <c r="C279" t="s">
        <v>4034</v>
      </c>
      <c r="D279" t="s">
        <v>257</v>
      </c>
      <c r="E279" t="s">
        <v>3742</v>
      </c>
    </row>
    <row r="280" spans="1:5">
      <c r="A280">
        <v>278</v>
      </c>
      <c r="B280" t="s">
        <v>461</v>
      </c>
      <c r="C280" t="s">
        <v>4035</v>
      </c>
      <c r="D280" t="s">
        <v>257</v>
      </c>
      <c r="E280" t="s">
        <v>3742</v>
      </c>
    </row>
    <row r="281" spans="1:5">
      <c r="A281">
        <v>279</v>
      </c>
      <c r="B281" t="s">
        <v>462</v>
      </c>
      <c r="C281" t="s">
        <v>4036</v>
      </c>
      <c r="D281" t="s">
        <v>257</v>
      </c>
      <c r="E281" t="s">
        <v>3742</v>
      </c>
    </row>
    <row r="282" spans="1:5">
      <c r="A282">
        <v>280</v>
      </c>
      <c r="B282" t="s">
        <v>463</v>
      </c>
      <c r="C282" t="s">
        <v>4037</v>
      </c>
      <c r="D282" t="s">
        <v>257</v>
      </c>
      <c r="E282" t="s">
        <v>3742</v>
      </c>
    </row>
    <row r="283" spans="1:5">
      <c r="A283">
        <v>281</v>
      </c>
      <c r="B283" t="s">
        <v>464</v>
      </c>
      <c r="C283" t="s">
        <v>4038</v>
      </c>
      <c r="D283" t="s">
        <v>257</v>
      </c>
      <c r="E283" t="s">
        <v>3742</v>
      </c>
    </row>
    <row r="284" spans="1:5">
      <c r="A284">
        <v>282</v>
      </c>
      <c r="B284" t="s">
        <v>465</v>
      </c>
      <c r="C284" t="s">
        <v>4039</v>
      </c>
      <c r="D284" t="s">
        <v>257</v>
      </c>
      <c r="E284" t="s">
        <v>3742</v>
      </c>
    </row>
    <row r="285" spans="1:5">
      <c r="A285">
        <v>283</v>
      </c>
      <c r="B285" t="s">
        <v>466</v>
      </c>
      <c r="C285" t="s">
        <v>4040</v>
      </c>
      <c r="D285" t="s">
        <v>257</v>
      </c>
      <c r="E285" t="s">
        <v>3742</v>
      </c>
    </row>
    <row r="286" spans="1:5">
      <c r="A286">
        <v>284</v>
      </c>
      <c r="B286" t="s">
        <v>467</v>
      </c>
      <c r="C286" t="s">
        <v>4041</v>
      </c>
      <c r="D286" t="s">
        <v>257</v>
      </c>
      <c r="E286" t="s">
        <v>3742</v>
      </c>
    </row>
    <row r="287" spans="1:5">
      <c r="A287">
        <v>285</v>
      </c>
      <c r="B287" t="s">
        <v>468</v>
      </c>
      <c r="C287" t="s">
        <v>4042</v>
      </c>
      <c r="D287" t="s">
        <v>257</v>
      </c>
      <c r="E287" t="s">
        <v>3742</v>
      </c>
    </row>
    <row r="288" spans="1:5">
      <c r="A288">
        <v>286</v>
      </c>
      <c r="B288" t="s">
        <v>469</v>
      </c>
      <c r="C288" t="s">
        <v>4043</v>
      </c>
      <c r="D288" t="s">
        <v>257</v>
      </c>
      <c r="E288" t="s">
        <v>3742</v>
      </c>
    </row>
    <row r="289" spans="1:5">
      <c r="A289">
        <v>287</v>
      </c>
      <c r="B289" t="s">
        <v>470</v>
      </c>
      <c r="C289" t="s">
        <v>4044</v>
      </c>
      <c r="D289" t="s">
        <v>257</v>
      </c>
      <c r="E289" t="s">
        <v>3742</v>
      </c>
    </row>
    <row r="290" spans="1:5">
      <c r="A290">
        <v>288</v>
      </c>
      <c r="B290" t="s">
        <v>471</v>
      </c>
      <c r="C290" t="s">
        <v>4045</v>
      </c>
      <c r="D290" t="s">
        <v>257</v>
      </c>
      <c r="E290" t="s">
        <v>3742</v>
      </c>
    </row>
    <row r="291" spans="1:5">
      <c r="A291">
        <v>289</v>
      </c>
      <c r="B291" t="s">
        <v>472</v>
      </c>
      <c r="C291" t="s">
        <v>4046</v>
      </c>
      <c r="D291" t="s">
        <v>257</v>
      </c>
      <c r="E291" t="s">
        <v>3742</v>
      </c>
    </row>
    <row r="292" spans="1:5">
      <c r="A292">
        <v>290</v>
      </c>
      <c r="B292" t="s">
        <v>473</v>
      </c>
      <c r="C292" t="s">
        <v>4047</v>
      </c>
      <c r="D292" t="s">
        <v>257</v>
      </c>
      <c r="E292" t="s">
        <v>3742</v>
      </c>
    </row>
    <row r="293" spans="1:5">
      <c r="A293">
        <v>291</v>
      </c>
      <c r="B293" t="s">
        <v>474</v>
      </c>
      <c r="C293" t="s">
        <v>4048</v>
      </c>
      <c r="D293" t="s">
        <v>257</v>
      </c>
      <c r="E293" t="s">
        <v>3742</v>
      </c>
    </row>
    <row r="294" spans="1:5">
      <c r="A294">
        <v>292</v>
      </c>
      <c r="B294" t="s">
        <v>475</v>
      </c>
      <c r="C294" t="s">
        <v>4049</v>
      </c>
      <c r="D294" t="s">
        <v>257</v>
      </c>
      <c r="E294" t="s">
        <v>3742</v>
      </c>
    </row>
    <row r="295" spans="1:5">
      <c r="A295">
        <v>293</v>
      </c>
      <c r="B295" t="s">
        <v>476</v>
      </c>
      <c r="C295" t="s">
        <v>4050</v>
      </c>
      <c r="D295" t="s">
        <v>257</v>
      </c>
      <c r="E295" t="s">
        <v>3742</v>
      </c>
    </row>
    <row r="296" spans="1:5">
      <c r="A296">
        <v>294</v>
      </c>
      <c r="B296" t="s">
        <v>477</v>
      </c>
      <c r="C296" t="s">
        <v>4051</v>
      </c>
      <c r="D296" t="s">
        <v>257</v>
      </c>
      <c r="E296" t="s">
        <v>3742</v>
      </c>
    </row>
    <row r="297" spans="1:5">
      <c r="A297">
        <v>295</v>
      </c>
      <c r="B297" t="s">
        <v>478</v>
      </c>
      <c r="C297" t="s">
        <v>4052</v>
      </c>
      <c r="D297" t="s">
        <v>257</v>
      </c>
      <c r="E297" t="s">
        <v>3742</v>
      </c>
    </row>
    <row r="298" spans="1:5">
      <c r="A298">
        <v>296</v>
      </c>
      <c r="B298" t="s">
        <v>479</v>
      </c>
      <c r="C298" t="s">
        <v>4053</v>
      </c>
      <c r="D298" t="s">
        <v>257</v>
      </c>
      <c r="E298" t="s">
        <v>3742</v>
      </c>
    </row>
    <row r="299" spans="1:5">
      <c r="A299">
        <v>297</v>
      </c>
      <c r="B299" t="s">
        <v>480</v>
      </c>
      <c r="C299" t="s">
        <v>4054</v>
      </c>
      <c r="D299" t="s">
        <v>257</v>
      </c>
      <c r="E299" t="s">
        <v>3742</v>
      </c>
    </row>
    <row r="300" spans="1:5">
      <c r="A300">
        <v>298</v>
      </c>
      <c r="B300" t="s">
        <v>481</v>
      </c>
      <c r="C300" t="s">
        <v>4055</v>
      </c>
      <c r="D300" t="s">
        <v>257</v>
      </c>
      <c r="E300" t="s">
        <v>3742</v>
      </c>
    </row>
    <row r="301" spans="1:5">
      <c r="A301">
        <v>299</v>
      </c>
      <c r="B301" t="s">
        <v>482</v>
      </c>
      <c r="C301" t="s">
        <v>4056</v>
      </c>
      <c r="D301" t="s">
        <v>257</v>
      </c>
      <c r="E301" t="s">
        <v>3742</v>
      </c>
    </row>
    <row r="302" spans="1:5">
      <c r="A302">
        <v>300</v>
      </c>
      <c r="B302" t="s">
        <v>483</v>
      </c>
      <c r="C302" t="s">
        <v>4057</v>
      </c>
      <c r="D302" t="s">
        <v>257</v>
      </c>
      <c r="E302" t="s">
        <v>3742</v>
      </c>
    </row>
    <row r="303" spans="1:5">
      <c r="A303">
        <v>301</v>
      </c>
      <c r="B303" t="s">
        <v>484</v>
      </c>
      <c r="C303" t="s">
        <v>4058</v>
      </c>
      <c r="D303" t="s">
        <v>257</v>
      </c>
      <c r="E303" t="s">
        <v>3742</v>
      </c>
    </row>
    <row r="304" spans="1:5">
      <c r="A304">
        <v>302</v>
      </c>
      <c r="B304" t="s">
        <v>485</v>
      </c>
      <c r="C304" t="s">
        <v>4059</v>
      </c>
      <c r="D304" t="s">
        <v>257</v>
      </c>
      <c r="E304" t="s">
        <v>3742</v>
      </c>
    </row>
    <row r="305" spans="1:5">
      <c r="A305">
        <v>303</v>
      </c>
      <c r="B305" t="s">
        <v>486</v>
      </c>
      <c r="C305" t="s">
        <v>4060</v>
      </c>
      <c r="D305" t="s">
        <v>257</v>
      </c>
      <c r="E305" t="s">
        <v>3742</v>
      </c>
    </row>
    <row r="306" spans="1:5">
      <c r="A306">
        <v>304</v>
      </c>
      <c r="B306" t="s">
        <v>487</v>
      </c>
      <c r="C306" t="s">
        <v>4061</v>
      </c>
      <c r="D306" t="s">
        <v>257</v>
      </c>
      <c r="E306" t="s">
        <v>3742</v>
      </c>
    </row>
    <row r="307" spans="1:5">
      <c r="A307">
        <v>305</v>
      </c>
      <c r="B307" t="s">
        <v>488</v>
      </c>
      <c r="C307" t="s">
        <v>4062</v>
      </c>
      <c r="D307" t="s">
        <v>257</v>
      </c>
      <c r="E307" t="s">
        <v>3742</v>
      </c>
    </row>
    <row r="308" spans="1:5">
      <c r="A308">
        <v>306</v>
      </c>
      <c r="B308" t="s">
        <v>489</v>
      </c>
      <c r="C308" t="s">
        <v>4063</v>
      </c>
      <c r="D308" t="s">
        <v>257</v>
      </c>
      <c r="E308" t="s">
        <v>3742</v>
      </c>
    </row>
    <row r="309" spans="1:5">
      <c r="A309">
        <v>307</v>
      </c>
      <c r="B309" t="s">
        <v>490</v>
      </c>
      <c r="C309" t="s">
        <v>4064</v>
      </c>
      <c r="D309" t="s">
        <v>257</v>
      </c>
      <c r="E309" t="s">
        <v>3742</v>
      </c>
    </row>
    <row r="310" spans="1:5">
      <c r="A310">
        <v>308</v>
      </c>
      <c r="B310" t="s">
        <v>491</v>
      </c>
      <c r="C310" t="s">
        <v>4065</v>
      </c>
      <c r="D310" t="s">
        <v>257</v>
      </c>
      <c r="E310" t="s">
        <v>3742</v>
      </c>
    </row>
    <row r="311" spans="1:5">
      <c r="A311">
        <v>309</v>
      </c>
      <c r="B311" t="s">
        <v>492</v>
      </c>
      <c r="C311" t="s">
        <v>4066</v>
      </c>
      <c r="D311" t="s">
        <v>257</v>
      </c>
      <c r="E311" t="s">
        <v>3742</v>
      </c>
    </row>
    <row r="312" spans="1:5">
      <c r="A312">
        <v>310</v>
      </c>
      <c r="B312" t="s">
        <v>493</v>
      </c>
      <c r="C312" t="s">
        <v>4067</v>
      </c>
      <c r="D312" t="s">
        <v>257</v>
      </c>
      <c r="E312" t="s">
        <v>3742</v>
      </c>
    </row>
    <row r="313" spans="1:5">
      <c r="A313">
        <v>311</v>
      </c>
      <c r="B313" t="s">
        <v>495</v>
      </c>
      <c r="C313" t="s">
        <v>4069</v>
      </c>
      <c r="D313" t="s">
        <v>257</v>
      </c>
      <c r="E313" t="s">
        <v>3742</v>
      </c>
    </row>
    <row r="314" spans="1:5">
      <c r="A314">
        <v>312</v>
      </c>
      <c r="B314" t="s">
        <v>496</v>
      </c>
      <c r="C314" t="s">
        <v>4070</v>
      </c>
      <c r="D314" t="s">
        <v>257</v>
      </c>
      <c r="E314" t="s">
        <v>3742</v>
      </c>
    </row>
    <row r="315" spans="1:5">
      <c r="A315">
        <v>313</v>
      </c>
      <c r="B315" t="s">
        <v>497</v>
      </c>
      <c r="C315" t="s">
        <v>7318</v>
      </c>
      <c r="D315" t="s">
        <v>257</v>
      </c>
      <c r="E315" t="s">
        <v>3742</v>
      </c>
    </row>
    <row r="316" spans="1:5">
      <c r="A316">
        <v>314</v>
      </c>
      <c r="B316" t="s">
        <v>498</v>
      </c>
      <c r="C316" t="s">
        <v>4071</v>
      </c>
      <c r="D316" t="s">
        <v>257</v>
      </c>
      <c r="E316" t="s">
        <v>3742</v>
      </c>
    </row>
    <row r="317" spans="1:5">
      <c r="A317">
        <v>315</v>
      </c>
      <c r="B317" t="s">
        <v>499</v>
      </c>
      <c r="C317" t="s">
        <v>4072</v>
      </c>
      <c r="D317" t="s">
        <v>257</v>
      </c>
      <c r="E317" t="s">
        <v>3742</v>
      </c>
    </row>
    <row r="318" spans="1:5">
      <c r="A318">
        <v>316</v>
      </c>
      <c r="B318" t="s">
        <v>500</v>
      </c>
      <c r="C318" t="s">
        <v>4073</v>
      </c>
      <c r="D318" t="s">
        <v>257</v>
      </c>
      <c r="E318" t="s">
        <v>3742</v>
      </c>
    </row>
    <row r="319" spans="1:5">
      <c r="A319">
        <v>317</v>
      </c>
      <c r="B319" t="s">
        <v>501</v>
      </c>
      <c r="C319" t="s">
        <v>4074</v>
      </c>
      <c r="D319" t="s">
        <v>257</v>
      </c>
      <c r="E319" t="s">
        <v>3742</v>
      </c>
    </row>
    <row r="320" spans="1:5">
      <c r="A320">
        <v>318</v>
      </c>
      <c r="B320" t="s">
        <v>502</v>
      </c>
      <c r="C320" t="s">
        <v>4075</v>
      </c>
      <c r="D320" t="s">
        <v>257</v>
      </c>
      <c r="E320" t="s">
        <v>3742</v>
      </c>
    </row>
    <row r="321" spans="1:5">
      <c r="A321">
        <v>319</v>
      </c>
      <c r="B321" t="s">
        <v>503</v>
      </c>
      <c r="C321" t="s">
        <v>4076</v>
      </c>
      <c r="D321" t="s">
        <v>257</v>
      </c>
      <c r="E321" t="s">
        <v>3742</v>
      </c>
    </row>
    <row r="322" spans="1:5">
      <c r="A322">
        <v>320</v>
      </c>
      <c r="B322" t="s">
        <v>504</v>
      </c>
      <c r="C322" t="s">
        <v>4077</v>
      </c>
      <c r="D322" t="s">
        <v>257</v>
      </c>
      <c r="E322" t="s">
        <v>3742</v>
      </c>
    </row>
    <row r="323" spans="1:5">
      <c r="A323">
        <v>321</v>
      </c>
      <c r="B323" t="s">
        <v>505</v>
      </c>
      <c r="C323" t="s">
        <v>4078</v>
      </c>
      <c r="D323" t="s">
        <v>257</v>
      </c>
      <c r="E323" t="s">
        <v>3742</v>
      </c>
    </row>
    <row r="324" spans="1:5">
      <c r="A324">
        <v>322</v>
      </c>
      <c r="B324" t="s">
        <v>506</v>
      </c>
      <c r="C324" t="s">
        <v>4079</v>
      </c>
      <c r="D324" t="s">
        <v>257</v>
      </c>
      <c r="E324" t="s">
        <v>3742</v>
      </c>
    </row>
    <row r="325" spans="1:5">
      <c r="A325">
        <v>323</v>
      </c>
      <c r="B325" t="s">
        <v>507</v>
      </c>
      <c r="C325" t="s">
        <v>4080</v>
      </c>
      <c r="D325" t="s">
        <v>257</v>
      </c>
      <c r="E325" t="s">
        <v>3742</v>
      </c>
    </row>
    <row r="326" spans="1:5">
      <c r="A326">
        <v>324</v>
      </c>
      <c r="B326" t="s">
        <v>508</v>
      </c>
      <c r="C326" t="s">
        <v>4081</v>
      </c>
      <c r="D326" t="s">
        <v>257</v>
      </c>
      <c r="E326" t="s">
        <v>3742</v>
      </c>
    </row>
    <row r="327" spans="1:5">
      <c r="A327">
        <v>325</v>
      </c>
      <c r="B327" t="s">
        <v>509</v>
      </c>
      <c r="C327" t="s">
        <v>4082</v>
      </c>
      <c r="D327" t="s">
        <v>257</v>
      </c>
      <c r="E327" t="s">
        <v>3742</v>
      </c>
    </row>
    <row r="328" spans="1:5">
      <c r="A328">
        <v>326</v>
      </c>
      <c r="B328" t="s">
        <v>510</v>
      </c>
      <c r="C328" t="s">
        <v>4083</v>
      </c>
      <c r="D328" t="s">
        <v>257</v>
      </c>
      <c r="E328" t="s">
        <v>3742</v>
      </c>
    </row>
    <row r="329" spans="1:5">
      <c r="A329">
        <v>327</v>
      </c>
      <c r="B329" t="s">
        <v>7319</v>
      </c>
      <c r="C329" t="s">
        <v>7320</v>
      </c>
      <c r="D329" t="s">
        <v>257</v>
      </c>
      <c r="E329" t="s">
        <v>3742</v>
      </c>
    </row>
    <row r="330" spans="1:5">
      <c r="A330">
        <v>328</v>
      </c>
      <c r="B330" t="s">
        <v>511</v>
      </c>
      <c r="C330" t="s">
        <v>4084</v>
      </c>
      <c r="D330" t="s">
        <v>257</v>
      </c>
      <c r="E330" t="s">
        <v>3742</v>
      </c>
    </row>
    <row r="331" spans="1:5">
      <c r="A331">
        <v>329</v>
      </c>
      <c r="B331" t="s">
        <v>512</v>
      </c>
      <c r="C331" t="s">
        <v>4085</v>
      </c>
      <c r="D331" t="s">
        <v>257</v>
      </c>
      <c r="E331" t="s">
        <v>3742</v>
      </c>
    </row>
    <row r="332" spans="1:5">
      <c r="A332">
        <v>330</v>
      </c>
      <c r="B332" t="s">
        <v>513</v>
      </c>
      <c r="C332" t="s">
        <v>4086</v>
      </c>
      <c r="D332" t="s">
        <v>257</v>
      </c>
      <c r="E332" t="s">
        <v>3742</v>
      </c>
    </row>
    <row r="333" spans="1:5">
      <c r="A333">
        <v>331</v>
      </c>
      <c r="B333" t="s">
        <v>514</v>
      </c>
      <c r="C333" t="s">
        <v>4087</v>
      </c>
      <c r="D333" t="s">
        <v>257</v>
      </c>
      <c r="E333" t="s">
        <v>3742</v>
      </c>
    </row>
    <row r="334" spans="1:5">
      <c r="A334">
        <v>332</v>
      </c>
      <c r="B334" t="s">
        <v>515</v>
      </c>
      <c r="C334" t="s">
        <v>4088</v>
      </c>
      <c r="D334" t="s">
        <v>257</v>
      </c>
      <c r="E334" t="s">
        <v>3742</v>
      </c>
    </row>
    <row r="335" spans="1:5">
      <c r="A335">
        <v>333</v>
      </c>
      <c r="B335" t="s">
        <v>516</v>
      </c>
      <c r="C335" t="s">
        <v>4089</v>
      </c>
      <c r="D335" t="s">
        <v>257</v>
      </c>
      <c r="E335" t="s">
        <v>3742</v>
      </c>
    </row>
    <row r="336" spans="1:5">
      <c r="A336">
        <v>334</v>
      </c>
      <c r="B336" t="s">
        <v>517</v>
      </c>
      <c r="C336" t="s">
        <v>4090</v>
      </c>
      <c r="D336" t="s">
        <v>257</v>
      </c>
      <c r="E336" t="s">
        <v>3742</v>
      </c>
    </row>
    <row r="337" spans="1:5">
      <c r="A337">
        <v>335</v>
      </c>
      <c r="B337" t="s">
        <v>518</v>
      </c>
      <c r="C337" t="s">
        <v>4091</v>
      </c>
      <c r="D337" t="s">
        <v>257</v>
      </c>
      <c r="E337" t="s">
        <v>3742</v>
      </c>
    </row>
    <row r="338" spans="1:5">
      <c r="A338">
        <v>336</v>
      </c>
      <c r="B338" t="s">
        <v>519</v>
      </c>
      <c r="C338" t="s">
        <v>4092</v>
      </c>
      <c r="D338" t="s">
        <v>257</v>
      </c>
      <c r="E338" t="s">
        <v>3742</v>
      </c>
    </row>
    <row r="339" spans="1:5">
      <c r="A339">
        <v>337</v>
      </c>
      <c r="B339" t="s">
        <v>520</v>
      </c>
      <c r="C339" t="s">
        <v>4093</v>
      </c>
      <c r="D339" t="s">
        <v>257</v>
      </c>
      <c r="E339" t="s">
        <v>3742</v>
      </c>
    </row>
    <row r="340" spans="1:5">
      <c r="A340">
        <v>338</v>
      </c>
      <c r="B340" t="s">
        <v>521</v>
      </c>
      <c r="C340" t="s">
        <v>4094</v>
      </c>
      <c r="D340" t="s">
        <v>257</v>
      </c>
      <c r="E340" t="s">
        <v>3742</v>
      </c>
    </row>
    <row r="341" spans="1:5">
      <c r="A341">
        <v>339</v>
      </c>
      <c r="B341" t="s">
        <v>522</v>
      </c>
      <c r="C341" t="s">
        <v>4095</v>
      </c>
      <c r="D341" t="s">
        <v>257</v>
      </c>
      <c r="E341" t="s">
        <v>3742</v>
      </c>
    </row>
    <row r="342" spans="1:5">
      <c r="A342">
        <v>340</v>
      </c>
      <c r="B342" t="s">
        <v>523</v>
      </c>
      <c r="C342" t="s">
        <v>4096</v>
      </c>
      <c r="D342" t="s">
        <v>257</v>
      </c>
      <c r="E342" t="s">
        <v>3742</v>
      </c>
    </row>
    <row r="343" spans="1:5">
      <c r="A343">
        <v>341</v>
      </c>
      <c r="B343" t="s">
        <v>524</v>
      </c>
      <c r="C343" t="s">
        <v>4097</v>
      </c>
      <c r="D343" t="s">
        <v>257</v>
      </c>
      <c r="E343" t="s">
        <v>3742</v>
      </c>
    </row>
    <row r="344" spans="1:5">
      <c r="A344">
        <v>342</v>
      </c>
      <c r="B344" t="s">
        <v>525</v>
      </c>
      <c r="C344" t="s">
        <v>4098</v>
      </c>
      <c r="D344" t="s">
        <v>257</v>
      </c>
      <c r="E344" t="s">
        <v>3742</v>
      </c>
    </row>
    <row r="345" spans="1:5">
      <c r="A345">
        <v>343</v>
      </c>
      <c r="B345" t="s">
        <v>526</v>
      </c>
      <c r="C345" t="s">
        <v>4099</v>
      </c>
      <c r="D345" t="s">
        <v>257</v>
      </c>
      <c r="E345" t="s">
        <v>3742</v>
      </c>
    </row>
    <row r="346" spans="1:5">
      <c r="A346">
        <v>344</v>
      </c>
      <c r="B346" t="s">
        <v>527</v>
      </c>
      <c r="C346" t="s">
        <v>4100</v>
      </c>
      <c r="D346" t="s">
        <v>257</v>
      </c>
      <c r="E346" t="s">
        <v>3742</v>
      </c>
    </row>
    <row r="347" spans="1:5">
      <c r="A347">
        <v>345</v>
      </c>
      <c r="B347" t="s">
        <v>528</v>
      </c>
      <c r="C347" t="s">
        <v>4101</v>
      </c>
      <c r="D347" t="s">
        <v>257</v>
      </c>
      <c r="E347" t="s">
        <v>3742</v>
      </c>
    </row>
    <row r="348" spans="1:5">
      <c r="A348">
        <v>346</v>
      </c>
      <c r="B348" t="s">
        <v>529</v>
      </c>
      <c r="C348" t="s">
        <v>4102</v>
      </c>
      <c r="D348" t="s">
        <v>257</v>
      </c>
      <c r="E348" t="s">
        <v>3742</v>
      </c>
    </row>
    <row r="349" spans="1:5">
      <c r="A349">
        <v>347</v>
      </c>
      <c r="B349" t="s">
        <v>530</v>
      </c>
      <c r="C349" t="s">
        <v>4103</v>
      </c>
      <c r="D349" t="s">
        <v>257</v>
      </c>
      <c r="E349" t="s">
        <v>3742</v>
      </c>
    </row>
    <row r="350" spans="1:5">
      <c r="A350">
        <v>348</v>
      </c>
      <c r="B350" t="s">
        <v>531</v>
      </c>
      <c r="C350" t="s">
        <v>4104</v>
      </c>
      <c r="D350" t="s">
        <v>257</v>
      </c>
      <c r="E350" t="s">
        <v>3742</v>
      </c>
    </row>
    <row r="351" spans="1:5">
      <c r="A351">
        <v>349</v>
      </c>
      <c r="B351" t="s">
        <v>532</v>
      </c>
      <c r="C351" t="s">
        <v>4105</v>
      </c>
      <c r="D351" t="s">
        <v>257</v>
      </c>
      <c r="E351" t="s">
        <v>3742</v>
      </c>
    </row>
    <row r="352" spans="1:5">
      <c r="A352">
        <v>350</v>
      </c>
      <c r="B352" t="s">
        <v>533</v>
      </c>
      <c r="C352" t="s">
        <v>4106</v>
      </c>
      <c r="D352" t="s">
        <v>257</v>
      </c>
      <c r="E352" t="s">
        <v>3742</v>
      </c>
    </row>
    <row r="353" spans="1:5">
      <c r="A353">
        <v>351</v>
      </c>
      <c r="B353" t="s">
        <v>534</v>
      </c>
      <c r="C353" t="s">
        <v>4107</v>
      </c>
      <c r="D353" t="s">
        <v>257</v>
      </c>
      <c r="E353" t="s">
        <v>3742</v>
      </c>
    </row>
    <row r="354" spans="1:5">
      <c r="A354">
        <v>352</v>
      </c>
      <c r="B354" t="s">
        <v>535</v>
      </c>
      <c r="C354" t="s">
        <v>4108</v>
      </c>
      <c r="D354" t="s">
        <v>257</v>
      </c>
      <c r="E354" t="s">
        <v>3742</v>
      </c>
    </row>
    <row r="355" spans="1:5">
      <c r="A355">
        <v>353</v>
      </c>
      <c r="B355" t="s">
        <v>536</v>
      </c>
      <c r="C355" t="s">
        <v>4109</v>
      </c>
      <c r="D355" t="s">
        <v>257</v>
      </c>
      <c r="E355" t="s">
        <v>3742</v>
      </c>
    </row>
    <row r="356" spans="1:5">
      <c r="A356">
        <v>354</v>
      </c>
      <c r="B356" t="s">
        <v>537</v>
      </c>
      <c r="C356" t="s">
        <v>4110</v>
      </c>
      <c r="D356" t="s">
        <v>257</v>
      </c>
      <c r="E356" t="s">
        <v>3742</v>
      </c>
    </row>
    <row r="357" spans="1:5">
      <c r="A357">
        <v>355</v>
      </c>
      <c r="B357" t="s">
        <v>538</v>
      </c>
      <c r="C357" t="s">
        <v>4111</v>
      </c>
      <c r="D357" t="s">
        <v>257</v>
      </c>
      <c r="E357" t="s">
        <v>3742</v>
      </c>
    </row>
    <row r="358" spans="1:5">
      <c r="A358">
        <v>356</v>
      </c>
      <c r="B358" t="s">
        <v>539</v>
      </c>
      <c r="C358" t="s">
        <v>4112</v>
      </c>
      <c r="D358" t="s">
        <v>257</v>
      </c>
      <c r="E358" t="s">
        <v>3742</v>
      </c>
    </row>
    <row r="359" spans="1:5">
      <c r="A359">
        <v>357</v>
      </c>
      <c r="B359" t="s">
        <v>540</v>
      </c>
      <c r="C359" t="s">
        <v>4113</v>
      </c>
      <c r="D359" t="s">
        <v>257</v>
      </c>
      <c r="E359" t="s">
        <v>3742</v>
      </c>
    </row>
    <row r="360" spans="1:5">
      <c r="A360">
        <v>358</v>
      </c>
      <c r="B360" t="s">
        <v>541</v>
      </c>
      <c r="C360" t="s">
        <v>4114</v>
      </c>
      <c r="D360" t="s">
        <v>257</v>
      </c>
      <c r="E360" t="s">
        <v>3742</v>
      </c>
    </row>
    <row r="361" spans="1:5">
      <c r="A361">
        <v>359</v>
      </c>
      <c r="B361" t="s">
        <v>542</v>
      </c>
      <c r="C361" t="s">
        <v>4115</v>
      </c>
      <c r="D361" t="s">
        <v>257</v>
      </c>
      <c r="E361" t="s">
        <v>3742</v>
      </c>
    </row>
    <row r="362" spans="1:5">
      <c r="A362">
        <v>360</v>
      </c>
      <c r="B362" t="s">
        <v>543</v>
      </c>
      <c r="C362" t="s">
        <v>4116</v>
      </c>
      <c r="D362" t="s">
        <v>257</v>
      </c>
      <c r="E362" t="s">
        <v>3742</v>
      </c>
    </row>
    <row r="363" spans="1:5">
      <c r="A363">
        <v>361</v>
      </c>
      <c r="B363" t="s">
        <v>544</v>
      </c>
      <c r="C363" t="s">
        <v>4117</v>
      </c>
      <c r="D363" t="s">
        <v>257</v>
      </c>
      <c r="E363" t="s">
        <v>3742</v>
      </c>
    </row>
    <row r="364" spans="1:5">
      <c r="A364">
        <v>362</v>
      </c>
      <c r="B364" t="s">
        <v>545</v>
      </c>
      <c r="C364" t="s">
        <v>4118</v>
      </c>
      <c r="D364" t="s">
        <v>257</v>
      </c>
      <c r="E364" t="s">
        <v>3742</v>
      </c>
    </row>
    <row r="365" spans="1:5">
      <c r="A365">
        <v>363</v>
      </c>
      <c r="B365" t="s">
        <v>546</v>
      </c>
      <c r="C365" t="s">
        <v>4119</v>
      </c>
      <c r="D365" t="s">
        <v>257</v>
      </c>
      <c r="E365" t="s">
        <v>3742</v>
      </c>
    </row>
    <row r="366" spans="1:5">
      <c r="A366">
        <v>364</v>
      </c>
      <c r="B366" t="s">
        <v>547</v>
      </c>
      <c r="C366" t="s">
        <v>4120</v>
      </c>
      <c r="D366" t="s">
        <v>257</v>
      </c>
      <c r="E366" t="s">
        <v>3742</v>
      </c>
    </row>
    <row r="367" spans="1:5">
      <c r="A367">
        <v>365</v>
      </c>
      <c r="B367" t="s">
        <v>548</v>
      </c>
      <c r="C367" t="s">
        <v>4121</v>
      </c>
      <c r="D367" t="s">
        <v>257</v>
      </c>
      <c r="E367" t="s">
        <v>3742</v>
      </c>
    </row>
    <row r="368" spans="1:5">
      <c r="A368">
        <v>366</v>
      </c>
      <c r="B368" t="s">
        <v>549</v>
      </c>
      <c r="C368" t="s">
        <v>4122</v>
      </c>
      <c r="D368" t="s">
        <v>257</v>
      </c>
      <c r="E368" t="s">
        <v>3742</v>
      </c>
    </row>
    <row r="369" spans="1:5">
      <c r="A369">
        <v>367</v>
      </c>
      <c r="B369" t="s">
        <v>550</v>
      </c>
      <c r="C369" t="s">
        <v>4123</v>
      </c>
      <c r="D369" t="s">
        <v>257</v>
      </c>
      <c r="E369" t="s">
        <v>3742</v>
      </c>
    </row>
    <row r="370" spans="1:5">
      <c r="A370">
        <v>368</v>
      </c>
      <c r="B370" t="s">
        <v>551</v>
      </c>
      <c r="C370" t="s">
        <v>4124</v>
      </c>
      <c r="D370" t="s">
        <v>257</v>
      </c>
      <c r="E370" t="s">
        <v>3742</v>
      </c>
    </row>
    <row r="371" spans="1:5">
      <c r="A371">
        <v>369</v>
      </c>
      <c r="B371" t="s">
        <v>552</v>
      </c>
      <c r="C371" t="s">
        <v>4125</v>
      </c>
      <c r="D371" t="s">
        <v>257</v>
      </c>
      <c r="E371" t="s">
        <v>3742</v>
      </c>
    </row>
    <row r="372" spans="1:5">
      <c r="A372">
        <v>370</v>
      </c>
      <c r="B372" t="s">
        <v>553</v>
      </c>
      <c r="C372" t="s">
        <v>4126</v>
      </c>
      <c r="D372" t="s">
        <v>257</v>
      </c>
      <c r="E372" t="s">
        <v>3742</v>
      </c>
    </row>
    <row r="373" spans="1:5">
      <c r="A373">
        <v>371</v>
      </c>
      <c r="B373" t="s">
        <v>554</v>
      </c>
      <c r="C373" t="s">
        <v>4127</v>
      </c>
      <c r="D373" t="s">
        <v>257</v>
      </c>
      <c r="E373" t="s">
        <v>3742</v>
      </c>
    </row>
    <row r="374" spans="1:5">
      <c r="A374">
        <v>372</v>
      </c>
      <c r="B374" t="s">
        <v>555</v>
      </c>
      <c r="C374" t="s">
        <v>4128</v>
      </c>
      <c r="D374" t="s">
        <v>257</v>
      </c>
      <c r="E374" t="s">
        <v>3742</v>
      </c>
    </row>
    <row r="375" spans="1:5">
      <c r="A375">
        <v>373</v>
      </c>
      <c r="B375" t="s">
        <v>556</v>
      </c>
      <c r="C375" t="s">
        <v>4129</v>
      </c>
      <c r="D375" t="s">
        <v>257</v>
      </c>
      <c r="E375" t="s">
        <v>3742</v>
      </c>
    </row>
    <row r="376" spans="1:5">
      <c r="A376">
        <v>374</v>
      </c>
      <c r="B376" t="s">
        <v>557</v>
      </c>
      <c r="C376" t="s">
        <v>4130</v>
      </c>
      <c r="D376" t="s">
        <v>257</v>
      </c>
      <c r="E376" t="s">
        <v>3742</v>
      </c>
    </row>
    <row r="377" spans="1:5">
      <c r="A377">
        <v>375</v>
      </c>
      <c r="B377" t="s">
        <v>558</v>
      </c>
      <c r="C377" t="s">
        <v>4131</v>
      </c>
      <c r="D377" t="s">
        <v>257</v>
      </c>
      <c r="E377" t="s">
        <v>3742</v>
      </c>
    </row>
    <row r="378" spans="1:5">
      <c r="A378">
        <v>376</v>
      </c>
      <c r="B378" t="s">
        <v>559</v>
      </c>
      <c r="C378" t="s">
        <v>4132</v>
      </c>
      <c r="D378" t="s">
        <v>257</v>
      </c>
      <c r="E378" t="s">
        <v>3742</v>
      </c>
    </row>
    <row r="379" spans="1:5">
      <c r="A379">
        <v>377</v>
      </c>
      <c r="B379" t="s">
        <v>560</v>
      </c>
      <c r="C379" t="s">
        <v>4133</v>
      </c>
      <c r="D379" t="s">
        <v>257</v>
      </c>
      <c r="E379" t="s">
        <v>3742</v>
      </c>
    </row>
    <row r="380" spans="1:5">
      <c r="A380">
        <v>378</v>
      </c>
      <c r="B380" t="s">
        <v>561</v>
      </c>
      <c r="C380" t="s">
        <v>4134</v>
      </c>
      <c r="D380" t="s">
        <v>257</v>
      </c>
      <c r="E380" t="s">
        <v>3742</v>
      </c>
    </row>
    <row r="381" spans="1:5">
      <c r="A381">
        <v>379</v>
      </c>
      <c r="B381" t="s">
        <v>562</v>
      </c>
      <c r="C381" t="s">
        <v>4135</v>
      </c>
      <c r="D381" t="s">
        <v>257</v>
      </c>
      <c r="E381" t="s">
        <v>3742</v>
      </c>
    </row>
    <row r="382" spans="1:5">
      <c r="A382">
        <v>380</v>
      </c>
      <c r="B382" t="s">
        <v>563</v>
      </c>
      <c r="C382" t="s">
        <v>4136</v>
      </c>
      <c r="D382" t="s">
        <v>257</v>
      </c>
      <c r="E382" t="s">
        <v>3742</v>
      </c>
    </row>
    <row r="383" spans="1:5">
      <c r="A383">
        <v>381</v>
      </c>
      <c r="B383" t="s">
        <v>564</v>
      </c>
      <c r="C383" t="s">
        <v>4137</v>
      </c>
      <c r="D383" t="s">
        <v>257</v>
      </c>
      <c r="E383" t="s">
        <v>3742</v>
      </c>
    </row>
    <row r="384" spans="1:5">
      <c r="A384">
        <v>382</v>
      </c>
      <c r="B384" t="s">
        <v>565</v>
      </c>
      <c r="C384" t="s">
        <v>4138</v>
      </c>
      <c r="D384" t="s">
        <v>257</v>
      </c>
      <c r="E384" t="s">
        <v>3742</v>
      </c>
    </row>
    <row r="385" spans="1:5">
      <c r="A385">
        <v>383</v>
      </c>
      <c r="B385" t="s">
        <v>566</v>
      </c>
      <c r="C385" t="s">
        <v>4139</v>
      </c>
      <c r="D385" t="s">
        <v>257</v>
      </c>
      <c r="E385" t="s">
        <v>3742</v>
      </c>
    </row>
    <row r="386" spans="1:5">
      <c r="A386">
        <v>384</v>
      </c>
      <c r="B386" t="s">
        <v>567</v>
      </c>
      <c r="C386" t="s">
        <v>4140</v>
      </c>
      <c r="D386" t="s">
        <v>257</v>
      </c>
      <c r="E386" t="s">
        <v>3742</v>
      </c>
    </row>
    <row r="387" spans="1:5">
      <c r="A387">
        <v>385</v>
      </c>
      <c r="B387" t="s">
        <v>568</v>
      </c>
      <c r="C387" t="s">
        <v>4141</v>
      </c>
      <c r="D387" t="s">
        <v>257</v>
      </c>
      <c r="E387" t="s">
        <v>3742</v>
      </c>
    </row>
    <row r="388" spans="1:5">
      <c r="A388">
        <v>386</v>
      </c>
      <c r="B388" t="s">
        <v>569</v>
      </c>
      <c r="C388" t="s">
        <v>4142</v>
      </c>
      <c r="D388" t="s">
        <v>257</v>
      </c>
      <c r="E388" t="s">
        <v>3742</v>
      </c>
    </row>
    <row r="389" spans="1:5">
      <c r="A389">
        <v>387</v>
      </c>
      <c r="B389" t="s">
        <v>570</v>
      </c>
      <c r="C389" t="s">
        <v>4143</v>
      </c>
      <c r="D389" t="s">
        <v>257</v>
      </c>
      <c r="E389" t="s">
        <v>3742</v>
      </c>
    </row>
    <row r="390" spans="1:5">
      <c r="A390">
        <v>388</v>
      </c>
      <c r="B390" t="s">
        <v>571</v>
      </c>
      <c r="C390" t="s">
        <v>4144</v>
      </c>
      <c r="D390" t="s">
        <v>257</v>
      </c>
      <c r="E390" t="s">
        <v>3742</v>
      </c>
    </row>
    <row r="391" spans="1:5">
      <c r="A391">
        <v>389</v>
      </c>
      <c r="B391" t="s">
        <v>572</v>
      </c>
      <c r="C391" t="s">
        <v>4145</v>
      </c>
      <c r="D391" t="s">
        <v>257</v>
      </c>
      <c r="E391" t="s">
        <v>3742</v>
      </c>
    </row>
    <row r="392" spans="1:5">
      <c r="A392">
        <v>390</v>
      </c>
      <c r="B392" t="s">
        <v>573</v>
      </c>
      <c r="C392" t="s">
        <v>4146</v>
      </c>
      <c r="D392" t="s">
        <v>257</v>
      </c>
      <c r="E392" t="s">
        <v>3742</v>
      </c>
    </row>
    <row r="393" spans="1:5">
      <c r="A393">
        <v>391</v>
      </c>
      <c r="B393" t="s">
        <v>574</v>
      </c>
      <c r="C393" t="s">
        <v>4147</v>
      </c>
      <c r="D393" t="s">
        <v>257</v>
      </c>
      <c r="E393" t="s">
        <v>3742</v>
      </c>
    </row>
    <row r="394" spans="1:5">
      <c r="A394">
        <v>392</v>
      </c>
      <c r="B394" t="s">
        <v>575</v>
      </c>
      <c r="C394" t="s">
        <v>4148</v>
      </c>
      <c r="D394" t="s">
        <v>257</v>
      </c>
      <c r="E394" t="s">
        <v>3742</v>
      </c>
    </row>
    <row r="395" spans="1:5">
      <c r="A395">
        <v>393</v>
      </c>
      <c r="B395" t="s">
        <v>576</v>
      </c>
      <c r="C395" t="s">
        <v>4149</v>
      </c>
      <c r="D395" t="s">
        <v>257</v>
      </c>
      <c r="E395" t="s">
        <v>3742</v>
      </c>
    </row>
    <row r="396" spans="1:5">
      <c r="A396">
        <v>394</v>
      </c>
      <c r="B396" t="s">
        <v>577</v>
      </c>
      <c r="C396" t="s">
        <v>4150</v>
      </c>
      <c r="D396" t="s">
        <v>257</v>
      </c>
      <c r="E396" t="s">
        <v>3742</v>
      </c>
    </row>
    <row r="397" spans="1:5">
      <c r="A397">
        <v>395</v>
      </c>
      <c r="B397" t="s">
        <v>578</v>
      </c>
      <c r="C397" t="s">
        <v>4151</v>
      </c>
      <c r="D397" t="s">
        <v>257</v>
      </c>
      <c r="E397" t="s">
        <v>3742</v>
      </c>
    </row>
    <row r="398" spans="1:5">
      <c r="A398">
        <v>396</v>
      </c>
      <c r="B398" t="s">
        <v>579</v>
      </c>
      <c r="C398" t="s">
        <v>4152</v>
      </c>
      <c r="D398" t="s">
        <v>257</v>
      </c>
      <c r="E398" t="s">
        <v>3742</v>
      </c>
    </row>
    <row r="399" spans="1:5">
      <c r="A399">
        <v>397</v>
      </c>
      <c r="B399" t="s">
        <v>580</v>
      </c>
      <c r="C399" t="s">
        <v>4153</v>
      </c>
      <c r="D399" t="s">
        <v>257</v>
      </c>
      <c r="E399" t="s">
        <v>3742</v>
      </c>
    </row>
    <row r="400" spans="1:5">
      <c r="A400">
        <v>398</v>
      </c>
      <c r="B400" t="s">
        <v>581</v>
      </c>
      <c r="C400" t="s">
        <v>4154</v>
      </c>
      <c r="D400" t="s">
        <v>257</v>
      </c>
      <c r="E400" t="s">
        <v>3742</v>
      </c>
    </row>
    <row r="401" spans="1:5">
      <c r="A401">
        <v>399</v>
      </c>
      <c r="B401" t="s">
        <v>582</v>
      </c>
      <c r="C401" t="s">
        <v>4155</v>
      </c>
      <c r="D401" t="s">
        <v>257</v>
      </c>
      <c r="E401" t="s">
        <v>3742</v>
      </c>
    </row>
    <row r="402" spans="1:5">
      <c r="A402">
        <v>400</v>
      </c>
      <c r="B402" t="s">
        <v>583</v>
      </c>
      <c r="C402" t="s">
        <v>4156</v>
      </c>
      <c r="D402" t="s">
        <v>257</v>
      </c>
      <c r="E402" t="s">
        <v>3742</v>
      </c>
    </row>
    <row r="403" spans="1:5">
      <c r="A403">
        <v>401</v>
      </c>
      <c r="B403" t="s">
        <v>584</v>
      </c>
      <c r="C403" t="s">
        <v>4157</v>
      </c>
      <c r="D403" t="s">
        <v>257</v>
      </c>
      <c r="E403" t="s">
        <v>3742</v>
      </c>
    </row>
    <row r="404" spans="1:5">
      <c r="A404">
        <v>402</v>
      </c>
      <c r="B404" t="s">
        <v>585</v>
      </c>
      <c r="C404" t="s">
        <v>4158</v>
      </c>
      <c r="D404" t="s">
        <v>257</v>
      </c>
      <c r="E404" t="s">
        <v>3742</v>
      </c>
    </row>
    <row r="405" spans="1:5">
      <c r="A405">
        <v>403</v>
      </c>
      <c r="B405" t="s">
        <v>586</v>
      </c>
      <c r="C405" t="s">
        <v>4159</v>
      </c>
      <c r="D405" t="s">
        <v>257</v>
      </c>
      <c r="E405" t="s">
        <v>3742</v>
      </c>
    </row>
    <row r="406" spans="1:5">
      <c r="A406">
        <v>404</v>
      </c>
      <c r="B406" t="s">
        <v>587</v>
      </c>
      <c r="C406" t="s">
        <v>4160</v>
      </c>
      <c r="D406" t="s">
        <v>257</v>
      </c>
      <c r="E406" t="s">
        <v>3742</v>
      </c>
    </row>
    <row r="407" spans="1:5">
      <c r="A407">
        <v>405</v>
      </c>
      <c r="B407" t="s">
        <v>588</v>
      </c>
      <c r="C407" t="s">
        <v>4161</v>
      </c>
      <c r="D407" t="s">
        <v>257</v>
      </c>
      <c r="E407" t="s">
        <v>3742</v>
      </c>
    </row>
    <row r="408" spans="1:5">
      <c r="A408">
        <v>406</v>
      </c>
      <c r="B408" t="s">
        <v>589</v>
      </c>
      <c r="C408" t="s">
        <v>4162</v>
      </c>
      <c r="D408" t="s">
        <v>257</v>
      </c>
      <c r="E408" t="s">
        <v>3742</v>
      </c>
    </row>
    <row r="409" spans="1:5">
      <c r="A409">
        <v>407</v>
      </c>
      <c r="B409" t="s">
        <v>590</v>
      </c>
      <c r="C409" t="s">
        <v>4163</v>
      </c>
      <c r="D409" t="s">
        <v>257</v>
      </c>
      <c r="E409" t="s">
        <v>3742</v>
      </c>
    </row>
    <row r="410" spans="1:5">
      <c r="A410">
        <v>408</v>
      </c>
      <c r="B410" t="s">
        <v>591</v>
      </c>
      <c r="C410" t="s">
        <v>4164</v>
      </c>
      <c r="D410" t="s">
        <v>257</v>
      </c>
      <c r="E410" t="s">
        <v>3742</v>
      </c>
    </row>
    <row r="411" spans="1:5">
      <c r="A411">
        <v>409</v>
      </c>
      <c r="B411" t="s">
        <v>592</v>
      </c>
      <c r="C411" t="s">
        <v>4165</v>
      </c>
      <c r="D411" t="s">
        <v>257</v>
      </c>
      <c r="E411" t="s">
        <v>3742</v>
      </c>
    </row>
    <row r="412" spans="1:5">
      <c r="A412">
        <v>410</v>
      </c>
      <c r="B412" t="s">
        <v>593</v>
      </c>
      <c r="C412" t="s">
        <v>4166</v>
      </c>
      <c r="D412" t="s">
        <v>257</v>
      </c>
      <c r="E412" t="s">
        <v>3742</v>
      </c>
    </row>
    <row r="413" spans="1:5">
      <c r="A413">
        <v>411</v>
      </c>
      <c r="B413" t="s">
        <v>594</v>
      </c>
      <c r="C413" t="s">
        <v>4167</v>
      </c>
      <c r="D413" t="s">
        <v>257</v>
      </c>
      <c r="E413" t="s">
        <v>3742</v>
      </c>
    </row>
    <row r="414" spans="1:5">
      <c r="A414">
        <v>412</v>
      </c>
      <c r="B414" t="s">
        <v>595</v>
      </c>
      <c r="C414" t="s">
        <v>4168</v>
      </c>
      <c r="D414" t="s">
        <v>257</v>
      </c>
      <c r="E414" t="s">
        <v>3742</v>
      </c>
    </row>
    <row r="415" spans="1:5">
      <c r="A415">
        <v>413</v>
      </c>
      <c r="B415" t="s">
        <v>596</v>
      </c>
      <c r="C415" t="s">
        <v>4169</v>
      </c>
      <c r="D415" t="s">
        <v>257</v>
      </c>
      <c r="E415" t="s">
        <v>3742</v>
      </c>
    </row>
    <row r="416" spans="1:5">
      <c r="A416">
        <v>414</v>
      </c>
      <c r="B416" t="s">
        <v>597</v>
      </c>
      <c r="C416" t="s">
        <v>4170</v>
      </c>
      <c r="D416" t="s">
        <v>257</v>
      </c>
      <c r="E416" t="s">
        <v>3742</v>
      </c>
    </row>
    <row r="417" spans="1:5">
      <c r="A417">
        <v>415</v>
      </c>
      <c r="B417" t="s">
        <v>598</v>
      </c>
      <c r="C417" t="s">
        <v>4171</v>
      </c>
      <c r="D417" t="s">
        <v>257</v>
      </c>
      <c r="E417" t="s">
        <v>3742</v>
      </c>
    </row>
    <row r="418" spans="1:5">
      <c r="A418">
        <v>416</v>
      </c>
      <c r="B418" t="s">
        <v>599</v>
      </c>
      <c r="C418" t="s">
        <v>4172</v>
      </c>
      <c r="D418" t="s">
        <v>257</v>
      </c>
      <c r="E418" t="s">
        <v>3742</v>
      </c>
    </row>
    <row r="419" spans="1:5">
      <c r="A419">
        <v>417</v>
      </c>
      <c r="B419" t="s">
        <v>600</v>
      </c>
      <c r="C419" t="s">
        <v>4173</v>
      </c>
      <c r="D419" t="s">
        <v>257</v>
      </c>
      <c r="E419" t="s">
        <v>3742</v>
      </c>
    </row>
    <row r="420" spans="1:5">
      <c r="A420">
        <v>418</v>
      </c>
      <c r="B420" t="s">
        <v>601</v>
      </c>
      <c r="C420" t="s">
        <v>4174</v>
      </c>
      <c r="D420" t="s">
        <v>257</v>
      </c>
      <c r="E420" t="s">
        <v>3742</v>
      </c>
    </row>
    <row r="421" spans="1:5">
      <c r="A421">
        <v>419</v>
      </c>
      <c r="B421" t="s">
        <v>602</v>
      </c>
      <c r="C421" t="s">
        <v>4175</v>
      </c>
      <c r="D421" t="s">
        <v>257</v>
      </c>
      <c r="E421" t="s">
        <v>3742</v>
      </c>
    </row>
    <row r="422" spans="1:5">
      <c r="A422">
        <v>420</v>
      </c>
      <c r="B422" t="s">
        <v>603</v>
      </c>
      <c r="C422" t="s">
        <v>4176</v>
      </c>
      <c r="D422" t="s">
        <v>257</v>
      </c>
      <c r="E422" t="s">
        <v>3742</v>
      </c>
    </row>
    <row r="423" spans="1:5">
      <c r="A423">
        <v>421</v>
      </c>
      <c r="B423" t="s">
        <v>604</v>
      </c>
      <c r="C423" t="s">
        <v>4177</v>
      </c>
      <c r="D423" t="s">
        <v>257</v>
      </c>
      <c r="E423" t="s">
        <v>3742</v>
      </c>
    </row>
    <row r="424" spans="1:5">
      <c r="A424">
        <v>422</v>
      </c>
      <c r="B424" t="s">
        <v>605</v>
      </c>
      <c r="C424" t="s">
        <v>4178</v>
      </c>
      <c r="D424" t="s">
        <v>257</v>
      </c>
      <c r="E424" t="s">
        <v>3742</v>
      </c>
    </row>
    <row r="425" spans="1:5">
      <c r="A425">
        <v>423</v>
      </c>
      <c r="B425" t="s">
        <v>606</v>
      </c>
      <c r="C425" t="s">
        <v>4179</v>
      </c>
      <c r="D425" t="s">
        <v>257</v>
      </c>
      <c r="E425" t="s">
        <v>3742</v>
      </c>
    </row>
    <row r="426" spans="1:5">
      <c r="A426">
        <v>424</v>
      </c>
      <c r="B426" t="s">
        <v>607</v>
      </c>
      <c r="C426" t="s">
        <v>4180</v>
      </c>
      <c r="D426" t="s">
        <v>257</v>
      </c>
      <c r="E426" t="s">
        <v>3742</v>
      </c>
    </row>
    <row r="427" spans="1:5">
      <c r="A427">
        <v>425</v>
      </c>
      <c r="B427" t="s">
        <v>608</v>
      </c>
      <c r="C427" t="s">
        <v>4181</v>
      </c>
      <c r="D427" t="s">
        <v>257</v>
      </c>
      <c r="E427" t="s">
        <v>3742</v>
      </c>
    </row>
    <row r="428" spans="1:5">
      <c r="A428">
        <v>426</v>
      </c>
      <c r="B428" t="s">
        <v>609</v>
      </c>
      <c r="C428" t="s">
        <v>4182</v>
      </c>
      <c r="D428" t="s">
        <v>257</v>
      </c>
      <c r="E428" t="s">
        <v>3742</v>
      </c>
    </row>
    <row r="429" spans="1:5">
      <c r="A429">
        <v>427</v>
      </c>
      <c r="B429" t="s">
        <v>610</v>
      </c>
      <c r="C429" t="s">
        <v>4183</v>
      </c>
      <c r="D429" t="s">
        <v>257</v>
      </c>
      <c r="E429" t="s">
        <v>3742</v>
      </c>
    </row>
    <row r="430" spans="1:5">
      <c r="A430">
        <v>428</v>
      </c>
      <c r="B430" t="s">
        <v>611</v>
      </c>
      <c r="C430" t="s">
        <v>4184</v>
      </c>
      <c r="D430" t="s">
        <v>257</v>
      </c>
      <c r="E430" t="s">
        <v>3742</v>
      </c>
    </row>
    <row r="431" spans="1:5">
      <c r="A431">
        <v>429</v>
      </c>
      <c r="B431" t="s">
        <v>612</v>
      </c>
      <c r="C431" t="s">
        <v>4185</v>
      </c>
      <c r="D431" t="s">
        <v>257</v>
      </c>
      <c r="E431" t="s">
        <v>3742</v>
      </c>
    </row>
    <row r="432" spans="1:5">
      <c r="A432">
        <v>430</v>
      </c>
      <c r="B432" t="s">
        <v>613</v>
      </c>
      <c r="C432" t="s">
        <v>4186</v>
      </c>
      <c r="D432" t="s">
        <v>257</v>
      </c>
      <c r="E432" t="s">
        <v>3742</v>
      </c>
    </row>
    <row r="433" spans="1:5">
      <c r="A433">
        <v>431</v>
      </c>
      <c r="B433" t="s">
        <v>614</v>
      </c>
      <c r="C433" t="s">
        <v>4187</v>
      </c>
      <c r="D433" t="s">
        <v>257</v>
      </c>
      <c r="E433" t="s">
        <v>3742</v>
      </c>
    </row>
    <row r="434" spans="1:5">
      <c r="A434">
        <v>432</v>
      </c>
      <c r="B434" t="s">
        <v>615</v>
      </c>
      <c r="C434" t="s">
        <v>4188</v>
      </c>
      <c r="D434" t="s">
        <v>257</v>
      </c>
      <c r="E434" t="s">
        <v>3742</v>
      </c>
    </row>
    <row r="435" spans="1:5">
      <c r="A435">
        <v>433</v>
      </c>
      <c r="B435" t="s">
        <v>616</v>
      </c>
      <c r="C435" t="s">
        <v>4189</v>
      </c>
      <c r="D435" t="s">
        <v>257</v>
      </c>
      <c r="E435" t="s">
        <v>3742</v>
      </c>
    </row>
    <row r="436" spans="1:5">
      <c r="A436">
        <v>434</v>
      </c>
      <c r="B436" t="s">
        <v>617</v>
      </c>
      <c r="C436" t="s">
        <v>4190</v>
      </c>
      <c r="D436" t="s">
        <v>257</v>
      </c>
      <c r="E436" t="s">
        <v>3742</v>
      </c>
    </row>
    <row r="437" spans="1:5">
      <c r="A437">
        <v>435</v>
      </c>
      <c r="B437" t="s">
        <v>618</v>
      </c>
      <c r="C437" t="s">
        <v>4191</v>
      </c>
      <c r="D437" t="s">
        <v>257</v>
      </c>
      <c r="E437" t="s">
        <v>3742</v>
      </c>
    </row>
    <row r="438" spans="1:5">
      <c r="A438">
        <v>436</v>
      </c>
      <c r="B438" t="s">
        <v>619</v>
      </c>
      <c r="C438" t="s">
        <v>4192</v>
      </c>
      <c r="D438" t="s">
        <v>257</v>
      </c>
      <c r="E438" t="s">
        <v>3742</v>
      </c>
    </row>
    <row r="439" spans="1:5">
      <c r="A439">
        <v>437</v>
      </c>
      <c r="B439" t="s">
        <v>620</v>
      </c>
      <c r="C439" t="s">
        <v>4193</v>
      </c>
      <c r="D439" t="s">
        <v>257</v>
      </c>
      <c r="E439" t="s">
        <v>3742</v>
      </c>
    </row>
    <row r="440" spans="1:5">
      <c r="A440">
        <v>438</v>
      </c>
      <c r="B440" t="s">
        <v>621</v>
      </c>
      <c r="C440" t="s">
        <v>4194</v>
      </c>
      <c r="D440" t="s">
        <v>257</v>
      </c>
      <c r="E440" t="s">
        <v>3742</v>
      </c>
    </row>
    <row r="441" spans="1:5">
      <c r="A441">
        <v>439</v>
      </c>
      <c r="B441" t="s">
        <v>622</v>
      </c>
      <c r="C441" t="s">
        <v>4195</v>
      </c>
      <c r="D441" t="s">
        <v>257</v>
      </c>
      <c r="E441" t="s">
        <v>3742</v>
      </c>
    </row>
    <row r="442" spans="1:5">
      <c r="A442">
        <v>440</v>
      </c>
      <c r="B442" t="s">
        <v>623</v>
      </c>
      <c r="C442" t="s">
        <v>4196</v>
      </c>
      <c r="D442" t="s">
        <v>257</v>
      </c>
      <c r="E442" t="s">
        <v>3742</v>
      </c>
    </row>
    <row r="443" spans="1:5">
      <c r="A443">
        <v>441</v>
      </c>
      <c r="B443" t="s">
        <v>624</v>
      </c>
      <c r="C443" t="s">
        <v>4197</v>
      </c>
      <c r="D443" t="s">
        <v>257</v>
      </c>
      <c r="E443" t="s">
        <v>3742</v>
      </c>
    </row>
    <row r="444" spans="1:5">
      <c r="A444">
        <v>442</v>
      </c>
      <c r="B444" t="s">
        <v>625</v>
      </c>
      <c r="C444" t="s">
        <v>4198</v>
      </c>
      <c r="D444" t="s">
        <v>257</v>
      </c>
      <c r="E444" t="s">
        <v>3742</v>
      </c>
    </row>
    <row r="445" spans="1:5">
      <c r="A445">
        <v>443</v>
      </c>
      <c r="B445" t="s">
        <v>626</v>
      </c>
      <c r="C445" t="s">
        <v>4199</v>
      </c>
      <c r="D445" t="s">
        <v>257</v>
      </c>
      <c r="E445" t="s">
        <v>3742</v>
      </c>
    </row>
    <row r="446" spans="1:5">
      <c r="A446">
        <v>444</v>
      </c>
      <c r="B446" t="s">
        <v>627</v>
      </c>
      <c r="C446" t="s">
        <v>4200</v>
      </c>
      <c r="D446" t="s">
        <v>257</v>
      </c>
      <c r="E446" t="s">
        <v>3742</v>
      </c>
    </row>
    <row r="447" spans="1:5">
      <c r="A447">
        <v>445</v>
      </c>
      <c r="B447" t="s">
        <v>628</v>
      </c>
      <c r="C447" t="s">
        <v>4201</v>
      </c>
      <c r="D447" t="s">
        <v>257</v>
      </c>
      <c r="E447" t="s">
        <v>3742</v>
      </c>
    </row>
    <row r="448" spans="1:5">
      <c r="A448">
        <v>446</v>
      </c>
      <c r="B448" t="s">
        <v>629</v>
      </c>
      <c r="C448" t="s">
        <v>4202</v>
      </c>
      <c r="D448" t="s">
        <v>257</v>
      </c>
      <c r="E448" t="s">
        <v>3742</v>
      </c>
    </row>
    <row r="449" spans="1:5">
      <c r="A449">
        <v>447</v>
      </c>
      <c r="B449" t="s">
        <v>630</v>
      </c>
      <c r="C449" t="s">
        <v>4203</v>
      </c>
      <c r="D449" t="s">
        <v>257</v>
      </c>
      <c r="E449" t="s">
        <v>3742</v>
      </c>
    </row>
    <row r="450" spans="1:5">
      <c r="A450">
        <v>448</v>
      </c>
      <c r="B450" t="s">
        <v>631</v>
      </c>
      <c r="C450" t="s">
        <v>4204</v>
      </c>
      <c r="D450" t="s">
        <v>257</v>
      </c>
      <c r="E450" t="s">
        <v>3742</v>
      </c>
    </row>
    <row r="451" spans="1:5">
      <c r="A451">
        <v>449</v>
      </c>
      <c r="B451" t="s">
        <v>632</v>
      </c>
      <c r="C451" t="s">
        <v>4205</v>
      </c>
      <c r="D451" t="s">
        <v>257</v>
      </c>
      <c r="E451" t="s">
        <v>3742</v>
      </c>
    </row>
    <row r="452" spans="1:5">
      <c r="A452">
        <v>450</v>
      </c>
      <c r="B452" t="s">
        <v>633</v>
      </c>
      <c r="C452" t="s">
        <v>4206</v>
      </c>
      <c r="D452" t="s">
        <v>257</v>
      </c>
      <c r="E452" t="s">
        <v>3742</v>
      </c>
    </row>
    <row r="453" spans="1:5">
      <c r="A453">
        <v>451</v>
      </c>
      <c r="B453" t="s">
        <v>634</v>
      </c>
      <c r="C453" t="s">
        <v>4207</v>
      </c>
      <c r="D453" t="s">
        <v>257</v>
      </c>
      <c r="E453" t="s">
        <v>3742</v>
      </c>
    </row>
    <row r="454" spans="1:5">
      <c r="A454">
        <v>452</v>
      </c>
      <c r="B454" t="s">
        <v>635</v>
      </c>
      <c r="C454" t="s">
        <v>4208</v>
      </c>
      <c r="D454" t="s">
        <v>257</v>
      </c>
      <c r="E454" t="s">
        <v>3742</v>
      </c>
    </row>
    <row r="455" spans="1:5">
      <c r="A455">
        <v>453</v>
      </c>
      <c r="B455" t="s">
        <v>636</v>
      </c>
      <c r="C455" t="s">
        <v>4209</v>
      </c>
      <c r="D455" t="s">
        <v>257</v>
      </c>
      <c r="E455" t="s">
        <v>3742</v>
      </c>
    </row>
    <row r="456" spans="1:5">
      <c r="A456">
        <v>454</v>
      </c>
      <c r="B456" t="s">
        <v>637</v>
      </c>
      <c r="C456" t="s">
        <v>4210</v>
      </c>
      <c r="D456" t="s">
        <v>257</v>
      </c>
      <c r="E456" t="s">
        <v>3742</v>
      </c>
    </row>
    <row r="457" spans="1:5">
      <c r="A457">
        <v>455</v>
      </c>
      <c r="B457" t="s">
        <v>638</v>
      </c>
      <c r="C457" t="s">
        <v>4211</v>
      </c>
      <c r="D457" t="s">
        <v>257</v>
      </c>
      <c r="E457" t="s">
        <v>3742</v>
      </c>
    </row>
    <row r="458" spans="1:5">
      <c r="A458">
        <v>456</v>
      </c>
      <c r="B458" t="s">
        <v>639</v>
      </c>
      <c r="C458" t="s">
        <v>4212</v>
      </c>
      <c r="D458" t="s">
        <v>257</v>
      </c>
      <c r="E458" t="s">
        <v>3742</v>
      </c>
    </row>
    <row r="459" spans="1:5">
      <c r="A459">
        <v>457</v>
      </c>
      <c r="B459" t="s">
        <v>640</v>
      </c>
      <c r="C459" t="s">
        <v>4213</v>
      </c>
      <c r="D459" t="s">
        <v>257</v>
      </c>
      <c r="E459" t="s">
        <v>3742</v>
      </c>
    </row>
    <row r="460" spans="1:5">
      <c r="A460">
        <v>458</v>
      </c>
      <c r="B460" t="s">
        <v>641</v>
      </c>
      <c r="C460" t="s">
        <v>4214</v>
      </c>
      <c r="D460" t="s">
        <v>257</v>
      </c>
      <c r="E460" t="s">
        <v>3742</v>
      </c>
    </row>
    <row r="461" spans="1:5">
      <c r="A461">
        <v>459</v>
      </c>
      <c r="B461" t="s">
        <v>642</v>
      </c>
      <c r="C461" t="s">
        <v>4215</v>
      </c>
      <c r="D461" t="s">
        <v>257</v>
      </c>
      <c r="E461" t="s">
        <v>3742</v>
      </c>
    </row>
    <row r="462" spans="1:5">
      <c r="A462">
        <v>460</v>
      </c>
      <c r="B462" t="s">
        <v>643</v>
      </c>
      <c r="C462" t="s">
        <v>4216</v>
      </c>
      <c r="D462" t="s">
        <v>257</v>
      </c>
      <c r="E462" t="s">
        <v>3742</v>
      </c>
    </row>
    <row r="463" spans="1:5">
      <c r="A463">
        <v>461</v>
      </c>
      <c r="B463" t="s">
        <v>644</v>
      </c>
      <c r="C463" t="s">
        <v>4217</v>
      </c>
      <c r="D463" t="s">
        <v>257</v>
      </c>
      <c r="E463" t="s">
        <v>3742</v>
      </c>
    </row>
    <row r="464" spans="1:5">
      <c r="A464">
        <v>462</v>
      </c>
      <c r="B464" t="s">
        <v>645</v>
      </c>
      <c r="C464" t="s">
        <v>4218</v>
      </c>
      <c r="D464" t="s">
        <v>257</v>
      </c>
      <c r="E464" t="s">
        <v>3742</v>
      </c>
    </row>
    <row r="465" spans="1:5">
      <c r="A465">
        <v>463</v>
      </c>
      <c r="B465" t="s">
        <v>646</v>
      </c>
      <c r="C465" t="s">
        <v>4219</v>
      </c>
      <c r="D465" t="s">
        <v>257</v>
      </c>
      <c r="E465" t="s">
        <v>3742</v>
      </c>
    </row>
    <row r="466" spans="1:5">
      <c r="A466">
        <v>464</v>
      </c>
      <c r="B466" t="s">
        <v>647</v>
      </c>
      <c r="C466" t="s">
        <v>4220</v>
      </c>
      <c r="D466" t="s">
        <v>257</v>
      </c>
      <c r="E466" t="s">
        <v>3742</v>
      </c>
    </row>
    <row r="467" spans="1:5">
      <c r="A467">
        <v>465</v>
      </c>
      <c r="B467" t="s">
        <v>648</v>
      </c>
      <c r="C467" t="s">
        <v>4221</v>
      </c>
      <c r="D467" t="s">
        <v>257</v>
      </c>
      <c r="E467" t="s">
        <v>3742</v>
      </c>
    </row>
    <row r="468" spans="1:5">
      <c r="A468">
        <v>466</v>
      </c>
      <c r="B468" t="s">
        <v>649</v>
      </c>
      <c r="C468" t="s">
        <v>4222</v>
      </c>
      <c r="D468" t="s">
        <v>257</v>
      </c>
      <c r="E468" t="s">
        <v>3742</v>
      </c>
    </row>
    <row r="469" spans="1:5">
      <c r="A469">
        <v>467</v>
      </c>
      <c r="B469" t="s">
        <v>650</v>
      </c>
      <c r="C469" t="s">
        <v>4223</v>
      </c>
      <c r="D469" t="s">
        <v>257</v>
      </c>
      <c r="E469" t="s">
        <v>3742</v>
      </c>
    </row>
    <row r="470" spans="1:5">
      <c r="A470">
        <v>468</v>
      </c>
      <c r="B470" t="s">
        <v>651</v>
      </c>
      <c r="C470" t="s">
        <v>4224</v>
      </c>
      <c r="D470" t="s">
        <v>257</v>
      </c>
      <c r="E470" t="s">
        <v>3742</v>
      </c>
    </row>
    <row r="471" spans="1:5">
      <c r="A471">
        <v>469</v>
      </c>
      <c r="B471" t="s">
        <v>652</v>
      </c>
      <c r="C471" t="s">
        <v>4225</v>
      </c>
      <c r="D471" t="s">
        <v>257</v>
      </c>
      <c r="E471" t="s">
        <v>3742</v>
      </c>
    </row>
    <row r="472" spans="1:5">
      <c r="A472">
        <v>470</v>
      </c>
      <c r="B472" t="s">
        <v>653</v>
      </c>
      <c r="C472" t="s">
        <v>4226</v>
      </c>
      <c r="D472" t="s">
        <v>257</v>
      </c>
      <c r="E472" t="s">
        <v>3742</v>
      </c>
    </row>
    <row r="473" spans="1:5">
      <c r="A473">
        <v>471</v>
      </c>
      <c r="B473" t="s">
        <v>654</v>
      </c>
      <c r="C473" t="s">
        <v>4227</v>
      </c>
      <c r="D473" t="s">
        <v>257</v>
      </c>
      <c r="E473" t="s">
        <v>3742</v>
      </c>
    </row>
    <row r="474" spans="1:5">
      <c r="A474">
        <v>472</v>
      </c>
      <c r="B474" t="s">
        <v>655</v>
      </c>
      <c r="C474" t="s">
        <v>4228</v>
      </c>
      <c r="D474" t="s">
        <v>257</v>
      </c>
      <c r="E474" t="s">
        <v>3742</v>
      </c>
    </row>
    <row r="475" spans="1:5">
      <c r="A475">
        <v>473</v>
      </c>
      <c r="B475" t="s">
        <v>656</v>
      </c>
      <c r="C475" t="s">
        <v>4229</v>
      </c>
      <c r="D475" t="s">
        <v>257</v>
      </c>
      <c r="E475" t="s">
        <v>3742</v>
      </c>
    </row>
    <row r="476" spans="1:5">
      <c r="A476">
        <v>474</v>
      </c>
      <c r="B476" t="s">
        <v>657</v>
      </c>
      <c r="C476" t="s">
        <v>4230</v>
      </c>
      <c r="D476" t="s">
        <v>257</v>
      </c>
      <c r="E476" t="s">
        <v>3742</v>
      </c>
    </row>
    <row r="477" spans="1:5">
      <c r="A477">
        <v>475</v>
      </c>
      <c r="B477" t="s">
        <v>658</v>
      </c>
      <c r="C477" t="s">
        <v>4231</v>
      </c>
      <c r="D477" t="s">
        <v>257</v>
      </c>
      <c r="E477" t="s">
        <v>3742</v>
      </c>
    </row>
    <row r="478" spans="1:5">
      <c r="A478">
        <v>476</v>
      </c>
      <c r="B478" t="s">
        <v>659</v>
      </c>
      <c r="C478" t="s">
        <v>4232</v>
      </c>
      <c r="D478" t="s">
        <v>257</v>
      </c>
      <c r="E478" t="s">
        <v>3742</v>
      </c>
    </row>
    <row r="479" spans="1:5">
      <c r="A479">
        <v>477</v>
      </c>
      <c r="B479" t="s">
        <v>660</v>
      </c>
      <c r="C479" t="s">
        <v>4233</v>
      </c>
      <c r="D479" t="s">
        <v>257</v>
      </c>
      <c r="E479" t="s">
        <v>3742</v>
      </c>
    </row>
    <row r="480" spans="1:5">
      <c r="A480">
        <v>478</v>
      </c>
      <c r="B480" t="s">
        <v>661</v>
      </c>
      <c r="C480" t="s">
        <v>4234</v>
      </c>
      <c r="D480" t="s">
        <v>257</v>
      </c>
      <c r="E480" t="s">
        <v>3742</v>
      </c>
    </row>
    <row r="481" spans="1:5">
      <c r="A481">
        <v>479</v>
      </c>
      <c r="B481" t="s">
        <v>662</v>
      </c>
      <c r="C481" t="s">
        <v>4235</v>
      </c>
      <c r="D481" t="s">
        <v>257</v>
      </c>
      <c r="E481" t="s">
        <v>3742</v>
      </c>
    </row>
    <row r="482" spans="1:5">
      <c r="A482">
        <v>480</v>
      </c>
      <c r="B482" t="s">
        <v>663</v>
      </c>
      <c r="C482" t="s">
        <v>4236</v>
      </c>
      <c r="D482" t="s">
        <v>257</v>
      </c>
      <c r="E482" t="s">
        <v>3742</v>
      </c>
    </row>
    <row r="483" spans="1:5">
      <c r="A483">
        <v>481</v>
      </c>
      <c r="B483" t="s">
        <v>664</v>
      </c>
      <c r="C483" t="s">
        <v>4237</v>
      </c>
      <c r="D483" t="s">
        <v>257</v>
      </c>
      <c r="E483" t="s">
        <v>3742</v>
      </c>
    </row>
    <row r="484" spans="1:5">
      <c r="A484">
        <v>482</v>
      </c>
      <c r="B484" t="s">
        <v>665</v>
      </c>
      <c r="C484" t="s">
        <v>4238</v>
      </c>
      <c r="D484" t="s">
        <v>257</v>
      </c>
      <c r="E484" t="s">
        <v>3742</v>
      </c>
    </row>
    <row r="485" spans="1:5">
      <c r="A485">
        <v>483</v>
      </c>
      <c r="B485" t="s">
        <v>666</v>
      </c>
      <c r="C485" t="s">
        <v>4239</v>
      </c>
      <c r="D485" t="s">
        <v>257</v>
      </c>
      <c r="E485" t="s">
        <v>3742</v>
      </c>
    </row>
    <row r="486" spans="1:5">
      <c r="A486">
        <v>484</v>
      </c>
      <c r="B486" t="s">
        <v>667</v>
      </c>
      <c r="C486" t="s">
        <v>4240</v>
      </c>
      <c r="D486" t="s">
        <v>257</v>
      </c>
      <c r="E486" t="s">
        <v>3742</v>
      </c>
    </row>
    <row r="487" spans="1:5">
      <c r="A487">
        <v>485</v>
      </c>
      <c r="B487" t="s">
        <v>668</v>
      </c>
      <c r="C487" t="s">
        <v>4241</v>
      </c>
      <c r="D487" t="s">
        <v>257</v>
      </c>
      <c r="E487" t="s">
        <v>3742</v>
      </c>
    </row>
    <row r="488" spans="1:5">
      <c r="A488">
        <v>486</v>
      </c>
      <c r="B488" t="s">
        <v>669</v>
      </c>
      <c r="C488" t="s">
        <v>4242</v>
      </c>
      <c r="D488" t="s">
        <v>257</v>
      </c>
      <c r="E488" t="s">
        <v>3742</v>
      </c>
    </row>
    <row r="489" spans="1:5">
      <c r="A489">
        <v>487</v>
      </c>
      <c r="B489" t="s">
        <v>670</v>
      </c>
      <c r="C489" t="s">
        <v>4243</v>
      </c>
      <c r="D489" t="s">
        <v>257</v>
      </c>
      <c r="E489" t="s">
        <v>3742</v>
      </c>
    </row>
    <row r="490" spans="1:5">
      <c r="A490">
        <v>488</v>
      </c>
      <c r="B490" t="s">
        <v>671</v>
      </c>
      <c r="C490" t="s">
        <v>4244</v>
      </c>
      <c r="D490" t="s">
        <v>257</v>
      </c>
      <c r="E490" t="s">
        <v>3742</v>
      </c>
    </row>
    <row r="491" spans="1:5">
      <c r="A491">
        <v>489</v>
      </c>
      <c r="B491" t="s">
        <v>672</v>
      </c>
      <c r="C491" t="s">
        <v>4245</v>
      </c>
      <c r="D491" t="s">
        <v>257</v>
      </c>
      <c r="E491" t="s">
        <v>3742</v>
      </c>
    </row>
    <row r="492" spans="1:5">
      <c r="A492">
        <v>490</v>
      </c>
      <c r="B492" t="s">
        <v>673</v>
      </c>
      <c r="C492" t="s">
        <v>4246</v>
      </c>
      <c r="D492" t="s">
        <v>257</v>
      </c>
      <c r="E492" t="s">
        <v>3742</v>
      </c>
    </row>
    <row r="493" spans="1:5">
      <c r="A493">
        <v>491</v>
      </c>
      <c r="B493" t="s">
        <v>674</v>
      </c>
      <c r="C493" t="s">
        <v>4247</v>
      </c>
      <c r="D493" t="s">
        <v>257</v>
      </c>
      <c r="E493" t="s">
        <v>3742</v>
      </c>
    </row>
    <row r="494" spans="1:5">
      <c r="A494">
        <v>492</v>
      </c>
      <c r="B494" t="s">
        <v>675</v>
      </c>
      <c r="C494" t="s">
        <v>4248</v>
      </c>
      <c r="D494" t="s">
        <v>257</v>
      </c>
      <c r="E494" t="s">
        <v>3742</v>
      </c>
    </row>
    <row r="495" spans="1:5">
      <c r="A495">
        <v>493</v>
      </c>
      <c r="B495" t="s">
        <v>676</v>
      </c>
      <c r="C495" t="s">
        <v>4249</v>
      </c>
      <c r="D495" t="s">
        <v>257</v>
      </c>
      <c r="E495" t="s">
        <v>3742</v>
      </c>
    </row>
    <row r="496" spans="1:5">
      <c r="A496">
        <v>494</v>
      </c>
      <c r="B496" t="s">
        <v>677</v>
      </c>
      <c r="C496" t="s">
        <v>4250</v>
      </c>
      <c r="D496" t="s">
        <v>257</v>
      </c>
      <c r="E496" t="s">
        <v>3742</v>
      </c>
    </row>
    <row r="497" spans="1:5">
      <c r="A497">
        <v>495</v>
      </c>
      <c r="B497" t="s">
        <v>678</v>
      </c>
      <c r="C497" t="s">
        <v>4251</v>
      </c>
      <c r="D497" t="s">
        <v>257</v>
      </c>
      <c r="E497" t="s">
        <v>3742</v>
      </c>
    </row>
    <row r="498" spans="1:5">
      <c r="A498">
        <v>496</v>
      </c>
      <c r="B498" t="s">
        <v>679</v>
      </c>
      <c r="C498" t="s">
        <v>4252</v>
      </c>
      <c r="D498" t="s">
        <v>257</v>
      </c>
      <c r="E498" t="s">
        <v>3742</v>
      </c>
    </row>
    <row r="499" spans="1:5">
      <c r="A499">
        <v>497</v>
      </c>
      <c r="B499" t="s">
        <v>680</v>
      </c>
      <c r="C499" t="s">
        <v>4253</v>
      </c>
      <c r="D499" t="s">
        <v>257</v>
      </c>
      <c r="E499" t="s">
        <v>3742</v>
      </c>
    </row>
    <row r="500" spans="1:5">
      <c r="A500">
        <v>498</v>
      </c>
      <c r="B500" t="s">
        <v>681</v>
      </c>
      <c r="C500" t="s">
        <v>4254</v>
      </c>
      <c r="D500" t="s">
        <v>257</v>
      </c>
      <c r="E500" t="s">
        <v>3742</v>
      </c>
    </row>
    <row r="501" spans="1:5">
      <c r="A501">
        <v>499</v>
      </c>
      <c r="B501" t="s">
        <v>682</v>
      </c>
      <c r="C501" t="s">
        <v>4255</v>
      </c>
      <c r="D501" t="s">
        <v>257</v>
      </c>
      <c r="E501" t="s">
        <v>3742</v>
      </c>
    </row>
    <row r="502" spans="1:5">
      <c r="A502">
        <v>500</v>
      </c>
      <c r="B502" t="s">
        <v>683</v>
      </c>
      <c r="C502" t="s">
        <v>4256</v>
      </c>
      <c r="D502" t="s">
        <v>257</v>
      </c>
      <c r="E502" t="s">
        <v>3742</v>
      </c>
    </row>
    <row r="503" spans="1:5">
      <c r="A503">
        <v>501</v>
      </c>
      <c r="B503" t="s">
        <v>684</v>
      </c>
      <c r="C503" t="s">
        <v>4257</v>
      </c>
      <c r="D503" t="s">
        <v>257</v>
      </c>
      <c r="E503" t="s">
        <v>3742</v>
      </c>
    </row>
    <row r="504" spans="1:5">
      <c r="A504">
        <v>502</v>
      </c>
      <c r="B504" t="s">
        <v>685</v>
      </c>
      <c r="C504" t="s">
        <v>4258</v>
      </c>
      <c r="D504" t="s">
        <v>257</v>
      </c>
      <c r="E504" t="s">
        <v>3742</v>
      </c>
    </row>
    <row r="505" spans="1:5">
      <c r="A505">
        <v>503</v>
      </c>
      <c r="B505" t="s">
        <v>686</v>
      </c>
      <c r="C505" t="s">
        <v>4259</v>
      </c>
      <c r="D505" t="s">
        <v>257</v>
      </c>
      <c r="E505" t="s">
        <v>3742</v>
      </c>
    </row>
    <row r="506" spans="1:5">
      <c r="A506">
        <v>504</v>
      </c>
      <c r="B506" t="s">
        <v>687</v>
      </c>
      <c r="C506" t="s">
        <v>4260</v>
      </c>
      <c r="D506" t="s">
        <v>257</v>
      </c>
      <c r="E506" t="s">
        <v>3742</v>
      </c>
    </row>
    <row r="507" spans="1:5">
      <c r="A507">
        <v>505</v>
      </c>
      <c r="B507" t="s">
        <v>688</v>
      </c>
      <c r="C507" t="s">
        <v>4261</v>
      </c>
      <c r="D507" t="s">
        <v>257</v>
      </c>
      <c r="E507" t="s">
        <v>3742</v>
      </c>
    </row>
    <row r="508" spans="1:5">
      <c r="A508">
        <v>506</v>
      </c>
      <c r="B508" t="s">
        <v>689</v>
      </c>
      <c r="C508" t="s">
        <v>4262</v>
      </c>
      <c r="D508" t="s">
        <v>257</v>
      </c>
      <c r="E508" t="s">
        <v>3742</v>
      </c>
    </row>
    <row r="509" spans="1:5">
      <c r="A509">
        <v>507</v>
      </c>
      <c r="B509" t="s">
        <v>690</v>
      </c>
      <c r="C509" t="s">
        <v>4263</v>
      </c>
      <c r="D509" t="s">
        <v>257</v>
      </c>
      <c r="E509" t="s">
        <v>3742</v>
      </c>
    </row>
    <row r="510" spans="1:5">
      <c r="A510">
        <v>508</v>
      </c>
      <c r="B510" t="s">
        <v>691</v>
      </c>
      <c r="C510" t="s">
        <v>4264</v>
      </c>
      <c r="D510" t="s">
        <v>257</v>
      </c>
      <c r="E510" t="s">
        <v>3742</v>
      </c>
    </row>
    <row r="511" spans="1:5">
      <c r="A511">
        <v>509</v>
      </c>
      <c r="B511" t="s">
        <v>692</v>
      </c>
      <c r="C511" t="s">
        <v>4265</v>
      </c>
      <c r="D511" t="s">
        <v>257</v>
      </c>
      <c r="E511" t="s">
        <v>3742</v>
      </c>
    </row>
    <row r="512" spans="1:5">
      <c r="A512">
        <v>510</v>
      </c>
      <c r="B512" t="s">
        <v>693</v>
      </c>
      <c r="C512" t="s">
        <v>4266</v>
      </c>
      <c r="D512" t="s">
        <v>257</v>
      </c>
      <c r="E512" t="s">
        <v>3742</v>
      </c>
    </row>
    <row r="513" spans="1:5">
      <c r="A513">
        <v>511</v>
      </c>
      <c r="B513" t="s">
        <v>694</v>
      </c>
      <c r="C513" t="s">
        <v>4267</v>
      </c>
      <c r="D513" t="s">
        <v>257</v>
      </c>
      <c r="E513" t="s">
        <v>3742</v>
      </c>
    </row>
    <row r="514" spans="1:5">
      <c r="A514">
        <v>512</v>
      </c>
      <c r="B514" t="s">
        <v>695</v>
      </c>
      <c r="C514" t="s">
        <v>4268</v>
      </c>
      <c r="D514" t="s">
        <v>257</v>
      </c>
      <c r="E514" t="s">
        <v>3742</v>
      </c>
    </row>
    <row r="515" spans="1:5">
      <c r="A515">
        <v>513</v>
      </c>
      <c r="B515" t="s">
        <v>696</v>
      </c>
      <c r="C515" t="s">
        <v>4269</v>
      </c>
      <c r="D515" t="s">
        <v>257</v>
      </c>
      <c r="E515" t="s">
        <v>3742</v>
      </c>
    </row>
    <row r="516" spans="1:5">
      <c r="A516">
        <v>514</v>
      </c>
      <c r="B516" t="s">
        <v>697</v>
      </c>
      <c r="C516" t="s">
        <v>4270</v>
      </c>
      <c r="D516" t="s">
        <v>257</v>
      </c>
      <c r="E516" t="s">
        <v>3742</v>
      </c>
    </row>
    <row r="517" spans="1:5">
      <c r="A517">
        <v>515</v>
      </c>
      <c r="B517" t="s">
        <v>698</v>
      </c>
      <c r="C517" t="s">
        <v>4271</v>
      </c>
      <c r="D517" t="s">
        <v>257</v>
      </c>
      <c r="E517" t="s">
        <v>3742</v>
      </c>
    </row>
    <row r="518" spans="1:5">
      <c r="A518">
        <v>516</v>
      </c>
      <c r="B518" t="s">
        <v>699</v>
      </c>
      <c r="C518" t="s">
        <v>4272</v>
      </c>
      <c r="D518" t="s">
        <v>257</v>
      </c>
      <c r="E518" t="s">
        <v>3742</v>
      </c>
    </row>
    <row r="519" spans="1:5">
      <c r="A519">
        <v>517</v>
      </c>
      <c r="B519" t="s">
        <v>700</v>
      </c>
      <c r="C519" t="s">
        <v>4273</v>
      </c>
      <c r="D519" t="s">
        <v>257</v>
      </c>
      <c r="E519" t="s">
        <v>3742</v>
      </c>
    </row>
    <row r="520" spans="1:5">
      <c r="A520">
        <v>518</v>
      </c>
      <c r="B520" t="s">
        <v>701</v>
      </c>
      <c r="C520" t="s">
        <v>4274</v>
      </c>
      <c r="D520" t="s">
        <v>257</v>
      </c>
      <c r="E520" t="s">
        <v>3742</v>
      </c>
    </row>
    <row r="521" spans="1:5">
      <c r="A521">
        <v>519</v>
      </c>
      <c r="B521" t="s">
        <v>702</v>
      </c>
      <c r="C521" t="s">
        <v>4275</v>
      </c>
      <c r="D521" t="s">
        <v>257</v>
      </c>
      <c r="E521" t="s">
        <v>3742</v>
      </c>
    </row>
    <row r="522" spans="1:5">
      <c r="A522">
        <v>520</v>
      </c>
      <c r="B522" t="s">
        <v>703</v>
      </c>
      <c r="C522" t="s">
        <v>4276</v>
      </c>
      <c r="D522" t="s">
        <v>257</v>
      </c>
      <c r="E522" t="s">
        <v>3742</v>
      </c>
    </row>
    <row r="523" spans="1:5">
      <c r="A523">
        <v>521</v>
      </c>
      <c r="B523" t="s">
        <v>704</v>
      </c>
      <c r="C523" t="s">
        <v>4277</v>
      </c>
      <c r="D523" t="s">
        <v>257</v>
      </c>
      <c r="E523" t="s">
        <v>3742</v>
      </c>
    </row>
    <row r="524" spans="1:5">
      <c r="A524">
        <v>522</v>
      </c>
      <c r="B524" t="s">
        <v>705</v>
      </c>
      <c r="C524" t="s">
        <v>4278</v>
      </c>
      <c r="D524" t="s">
        <v>257</v>
      </c>
      <c r="E524" t="s">
        <v>3742</v>
      </c>
    </row>
    <row r="525" spans="1:5">
      <c r="A525">
        <v>523</v>
      </c>
      <c r="B525" t="s">
        <v>706</v>
      </c>
      <c r="C525" t="s">
        <v>4279</v>
      </c>
      <c r="D525" t="s">
        <v>257</v>
      </c>
      <c r="E525" t="s">
        <v>3742</v>
      </c>
    </row>
    <row r="526" spans="1:5">
      <c r="A526">
        <v>524</v>
      </c>
      <c r="B526" t="s">
        <v>707</v>
      </c>
      <c r="C526" t="s">
        <v>4280</v>
      </c>
      <c r="D526" t="s">
        <v>257</v>
      </c>
      <c r="E526" t="s">
        <v>3742</v>
      </c>
    </row>
    <row r="527" spans="1:5">
      <c r="A527">
        <v>525</v>
      </c>
      <c r="B527" t="s">
        <v>708</v>
      </c>
      <c r="C527" t="s">
        <v>4281</v>
      </c>
      <c r="D527" t="s">
        <v>257</v>
      </c>
      <c r="E527" t="s">
        <v>3742</v>
      </c>
    </row>
    <row r="528" spans="1:5">
      <c r="A528">
        <v>526</v>
      </c>
      <c r="B528" t="s">
        <v>709</v>
      </c>
      <c r="C528" t="s">
        <v>4282</v>
      </c>
      <c r="D528" t="s">
        <v>257</v>
      </c>
      <c r="E528" t="s">
        <v>3742</v>
      </c>
    </row>
    <row r="529" spans="1:5">
      <c r="A529">
        <v>527</v>
      </c>
      <c r="B529" t="s">
        <v>710</v>
      </c>
      <c r="C529" t="s">
        <v>4283</v>
      </c>
      <c r="D529" t="s">
        <v>257</v>
      </c>
      <c r="E529" t="s">
        <v>3742</v>
      </c>
    </row>
    <row r="530" spans="1:5">
      <c r="A530">
        <v>528</v>
      </c>
      <c r="B530" t="s">
        <v>711</v>
      </c>
      <c r="C530" t="s">
        <v>4284</v>
      </c>
      <c r="D530" t="s">
        <v>257</v>
      </c>
      <c r="E530" t="s">
        <v>3742</v>
      </c>
    </row>
    <row r="531" spans="1:5">
      <c r="A531">
        <v>529</v>
      </c>
      <c r="B531" t="s">
        <v>712</v>
      </c>
      <c r="C531" t="s">
        <v>4285</v>
      </c>
      <c r="D531" t="s">
        <v>257</v>
      </c>
      <c r="E531" t="s">
        <v>3742</v>
      </c>
    </row>
    <row r="532" spans="1:5">
      <c r="A532">
        <v>530</v>
      </c>
      <c r="B532" t="s">
        <v>713</v>
      </c>
      <c r="C532" t="s">
        <v>4286</v>
      </c>
      <c r="D532" t="s">
        <v>257</v>
      </c>
      <c r="E532" t="s">
        <v>3742</v>
      </c>
    </row>
    <row r="533" spans="1:5">
      <c r="A533">
        <v>531</v>
      </c>
      <c r="B533" t="s">
        <v>714</v>
      </c>
      <c r="C533" t="s">
        <v>4287</v>
      </c>
      <c r="D533" t="s">
        <v>257</v>
      </c>
      <c r="E533" t="s">
        <v>3742</v>
      </c>
    </row>
    <row r="534" spans="1:5">
      <c r="A534">
        <v>532</v>
      </c>
      <c r="B534" t="s">
        <v>715</v>
      </c>
      <c r="C534" t="s">
        <v>4288</v>
      </c>
      <c r="D534" t="s">
        <v>257</v>
      </c>
      <c r="E534" t="s">
        <v>3742</v>
      </c>
    </row>
    <row r="535" spans="1:5">
      <c r="A535">
        <v>533</v>
      </c>
      <c r="B535" t="s">
        <v>716</v>
      </c>
      <c r="C535" t="s">
        <v>4289</v>
      </c>
      <c r="D535" t="s">
        <v>257</v>
      </c>
      <c r="E535" t="s">
        <v>3742</v>
      </c>
    </row>
    <row r="536" spans="1:5">
      <c r="A536">
        <v>534</v>
      </c>
      <c r="B536" t="s">
        <v>717</v>
      </c>
      <c r="C536" t="s">
        <v>4290</v>
      </c>
      <c r="D536" t="s">
        <v>257</v>
      </c>
      <c r="E536" t="s">
        <v>3742</v>
      </c>
    </row>
    <row r="537" spans="1:5">
      <c r="A537">
        <v>535</v>
      </c>
      <c r="B537" t="s">
        <v>718</v>
      </c>
      <c r="C537" t="s">
        <v>4291</v>
      </c>
      <c r="D537" t="s">
        <v>257</v>
      </c>
      <c r="E537" t="s">
        <v>3742</v>
      </c>
    </row>
    <row r="538" spans="1:5">
      <c r="A538">
        <v>536</v>
      </c>
      <c r="B538" t="s">
        <v>719</v>
      </c>
      <c r="C538" t="s">
        <v>4292</v>
      </c>
      <c r="D538" t="s">
        <v>257</v>
      </c>
      <c r="E538" t="s">
        <v>3742</v>
      </c>
    </row>
    <row r="539" spans="1:5">
      <c r="A539">
        <v>537</v>
      </c>
      <c r="B539" t="s">
        <v>720</v>
      </c>
      <c r="C539" t="s">
        <v>4293</v>
      </c>
      <c r="D539" t="s">
        <v>257</v>
      </c>
      <c r="E539" t="s">
        <v>3742</v>
      </c>
    </row>
    <row r="540" spans="1:5">
      <c r="A540">
        <v>538</v>
      </c>
      <c r="B540" t="s">
        <v>721</v>
      </c>
      <c r="C540" t="s">
        <v>4294</v>
      </c>
      <c r="D540" t="s">
        <v>257</v>
      </c>
      <c r="E540" t="s">
        <v>3742</v>
      </c>
    </row>
    <row r="541" spans="1:5">
      <c r="A541">
        <v>539</v>
      </c>
      <c r="B541" t="s">
        <v>722</v>
      </c>
      <c r="C541" t="s">
        <v>4295</v>
      </c>
      <c r="D541" t="s">
        <v>257</v>
      </c>
      <c r="E541" t="s">
        <v>3742</v>
      </c>
    </row>
    <row r="542" spans="1:5">
      <c r="A542">
        <v>540</v>
      </c>
      <c r="B542" t="s">
        <v>723</v>
      </c>
      <c r="C542" t="s">
        <v>4296</v>
      </c>
      <c r="D542" t="s">
        <v>257</v>
      </c>
      <c r="E542" t="s">
        <v>3742</v>
      </c>
    </row>
    <row r="543" spans="1:5">
      <c r="A543">
        <v>541</v>
      </c>
      <c r="B543" t="s">
        <v>724</v>
      </c>
      <c r="C543" t="s">
        <v>4297</v>
      </c>
      <c r="D543" t="s">
        <v>257</v>
      </c>
      <c r="E543" t="s">
        <v>3742</v>
      </c>
    </row>
    <row r="544" spans="1:5">
      <c r="A544">
        <v>542</v>
      </c>
      <c r="B544" t="s">
        <v>725</v>
      </c>
      <c r="C544" t="s">
        <v>4298</v>
      </c>
      <c r="D544" t="s">
        <v>257</v>
      </c>
      <c r="E544" t="s">
        <v>3742</v>
      </c>
    </row>
    <row r="545" spans="1:5">
      <c r="A545">
        <v>543</v>
      </c>
      <c r="B545" t="s">
        <v>727</v>
      </c>
      <c r="C545" t="s">
        <v>4299</v>
      </c>
      <c r="D545" t="s">
        <v>257</v>
      </c>
      <c r="E545" t="s">
        <v>3742</v>
      </c>
    </row>
    <row r="546" spans="1:5">
      <c r="A546">
        <v>544</v>
      </c>
      <c r="B546" t="s">
        <v>728</v>
      </c>
      <c r="C546" t="s">
        <v>4300</v>
      </c>
      <c r="D546" t="s">
        <v>257</v>
      </c>
      <c r="E546" t="s">
        <v>3742</v>
      </c>
    </row>
    <row r="547" spans="1:5">
      <c r="A547">
        <v>545</v>
      </c>
      <c r="B547" t="s">
        <v>729</v>
      </c>
      <c r="C547" t="s">
        <v>4301</v>
      </c>
      <c r="D547" t="s">
        <v>257</v>
      </c>
      <c r="E547" t="s">
        <v>3742</v>
      </c>
    </row>
    <row r="548" spans="1:5">
      <c r="A548">
        <v>546</v>
      </c>
      <c r="B548" t="s">
        <v>730</v>
      </c>
      <c r="C548" t="s">
        <v>4302</v>
      </c>
      <c r="D548" t="s">
        <v>257</v>
      </c>
      <c r="E548" t="s">
        <v>3742</v>
      </c>
    </row>
    <row r="549" spans="1:5">
      <c r="A549">
        <v>547</v>
      </c>
      <c r="B549" t="s">
        <v>731</v>
      </c>
      <c r="C549" t="s">
        <v>4303</v>
      </c>
      <c r="D549" t="s">
        <v>257</v>
      </c>
      <c r="E549" t="s">
        <v>3742</v>
      </c>
    </row>
    <row r="550" spans="1:5">
      <c r="A550">
        <v>548</v>
      </c>
      <c r="B550" t="s">
        <v>732</v>
      </c>
      <c r="C550" t="s">
        <v>4304</v>
      </c>
      <c r="D550" t="s">
        <v>257</v>
      </c>
      <c r="E550" t="s">
        <v>3742</v>
      </c>
    </row>
    <row r="551" spans="1:5">
      <c r="A551">
        <v>549</v>
      </c>
      <c r="B551" t="s">
        <v>733</v>
      </c>
      <c r="C551" t="s">
        <v>4305</v>
      </c>
      <c r="D551" t="s">
        <v>257</v>
      </c>
      <c r="E551" t="s">
        <v>3742</v>
      </c>
    </row>
    <row r="552" spans="1:5">
      <c r="A552">
        <v>550</v>
      </c>
      <c r="B552" t="s">
        <v>734</v>
      </c>
      <c r="C552" t="s">
        <v>4306</v>
      </c>
      <c r="D552" t="s">
        <v>257</v>
      </c>
      <c r="E552" t="s">
        <v>3742</v>
      </c>
    </row>
    <row r="553" spans="1:5">
      <c r="A553">
        <v>551</v>
      </c>
      <c r="B553" t="s">
        <v>735</v>
      </c>
      <c r="C553" t="s">
        <v>4307</v>
      </c>
      <c r="D553" t="s">
        <v>257</v>
      </c>
      <c r="E553" t="s">
        <v>3742</v>
      </c>
    </row>
    <row r="554" spans="1:5">
      <c r="A554">
        <v>552</v>
      </c>
      <c r="B554" t="s">
        <v>736</v>
      </c>
      <c r="C554" t="s">
        <v>4308</v>
      </c>
      <c r="D554" t="s">
        <v>257</v>
      </c>
      <c r="E554" t="s">
        <v>3742</v>
      </c>
    </row>
    <row r="555" spans="1:5">
      <c r="A555">
        <v>553</v>
      </c>
      <c r="B555" t="s">
        <v>737</v>
      </c>
      <c r="C555" t="s">
        <v>4309</v>
      </c>
      <c r="D555" t="s">
        <v>257</v>
      </c>
      <c r="E555" t="s">
        <v>3742</v>
      </c>
    </row>
    <row r="556" spans="1:5">
      <c r="A556">
        <v>554</v>
      </c>
      <c r="B556" t="s">
        <v>738</v>
      </c>
      <c r="C556" t="s">
        <v>4310</v>
      </c>
      <c r="D556" t="s">
        <v>257</v>
      </c>
      <c r="E556" t="s">
        <v>3742</v>
      </c>
    </row>
    <row r="557" spans="1:5">
      <c r="A557">
        <v>555</v>
      </c>
      <c r="B557" t="s">
        <v>739</v>
      </c>
      <c r="C557" t="s">
        <v>4311</v>
      </c>
      <c r="D557" t="s">
        <v>257</v>
      </c>
      <c r="E557" t="s">
        <v>3742</v>
      </c>
    </row>
    <row r="558" spans="1:5">
      <c r="A558">
        <v>556</v>
      </c>
      <c r="B558" t="s">
        <v>740</v>
      </c>
      <c r="C558" t="s">
        <v>4312</v>
      </c>
      <c r="D558" t="s">
        <v>257</v>
      </c>
      <c r="E558" t="s">
        <v>3742</v>
      </c>
    </row>
    <row r="559" spans="1:5">
      <c r="A559">
        <v>557</v>
      </c>
      <c r="B559" t="s">
        <v>741</v>
      </c>
      <c r="C559" t="s">
        <v>4313</v>
      </c>
      <c r="D559" t="s">
        <v>257</v>
      </c>
      <c r="E559" t="s">
        <v>3742</v>
      </c>
    </row>
    <row r="560" spans="1:5">
      <c r="A560">
        <v>558</v>
      </c>
      <c r="B560" t="s">
        <v>742</v>
      </c>
      <c r="C560" t="s">
        <v>4314</v>
      </c>
      <c r="D560" t="s">
        <v>257</v>
      </c>
      <c r="E560" t="s">
        <v>3742</v>
      </c>
    </row>
    <row r="561" spans="1:5">
      <c r="A561">
        <v>559</v>
      </c>
      <c r="B561" t="s">
        <v>743</v>
      </c>
      <c r="C561" t="s">
        <v>4315</v>
      </c>
      <c r="D561" t="s">
        <v>257</v>
      </c>
      <c r="E561" t="s">
        <v>3742</v>
      </c>
    </row>
    <row r="562" spans="1:5">
      <c r="A562">
        <v>560</v>
      </c>
      <c r="B562" t="s">
        <v>744</v>
      </c>
      <c r="C562" t="s">
        <v>4316</v>
      </c>
      <c r="D562" t="s">
        <v>257</v>
      </c>
      <c r="E562" t="s">
        <v>3742</v>
      </c>
    </row>
    <row r="563" spans="1:5">
      <c r="A563">
        <v>561</v>
      </c>
      <c r="B563" t="s">
        <v>745</v>
      </c>
      <c r="C563" t="s">
        <v>4317</v>
      </c>
      <c r="D563" t="s">
        <v>257</v>
      </c>
      <c r="E563" t="s">
        <v>3742</v>
      </c>
    </row>
    <row r="564" spans="1:5">
      <c r="A564">
        <v>562</v>
      </c>
      <c r="B564" t="s">
        <v>746</v>
      </c>
      <c r="C564" t="s">
        <v>4318</v>
      </c>
      <c r="D564" t="s">
        <v>257</v>
      </c>
      <c r="E564" t="s">
        <v>3742</v>
      </c>
    </row>
    <row r="565" spans="1:5">
      <c r="A565">
        <v>563</v>
      </c>
      <c r="B565" t="s">
        <v>747</v>
      </c>
      <c r="C565" t="s">
        <v>4319</v>
      </c>
      <c r="D565" t="s">
        <v>257</v>
      </c>
      <c r="E565" t="s">
        <v>3742</v>
      </c>
    </row>
    <row r="566" spans="1:5">
      <c r="A566">
        <v>564</v>
      </c>
      <c r="B566" t="s">
        <v>748</v>
      </c>
      <c r="C566" t="s">
        <v>4320</v>
      </c>
      <c r="D566" t="s">
        <v>257</v>
      </c>
      <c r="E566" t="s">
        <v>3742</v>
      </c>
    </row>
    <row r="567" spans="1:5">
      <c r="A567">
        <v>565</v>
      </c>
      <c r="B567" t="s">
        <v>749</v>
      </c>
      <c r="C567" t="s">
        <v>4321</v>
      </c>
      <c r="D567" t="s">
        <v>257</v>
      </c>
      <c r="E567" t="s">
        <v>3742</v>
      </c>
    </row>
    <row r="568" spans="1:5">
      <c r="A568">
        <v>566</v>
      </c>
      <c r="B568" t="s">
        <v>750</v>
      </c>
      <c r="C568" t="s">
        <v>4322</v>
      </c>
      <c r="D568" t="s">
        <v>257</v>
      </c>
      <c r="E568" t="s">
        <v>3742</v>
      </c>
    </row>
    <row r="569" spans="1:5">
      <c r="A569">
        <v>567</v>
      </c>
      <c r="B569" t="s">
        <v>751</v>
      </c>
      <c r="C569" t="s">
        <v>4323</v>
      </c>
      <c r="D569" t="s">
        <v>257</v>
      </c>
      <c r="E569" t="s">
        <v>3742</v>
      </c>
    </row>
    <row r="570" spans="1:5">
      <c r="A570">
        <v>568</v>
      </c>
      <c r="B570" t="s">
        <v>752</v>
      </c>
      <c r="C570" t="s">
        <v>4324</v>
      </c>
      <c r="D570" t="s">
        <v>257</v>
      </c>
      <c r="E570" t="s">
        <v>3742</v>
      </c>
    </row>
    <row r="571" spans="1:5">
      <c r="A571">
        <v>569</v>
      </c>
      <c r="B571" t="s">
        <v>753</v>
      </c>
      <c r="C571" t="s">
        <v>4325</v>
      </c>
      <c r="D571" t="s">
        <v>257</v>
      </c>
      <c r="E571" t="s">
        <v>3742</v>
      </c>
    </row>
    <row r="572" spans="1:5">
      <c r="A572">
        <v>570</v>
      </c>
      <c r="B572" t="s">
        <v>754</v>
      </c>
      <c r="C572" t="s">
        <v>4326</v>
      </c>
      <c r="D572" t="s">
        <v>257</v>
      </c>
      <c r="E572" t="s">
        <v>3742</v>
      </c>
    </row>
    <row r="573" spans="1:5">
      <c r="A573">
        <v>571</v>
      </c>
      <c r="B573" t="s">
        <v>755</v>
      </c>
      <c r="C573" t="s">
        <v>4327</v>
      </c>
      <c r="D573" t="s">
        <v>257</v>
      </c>
      <c r="E573" t="s">
        <v>3742</v>
      </c>
    </row>
    <row r="574" spans="1:5">
      <c r="A574">
        <v>572</v>
      </c>
      <c r="B574" t="s">
        <v>756</v>
      </c>
      <c r="C574" t="s">
        <v>4328</v>
      </c>
      <c r="D574" t="s">
        <v>257</v>
      </c>
      <c r="E574" t="s">
        <v>3742</v>
      </c>
    </row>
    <row r="575" spans="1:5">
      <c r="A575">
        <v>573</v>
      </c>
      <c r="B575" t="s">
        <v>757</v>
      </c>
      <c r="C575" t="s">
        <v>4329</v>
      </c>
      <c r="D575" t="s">
        <v>257</v>
      </c>
      <c r="E575" t="s">
        <v>3742</v>
      </c>
    </row>
    <row r="576" spans="1:5">
      <c r="A576">
        <v>574</v>
      </c>
      <c r="B576" t="s">
        <v>758</v>
      </c>
      <c r="C576" t="s">
        <v>4330</v>
      </c>
      <c r="D576" t="s">
        <v>257</v>
      </c>
      <c r="E576" t="s">
        <v>3742</v>
      </c>
    </row>
    <row r="577" spans="1:5">
      <c r="A577">
        <v>575</v>
      </c>
      <c r="B577" t="s">
        <v>759</v>
      </c>
      <c r="C577" t="s">
        <v>4331</v>
      </c>
      <c r="D577" t="s">
        <v>257</v>
      </c>
      <c r="E577" t="s">
        <v>3742</v>
      </c>
    </row>
    <row r="578" spans="1:5">
      <c r="A578">
        <v>576</v>
      </c>
      <c r="B578" t="s">
        <v>760</v>
      </c>
      <c r="C578" t="s">
        <v>4332</v>
      </c>
      <c r="D578" t="s">
        <v>257</v>
      </c>
      <c r="E578" t="s">
        <v>3742</v>
      </c>
    </row>
    <row r="579" spans="1:5">
      <c r="A579">
        <v>577</v>
      </c>
      <c r="B579" t="s">
        <v>761</v>
      </c>
      <c r="C579" t="s">
        <v>4333</v>
      </c>
      <c r="D579" t="s">
        <v>257</v>
      </c>
      <c r="E579" t="s">
        <v>3742</v>
      </c>
    </row>
    <row r="580" spans="1:5">
      <c r="A580">
        <v>578</v>
      </c>
      <c r="B580" t="s">
        <v>762</v>
      </c>
      <c r="C580" t="s">
        <v>4334</v>
      </c>
      <c r="D580" t="s">
        <v>257</v>
      </c>
      <c r="E580" t="s">
        <v>3742</v>
      </c>
    </row>
    <row r="581" spans="1:5">
      <c r="A581">
        <v>579</v>
      </c>
      <c r="B581" t="s">
        <v>763</v>
      </c>
      <c r="C581" t="s">
        <v>4335</v>
      </c>
      <c r="D581" t="s">
        <v>257</v>
      </c>
      <c r="E581" t="s">
        <v>3742</v>
      </c>
    </row>
    <row r="582" spans="1:5">
      <c r="A582">
        <v>580</v>
      </c>
      <c r="B582" t="s">
        <v>764</v>
      </c>
      <c r="C582" t="s">
        <v>4336</v>
      </c>
      <c r="D582" t="s">
        <v>257</v>
      </c>
      <c r="E582" t="s">
        <v>3742</v>
      </c>
    </row>
    <row r="583" spans="1:5">
      <c r="A583">
        <v>581</v>
      </c>
      <c r="B583" t="s">
        <v>765</v>
      </c>
      <c r="C583" t="s">
        <v>4337</v>
      </c>
      <c r="D583" t="s">
        <v>257</v>
      </c>
      <c r="E583" t="s">
        <v>3742</v>
      </c>
    </row>
    <row r="584" spans="1:5">
      <c r="A584">
        <v>582</v>
      </c>
      <c r="B584" t="s">
        <v>766</v>
      </c>
      <c r="C584" t="s">
        <v>4338</v>
      </c>
      <c r="D584" t="s">
        <v>257</v>
      </c>
      <c r="E584" t="s">
        <v>3742</v>
      </c>
    </row>
    <row r="585" spans="1:5">
      <c r="A585">
        <v>583</v>
      </c>
      <c r="B585" t="s">
        <v>249</v>
      </c>
      <c r="C585" t="s">
        <v>3827</v>
      </c>
      <c r="D585" t="s">
        <v>257</v>
      </c>
      <c r="E585" t="s">
        <v>3742</v>
      </c>
    </row>
    <row r="586" spans="1:5">
      <c r="A586">
        <v>584</v>
      </c>
      <c r="B586" t="s">
        <v>767</v>
      </c>
      <c r="C586" t="s">
        <v>4339</v>
      </c>
      <c r="D586" t="s">
        <v>257</v>
      </c>
      <c r="E586" t="s">
        <v>3742</v>
      </c>
    </row>
    <row r="587" spans="1:5">
      <c r="A587">
        <v>585</v>
      </c>
      <c r="B587" t="s">
        <v>768</v>
      </c>
      <c r="C587" t="s">
        <v>4340</v>
      </c>
      <c r="D587" t="s">
        <v>257</v>
      </c>
      <c r="E587" t="s">
        <v>3742</v>
      </c>
    </row>
    <row r="588" spans="1:5">
      <c r="A588">
        <v>586</v>
      </c>
      <c r="B588" t="s">
        <v>769</v>
      </c>
      <c r="C588" t="s">
        <v>7321</v>
      </c>
      <c r="D588" t="s">
        <v>257</v>
      </c>
      <c r="E588" t="s">
        <v>3742</v>
      </c>
    </row>
    <row r="589" spans="1:5">
      <c r="A589">
        <v>587</v>
      </c>
      <c r="B589" t="s">
        <v>770</v>
      </c>
      <c r="C589" t="s">
        <v>4341</v>
      </c>
      <c r="D589" t="s">
        <v>257</v>
      </c>
      <c r="E589" t="s">
        <v>3742</v>
      </c>
    </row>
    <row r="590" spans="1:5">
      <c r="A590">
        <v>588</v>
      </c>
      <c r="B590" t="s">
        <v>771</v>
      </c>
      <c r="C590" t="s">
        <v>4342</v>
      </c>
      <c r="D590" t="s">
        <v>257</v>
      </c>
      <c r="E590" t="s">
        <v>3742</v>
      </c>
    </row>
    <row r="591" spans="1:5">
      <c r="A591">
        <v>589</v>
      </c>
      <c r="B591" t="s">
        <v>772</v>
      </c>
      <c r="C591" t="s">
        <v>4343</v>
      </c>
      <c r="D591" t="s">
        <v>257</v>
      </c>
      <c r="E591" t="s">
        <v>3742</v>
      </c>
    </row>
    <row r="592" spans="1:5">
      <c r="A592">
        <v>590</v>
      </c>
      <c r="B592" t="s">
        <v>773</v>
      </c>
      <c r="C592" t="s">
        <v>4344</v>
      </c>
      <c r="D592" t="s">
        <v>257</v>
      </c>
      <c r="E592" t="s">
        <v>3742</v>
      </c>
    </row>
    <row r="593" spans="1:5">
      <c r="A593">
        <v>591</v>
      </c>
      <c r="B593" t="s">
        <v>774</v>
      </c>
      <c r="C593" t="s">
        <v>4345</v>
      </c>
      <c r="D593" t="s">
        <v>257</v>
      </c>
      <c r="E593" t="s">
        <v>3742</v>
      </c>
    </row>
    <row r="594" spans="1:5">
      <c r="A594">
        <v>592</v>
      </c>
      <c r="B594" t="s">
        <v>775</v>
      </c>
      <c r="C594" t="s">
        <v>4346</v>
      </c>
      <c r="D594" t="s">
        <v>257</v>
      </c>
      <c r="E594" t="s">
        <v>3742</v>
      </c>
    </row>
    <row r="595" spans="1:5">
      <c r="A595">
        <v>593</v>
      </c>
      <c r="B595" t="s">
        <v>776</v>
      </c>
      <c r="C595" t="s">
        <v>4347</v>
      </c>
      <c r="D595" t="s">
        <v>257</v>
      </c>
      <c r="E595" t="s">
        <v>3742</v>
      </c>
    </row>
    <row r="596" spans="1:5">
      <c r="A596">
        <v>594</v>
      </c>
      <c r="B596" t="s">
        <v>777</v>
      </c>
      <c r="C596" t="s">
        <v>4348</v>
      </c>
      <c r="D596" t="s">
        <v>257</v>
      </c>
      <c r="E596" t="s">
        <v>3742</v>
      </c>
    </row>
    <row r="597" spans="1:5">
      <c r="A597">
        <v>595</v>
      </c>
      <c r="B597" t="s">
        <v>7322</v>
      </c>
      <c r="C597" t="s">
        <v>7323</v>
      </c>
      <c r="D597" t="s">
        <v>257</v>
      </c>
      <c r="E597" t="s">
        <v>3742</v>
      </c>
    </row>
    <row r="598" spans="1:5">
      <c r="A598">
        <v>596</v>
      </c>
      <c r="B598" t="s">
        <v>778</v>
      </c>
      <c r="C598" t="s">
        <v>4349</v>
      </c>
      <c r="D598" t="s">
        <v>257</v>
      </c>
      <c r="E598" t="s">
        <v>3742</v>
      </c>
    </row>
    <row r="599" spans="1:5">
      <c r="A599">
        <v>597</v>
      </c>
      <c r="B599" t="s">
        <v>779</v>
      </c>
      <c r="C599" t="s">
        <v>4350</v>
      </c>
      <c r="D599" t="s">
        <v>257</v>
      </c>
      <c r="E599" t="s">
        <v>3742</v>
      </c>
    </row>
    <row r="600" spans="1:5">
      <c r="A600">
        <v>598</v>
      </c>
      <c r="B600" t="s">
        <v>780</v>
      </c>
      <c r="C600" t="s">
        <v>4351</v>
      </c>
      <c r="D600" t="s">
        <v>257</v>
      </c>
      <c r="E600" t="s">
        <v>3742</v>
      </c>
    </row>
    <row r="601" spans="1:5">
      <c r="A601">
        <v>599</v>
      </c>
      <c r="B601" t="s">
        <v>781</v>
      </c>
      <c r="C601" t="s">
        <v>4352</v>
      </c>
      <c r="D601" t="s">
        <v>257</v>
      </c>
      <c r="E601" t="s">
        <v>3742</v>
      </c>
    </row>
    <row r="602" spans="1:5">
      <c r="A602">
        <v>600</v>
      </c>
      <c r="B602" t="s">
        <v>782</v>
      </c>
      <c r="C602" t="s">
        <v>4353</v>
      </c>
      <c r="D602" t="s">
        <v>257</v>
      </c>
      <c r="E602" t="s">
        <v>3742</v>
      </c>
    </row>
    <row r="603" spans="1:5">
      <c r="A603">
        <v>601</v>
      </c>
      <c r="B603" t="s">
        <v>783</v>
      </c>
      <c r="C603" t="s">
        <v>4354</v>
      </c>
      <c r="D603" t="s">
        <v>257</v>
      </c>
      <c r="E603" t="s">
        <v>3742</v>
      </c>
    </row>
    <row r="604" spans="1:5">
      <c r="A604">
        <v>602</v>
      </c>
      <c r="B604" t="s">
        <v>784</v>
      </c>
      <c r="C604" t="s">
        <v>4355</v>
      </c>
      <c r="D604" t="s">
        <v>257</v>
      </c>
      <c r="E604" t="s">
        <v>3742</v>
      </c>
    </row>
    <row r="605" spans="1:5">
      <c r="A605">
        <v>603</v>
      </c>
      <c r="B605" t="s">
        <v>785</v>
      </c>
      <c r="C605" t="s">
        <v>4356</v>
      </c>
      <c r="D605" t="s">
        <v>257</v>
      </c>
      <c r="E605" t="s">
        <v>3742</v>
      </c>
    </row>
    <row r="606" spans="1:5">
      <c r="A606">
        <v>604</v>
      </c>
      <c r="B606" t="s">
        <v>786</v>
      </c>
      <c r="C606" t="s">
        <v>4357</v>
      </c>
      <c r="D606" t="s">
        <v>257</v>
      </c>
      <c r="E606" t="s">
        <v>3742</v>
      </c>
    </row>
    <row r="607" spans="1:5">
      <c r="A607">
        <v>605</v>
      </c>
      <c r="B607" t="s">
        <v>787</v>
      </c>
      <c r="C607" t="s">
        <v>4358</v>
      </c>
      <c r="D607" t="s">
        <v>257</v>
      </c>
      <c r="E607" t="s">
        <v>3742</v>
      </c>
    </row>
    <row r="608" spans="1:5">
      <c r="A608">
        <v>606</v>
      </c>
      <c r="B608" t="s">
        <v>788</v>
      </c>
      <c r="C608" t="s">
        <v>4359</v>
      </c>
      <c r="D608" t="s">
        <v>257</v>
      </c>
      <c r="E608" t="s">
        <v>3742</v>
      </c>
    </row>
    <row r="609" spans="1:5">
      <c r="A609">
        <v>607</v>
      </c>
      <c r="B609" t="s">
        <v>789</v>
      </c>
      <c r="C609" t="s">
        <v>4360</v>
      </c>
      <c r="D609" t="s">
        <v>257</v>
      </c>
      <c r="E609" t="s">
        <v>3742</v>
      </c>
    </row>
    <row r="610" spans="1:5">
      <c r="A610">
        <v>608</v>
      </c>
      <c r="B610" t="s">
        <v>790</v>
      </c>
      <c r="C610" t="s">
        <v>4361</v>
      </c>
      <c r="D610" t="s">
        <v>257</v>
      </c>
      <c r="E610" t="s">
        <v>3742</v>
      </c>
    </row>
    <row r="611" spans="1:5">
      <c r="A611">
        <v>609</v>
      </c>
      <c r="B611" t="s">
        <v>791</v>
      </c>
      <c r="C611" t="s">
        <v>4362</v>
      </c>
      <c r="D611" t="s">
        <v>257</v>
      </c>
      <c r="E611" t="s">
        <v>3742</v>
      </c>
    </row>
    <row r="612" spans="1:5">
      <c r="A612">
        <v>610</v>
      </c>
      <c r="B612" t="s">
        <v>792</v>
      </c>
      <c r="C612" t="s">
        <v>4363</v>
      </c>
      <c r="D612" t="s">
        <v>257</v>
      </c>
      <c r="E612" t="s">
        <v>3742</v>
      </c>
    </row>
    <row r="613" spans="1:5">
      <c r="A613">
        <v>611</v>
      </c>
      <c r="B613" t="s">
        <v>793</v>
      </c>
      <c r="C613" t="s">
        <v>4364</v>
      </c>
      <c r="D613" t="s">
        <v>257</v>
      </c>
      <c r="E613" t="s">
        <v>3742</v>
      </c>
    </row>
    <row r="614" spans="1:5">
      <c r="A614">
        <v>612</v>
      </c>
      <c r="B614" t="s">
        <v>794</v>
      </c>
      <c r="C614" t="s">
        <v>4365</v>
      </c>
      <c r="D614" t="s">
        <v>257</v>
      </c>
      <c r="E614" t="s">
        <v>3742</v>
      </c>
    </row>
    <row r="615" spans="1:5">
      <c r="A615">
        <v>613</v>
      </c>
      <c r="B615" t="s">
        <v>795</v>
      </c>
      <c r="C615" t="s">
        <v>4366</v>
      </c>
      <c r="D615" t="s">
        <v>257</v>
      </c>
      <c r="E615" t="s">
        <v>3742</v>
      </c>
    </row>
    <row r="616" spans="1:5">
      <c r="A616">
        <v>614</v>
      </c>
      <c r="B616" t="s">
        <v>796</v>
      </c>
      <c r="C616" t="s">
        <v>4367</v>
      </c>
      <c r="D616" t="s">
        <v>257</v>
      </c>
      <c r="E616" t="s">
        <v>3742</v>
      </c>
    </row>
    <row r="617" spans="1:5">
      <c r="A617">
        <v>615</v>
      </c>
      <c r="B617" t="s">
        <v>797</v>
      </c>
      <c r="C617" t="s">
        <v>4368</v>
      </c>
      <c r="D617" t="s">
        <v>257</v>
      </c>
      <c r="E617" t="s">
        <v>3742</v>
      </c>
    </row>
    <row r="618" spans="1:5">
      <c r="A618">
        <v>616</v>
      </c>
      <c r="B618" t="s">
        <v>798</v>
      </c>
      <c r="C618" t="s">
        <v>4369</v>
      </c>
      <c r="D618" t="s">
        <v>257</v>
      </c>
      <c r="E618" t="s">
        <v>3742</v>
      </c>
    </row>
    <row r="619" spans="1:5">
      <c r="A619">
        <v>617</v>
      </c>
      <c r="B619" t="s">
        <v>799</v>
      </c>
      <c r="C619" t="s">
        <v>4370</v>
      </c>
      <c r="D619" t="s">
        <v>257</v>
      </c>
      <c r="E619" t="s">
        <v>3742</v>
      </c>
    </row>
    <row r="620" spans="1:5">
      <c r="A620">
        <v>618</v>
      </c>
      <c r="B620" t="s">
        <v>800</v>
      </c>
      <c r="C620" t="s">
        <v>4371</v>
      </c>
      <c r="D620" t="s">
        <v>257</v>
      </c>
      <c r="E620" t="s">
        <v>3742</v>
      </c>
    </row>
    <row r="621" spans="1:5">
      <c r="A621">
        <v>619</v>
      </c>
      <c r="B621" t="s">
        <v>801</v>
      </c>
      <c r="C621" t="s">
        <v>4372</v>
      </c>
      <c r="D621" t="s">
        <v>257</v>
      </c>
      <c r="E621" t="s">
        <v>3742</v>
      </c>
    </row>
    <row r="622" spans="1:5">
      <c r="A622">
        <v>620</v>
      </c>
      <c r="B622" t="s">
        <v>802</v>
      </c>
      <c r="C622" t="s">
        <v>4373</v>
      </c>
      <c r="D622" t="s">
        <v>257</v>
      </c>
      <c r="E622" t="s">
        <v>3742</v>
      </c>
    </row>
    <row r="623" spans="1:5">
      <c r="A623">
        <v>621</v>
      </c>
      <c r="B623" t="s">
        <v>803</v>
      </c>
      <c r="C623" t="s">
        <v>4374</v>
      </c>
      <c r="D623" t="s">
        <v>257</v>
      </c>
      <c r="E623" t="s">
        <v>3742</v>
      </c>
    </row>
    <row r="624" spans="1:5">
      <c r="A624">
        <v>622</v>
      </c>
      <c r="B624" t="s">
        <v>804</v>
      </c>
      <c r="C624" t="s">
        <v>4375</v>
      </c>
      <c r="D624" t="s">
        <v>257</v>
      </c>
      <c r="E624" t="s">
        <v>3742</v>
      </c>
    </row>
    <row r="625" spans="1:5">
      <c r="A625">
        <v>623</v>
      </c>
      <c r="B625" t="s">
        <v>805</v>
      </c>
      <c r="C625" t="s">
        <v>4376</v>
      </c>
      <c r="D625" t="s">
        <v>257</v>
      </c>
      <c r="E625" t="s">
        <v>3742</v>
      </c>
    </row>
    <row r="626" spans="1:5">
      <c r="A626">
        <v>624</v>
      </c>
      <c r="B626" t="s">
        <v>806</v>
      </c>
      <c r="C626" t="s">
        <v>4377</v>
      </c>
      <c r="D626" t="s">
        <v>257</v>
      </c>
      <c r="E626" t="s">
        <v>3742</v>
      </c>
    </row>
    <row r="627" spans="1:5">
      <c r="A627">
        <v>625</v>
      </c>
      <c r="B627" t="s">
        <v>807</v>
      </c>
      <c r="C627" t="s">
        <v>4378</v>
      </c>
      <c r="D627" t="s">
        <v>257</v>
      </c>
      <c r="E627" t="s">
        <v>3742</v>
      </c>
    </row>
    <row r="628" spans="1:5">
      <c r="A628">
        <v>626</v>
      </c>
      <c r="B628" t="s">
        <v>808</v>
      </c>
      <c r="C628" t="s">
        <v>4379</v>
      </c>
      <c r="D628" t="s">
        <v>257</v>
      </c>
      <c r="E628" t="s">
        <v>3742</v>
      </c>
    </row>
    <row r="629" spans="1:5">
      <c r="A629">
        <v>627</v>
      </c>
      <c r="B629" t="s">
        <v>809</v>
      </c>
      <c r="C629" t="s">
        <v>4380</v>
      </c>
      <c r="D629" t="s">
        <v>257</v>
      </c>
      <c r="E629" t="s">
        <v>3742</v>
      </c>
    </row>
    <row r="630" spans="1:5">
      <c r="A630">
        <v>628</v>
      </c>
      <c r="B630" t="s">
        <v>810</v>
      </c>
      <c r="C630" t="s">
        <v>4381</v>
      </c>
      <c r="D630" t="s">
        <v>257</v>
      </c>
      <c r="E630" t="s">
        <v>3742</v>
      </c>
    </row>
    <row r="631" spans="1:5">
      <c r="A631">
        <v>629</v>
      </c>
      <c r="B631" t="s">
        <v>811</v>
      </c>
      <c r="C631" t="s">
        <v>4382</v>
      </c>
      <c r="D631" t="s">
        <v>257</v>
      </c>
      <c r="E631" t="s">
        <v>3742</v>
      </c>
    </row>
    <row r="632" spans="1:5">
      <c r="A632">
        <v>630</v>
      </c>
      <c r="B632" t="s">
        <v>812</v>
      </c>
      <c r="C632" t="s">
        <v>4383</v>
      </c>
      <c r="D632" t="s">
        <v>257</v>
      </c>
      <c r="E632" t="s">
        <v>3742</v>
      </c>
    </row>
    <row r="633" spans="1:5">
      <c r="A633">
        <v>631</v>
      </c>
      <c r="B633" t="s">
        <v>813</v>
      </c>
      <c r="C633" t="s">
        <v>4384</v>
      </c>
      <c r="D633" t="s">
        <v>257</v>
      </c>
      <c r="E633" t="s">
        <v>3742</v>
      </c>
    </row>
    <row r="634" spans="1:5">
      <c r="A634">
        <v>632</v>
      </c>
      <c r="B634" t="s">
        <v>814</v>
      </c>
      <c r="C634" t="s">
        <v>4385</v>
      </c>
      <c r="D634" t="s">
        <v>257</v>
      </c>
      <c r="E634" t="s">
        <v>3742</v>
      </c>
    </row>
    <row r="635" spans="1:5">
      <c r="A635">
        <v>633</v>
      </c>
      <c r="B635" t="s">
        <v>815</v>
      </c>
      <c r="C635" t="s">
        <v>4386</v>
      </c>
      <c r="D635" t="s">
        <v>257</v>
      </c>
      <c r="E635" t="s">
        <v>3742</v>
      </c>
    </row>
    <row r="636" spans="1:5">
      <c r="A636">
        <v>634</v>
      </c>
      <c r="B636" t="s">
        <v>816</v>
      </c>
      <c r="C636" t="s">
        <v>4387</v>
      </c>
      <c r="D636" t="s">
        <v>257</v>
      </c>
      <c r="E636" t="s">
        <v>3742</v>
      </c>
    </row>
    <row r="637" spans="1:5">
      <c r="A637">
        <v>635</v>
      </c>
      <c r="B637" t="s">
        <v>817</v>
      </c>
      <c r="C637" t="s">
        <v>4388</v>
      </c>
      <c r="D637" t="s">
        <v>257</v>
      </c>
      <c r="E637" t="s">
        <v>3742</v>
      </c>
    </row>
    <row r="638" spans="1:5">
      <c r="A638">
        <v>636</v>
      </c>
      <c r="B638" t="s">
        <v>818</v>
      </c>
      <c r="C638" t="s">
        <v>4389</v>
      </c>
      <c r="D638" t="s">
        <v>257</v>
      </c>
      <c r="E638" t="s">
        <v>3742</v>
      </c>
    </row>
    <row r="639" spans="1:5">
      <c r="A639">
        <v>637</v>
      </c>
      <c r="B639" t="s">
        <v>819</v>
      </c>
      <c r="C639" t="s">
        <v>4390</v>
      </c>
      <c r="D639" t="s">
        <v>257</v>
      </c>
      <c r="E639" t="s">
        <v>3742</v>
      </c>
    </row>
    <row r="640" spans="1:5">
      <c r="A640">
        <v>638</v>
      </c>
      <c r="B640" t="s">
        <v>820</v>
      </c>
      <c r="C640" t="s">
        <v>4391</v>
      </c>
      <c r="D640" t="s">
        <v>257</v>
      </c>
      <c r="E640" t="s">
        <v>3742</v>
      </c>
    </row>
    <row r="641" spans="1:5">
      <c r="A641">
        <v>639</v>
      </c>
      <c r="B641" t="s">
        <v>821</v>
      </c>
      <c r="C641" t="s">
        <v>4392</v>
      </c>
      <c r="D641" t="s">
        <v>257</v>
      </c>
      <c r="E641" t="s">
        <v>3742</v>
      </c>
    </row>
    <row r="642" spans="1:5">
      <c r="A642">
        <v>640</v>
      </c>
      <c r="B642" t="s">
        <v>822</v>
      </c>
      <c r="C642" t="s">
        <v>4393</v>
      </c>
      <c r="D642" t="s">
        <v>823</v>
      </c>
      <c r="E642" t="s">
        <v>153</v>
      </c>
    </row>
    <row r="643" spans="1:5">
      <c r="A643">
        <v>641</v>
      </c>
      <c r="B643" t="s">
        <v>824</v>
      </c>
      <c r="C643" t="s">
        <v>4394</v>
      </c>
      <c r="D643" t="s">
        <v>823</v>
      </c>
      <c r="E643" t="s">
        <v>153</v>
      </c>
    </row>
    <row r="644" spans="1:5">
      <c r="A644">
        <v>642</v>
      </c>
      <c r="B644" t="s">
        <v>825</v>
      </c>
      <c r="C644" t="s">
        <v>4395</v>
      </c>
      <c r="D644" t="s">
        <v>823</v>
      </c>
      <c r="E644" t="s">
        <v>153</v>
      </c>
    </row>
    <row r="645" spans="1:5">
      <c r="A645">
        <v>643</v>
      </c>
      <c r="B645" t="s">
        <v>826</v>
      </c>
      <c r="C645" t="s">
        <v>4396</v>
      </c>
      <c r="D645" t="s">
        <v>823</v>
      </c>
      <c r="E645" t="s">
        <v>153</v>
      </c>
    </row>
    <row r="646" spans="1:5">
      <c r="A646">
        <v>644</v>
      </c>
      <c r="B646" t="s">
        <v>827</v>
      </c>
      <c r="C646" t="s">
        <v>4397</v>
      </c>
      <c r="D646" t="s">
        <v>823</v>
      </c>
      <c r="E646" t="s">
        <v>153</v>
      </c>
    </row>
    <row r="647" spans="1:5">
      <c r="A647">
        <v>645</v>
      </c>
      <c r="B647" t="s">
        <v>828</v>
      </c>
      <c r="C647" t="s">
        <v>4398</v>
      </c>
      <c r="D647" t="s">
        <v>823</v>
      </c>
      <c r="E647" t="s">
        <v>153</v>
      </c>
    </row>
    <row r="648" spans="1:5">
      <c r="A648">
        <v>646</v>
      </c>
      <c r="B648" t="s">
        <v>829</v>
      </c>
      <c r="C648" t="s">
        <v>4399</v>
      </c>
      <c r="D648" t="s">
        <v>823</v>
      </c>
      <c r="E648" t="s">
        <v>153</v>
      </c>
    </row>
    <row r="649" spans="1:5">
      <c r="A649">
        <v>647</v>
      </c>
      <c r="B649" t="s">
        <v>830</v>
      </c>
      <c r="C649" t="s">
        <v>4400</v>
      </c>
      <c r="D649" t="s">
        <v>823</v>
      </c>
      <c r="E649" t="s">
        <v>153</v>
      </c>
    </row>
    <row r="650" spans="1:5">
      <c r="A650">
        <v>648</v>
      </c>
      <c r="B650" t="s">
        <v>831</v>
      </c>
      <c r="C650" t="s">
        <v>4401</v>
      </c>
      <c r="D650" t="s">
        <v>823</v>
      </c>
      <c r="E650" t="s">
        <v>153</v>
      </c>
    </row>
    <row r="651" spans="1:5">
      <c r="A651">
        <v>649</v>
      </c>
      <c r="B651" t="s">
        <v>832</v>
      </c>
      <c r="C651" t="s">
        <v>4402</v>
      </c>
      <c r="D651" t="s">
        <v>823</v>
      </c>
      <c r="E651" t="s">
        <v>153</v>
      </c>
    </row>
    <row r="652" spans="1:5">
      <c r="A652">
        <v>650</v>
      </c>
      <c r="B652" t="s">
        <v>833</v>
      </c>
      <c r="C652" t="s">
        <v>4403</v>
      </c>
      <c r="D652" t="s">
        <v>823</v>
      </c>
      <c r="E652" t="s">
        <v>153</v>
      </c>
    </row>
    <row r="653" spans="1:5">
      <c r="A653">
        <v>651</v>
      </c>
      <c r="B653" t="s">
        <v>834</v>
      </c>
      <c r="C653" t="s">
        <v>4404</v>
      </c>
      <c r="D653" t="s">
        <v>823</v>
      </c>
      <c r="E653" t="s">
        <v>153</v>
      </c>
    </row>
    <row r="654" spans="1:5">
      <c r="A654">
        <v>652</v>
      </c>
      <c r="B654" t="s">
        <v>835</v>
      </c>
      <c r="C654" t="s">
        <v>4405</v>
      </c>
      <c r="D654" t="s">
        <v>823</v>
      </c>
      <c r="E654" t="s">
        <v>153</v>
      </c>
    </row>
    <row r="655" spans="1:5">
      <c r="A655">
        <v>653</v>
      </c>
      <c r="B655" t="s">
        <v>836</v>
      </c>
      <c r="C655" t="s">
        <v>4406</v>
      </c>
      <c r="D655" t="s">
        <v>823</v>
      </c>
      <c r="E655" t="s">
        <v>153</v>
      </c>
    </row>
    <row r="656" spans="1:5">
      <c r="A656">
        <v>654</v>
      </c>
      <c r="B656" t="s">
        <v>837</v>
      </c>
      <c r="C656" t="s">
        <v>4407</v>
      </c>
      <c r="D656" t="s">
        <v>823</v>
      </c>
      <c r="E656" t="s">
        <v>153</v>
      </c>
    </row>
    <row r="657" spans="1:5">
      <c r="A657">
        <v>655</v>
      </c>
      <c r="B657" t="s">
        <v>838</v>
      </c>
      <c r="C657" t="s">
        <v>4408</v>
      </c>
      <c r="D657" t="s">
        <v>823</v>
      </c>
      <c r="E657" t="s">
        <v>153</v>
      </c>
    </row>
    <row r="658" spans="1:5">
      <c r="A658">
        <v>656</v>
      </c>
      <c r="B658" t="s">
        <v>840</v>
      </c>
      <c r="C658" t="s">
        <v>4409</v>
      </c>
      <c r="D658" t="s">
        <v>823</v>
      </c>
      <c r="E658" t="s">
        <v>153</v>
      </c>
    </row>
    <row r="659" spans="1:5">
      <c r="A659">
        <v>657</v>
      </c>
      <c r="B659" t="s">
        <v>841</v>
      </c>
      <c r="C659" t="s">
        <v>4410</v>
      </c>
      <c r="D659" t="s">
        <v>823</v>
      </c>
      <c r="E659" t="s">
        <v>153</v>
      </c>
    </row>
    <row r="660" spans="1:5">
      <c r="A660">
        <v>658</v>
      </c>
      <c r="B660" t="s">
        <v>842</v>
      </c>
      <c r="C660" t="s">
        <v>4411</v>
      </c>
      <c r="D660" t="s">
        <v>823</v>
      </c>
      <c r="E660" t="s">
        <v>153</v>
      </c>
    </row>
    <row r="661" spans="1:5">
      <c r="A661">
        <v>659</v>
      </c>
      <c r="B661" t="s">
        <v>843</v>
      </c>
      <c r="C661" t="s">
        <v>4412</v>
      </c>
      <c r="D661" t="s">
        <v>823</v>
      </c>
      <c r="E661" t="s">
        <v>153</v>
      </c>
    </row>
    <row r="662" spans="1:5">
      <c r="A662">
        <v>660</v>
      </c>
      <c r="B662" t="s">
        <v>844</v>
      </c>
      <c r="C662" t="s">
        <v>4413</v>
      </c>
      <c r="D662" t="s">
        <v>823</v>
      </c>
      <c r="E662" t="s">
        <v>153</v>
      </c>
    </row>
    <row r="663" spans="1:5">
      <c r="A663">
        <v>661</v>
      </c>
      <c r="B663" t="s">
        <v>845</v>
      </c>
      <c r="C663" t="s">
        <v>4414</v>
      </c>
      <c r="D663" t="s">
        <v>823</v>
      </c>
      <c r="E663" t="s">
        <v>153</v>
      </c>
    </row>
    <row r="664" spans="1:5">
      <c r="A664">
        <v>662</v>
      </c>
      <c r="B664" t="s">
        <v>846</v>
      </c>
      <c r="C664" t="s">
        <v>4415</v>
      </c>
      <c r="D664" t="s">
        <v>823</v>
      </c>
      <c r="E664" t="s">
        <v>153</v>
      </c>
    </row>
    <row r="665" spans="1:5">
      <c r="A665">
        <v>663</v>
      </c>
      <c r="B665" t="s">
        <v>847</v>
      </c>
      <c r="C665" t="s">
        <v>4416</v>
      </c>
      <c r="D665" t="s">
        <v>823</v>
      </c>
      <c r="E665" t="s">
        <v>153</v>
      </c>
    </row>
    <row r="666" spans="1:5">
      <c r="A666">
        <v>664</v>
      </c>
      <c r="B666" t="s">
        <v>848</v>
      </c>
      <c r="C666" t="s">
        <v>4417</v>
      </c>
      <c r="D666" t="s">
        <v>823</v>
      </c>
      <c r="E666" t="s">
        <v>153</v>
      </c>
    </row>
    <row r="667" spans="1:5">
      <c r="A667">
        <v>665</v>
      </c>
      <c r="B667" t="s">
        <v>849</v>
      </c>
      <c r="C667" t="s">
        <v>4418</v>
      </c>
      <c r="D667" t="s">
        <v>823</v>
      </c>
      <c r="E667" t="s">
        <v>153</v>
      </c>
    </row>
    <row r="668" spans="1:5">
      <c r="A668">
        <v>666</v>
      </c>
      <c r="B668" t="s">
        <v>850</v>
      </c>
      <c r="C668" t="s">
        <v>4419</v>
      </c>
      <c r="D668" t="s">
        <v>823</v>
      </c>
      <c r="E668" t="s">
        <v>153</v>
      </c>
    </row>
    <row r="669" spans="1:5">
      <c r="A669">
        <v>667</v>
      </c>
      <c r="B669" t="s">
        <v>851</v>
      </c>
      <c r="C669" t="s">
        <v>4420</v>
      </c>
      <c r="D669" t="s">
        <v>823</v>
      </c>
      <c r="E669" t="s">
        <v>153</v>
      </c>
    </row>
    <row r="670" spans="1:5">
      <c r="A670">
        <v>668</v>
      </c>
      <c r="B670" t="s">
        <v>852</v>
      </c>
      <c r="C670" t="s">
        <v>4421</v>
      </c>
      <c r="D670" t="s">
        <v>823</v>
      </c>
      <c r="E670" t="s">
        <v>153</v>
      </c>
    </row>
    <row r="671" spans="1:5">
      <c r="A671">
        <v>669</v>
      </c>
      <c r="B671" t="s">
        <v>853</v>
      </c>
      <c r="C671" t="s">
        <v>4422</v>
      </c>
      <c r="D671" t="s">
        <v>823</v>
      </c>
      <c r="E671" t="s">
        <v>153</v>
      </c>
    </row>
    <row r="672" spans="1:5">
      <c r="A672">
        <v>670</v>
      </c>
      <c r="B672" t="s">
        <v>854</v>
      </c>
      <c r="C672" t="s">
        <v>4423</v>
      </c>
      <c r="D672" t="s">
        <v>823</v>
      </c>
      <c r="E672" t="s">
        <v>153</v>
      </c>
    </row>
    <row r="673" spans="1:5">
      <c r="A673">
        <v>671</v>
      </c>
      <c r="B673" t="s">
        <v>855</v>
      </c>
      <c r="C673" t="s">
        <v>4424</v>
      </c>
      <c r="D673" t="s">
        <v>823</v>
      </c>
      <c r="E673" t="s">
        <v>153</v>
      </c>
    </row>
    <row r="674" spans="1:5">
      <c r="A674">
        <v>672</v>
      </c>
      <c r="B674" t="s">
        <v>856</v>
      </c>
      <c r="C674" t="s">
        <v>4425</v>
      </c>
      <c r="D674" t="s">
        <v>823</v>
      </c>
      <c r="E674" t="s">
        <v>153</v>
      </c>
    </row>
    <row r="675" spans="1:5">
      <c r="A675">
        <v>673</v>
      </c>
      <c r="B675" t="s">
        <v>857</v>
      </c>
      <c r="C675" t="s">
        <v>4426</v>
      </c>
      <c r="D675" t="s">
        <v>823</v>
      </c>
      <c r="E675" t="s">
        <v>153</v>
      </c>
    </row>
    <row r="676" spans="1:5">
      <c r="A676">
        <v>674</v>
      </c>
      <c r="B676" t="s">
        <v>858</v>
      </c>
      <c r="C676" t="s">
        <v>4427</v>
      </c>
      <c r="D676" t="s">
        <v>823</v>
      </c>
      <c r="E676" t="s">
        <v>153</v>
      </c>
    </row>
    <row r="677" spans="1:5">
      <c r="A677">
        <v>675</v>
      </c>
      <c r="B677" t="s">
        <v>859</v>
      </c>
      <c r="C677" t="s">
        <v>4428</v>
      </c>
      <c r="D677" t="s">
        <v>823</v>
      </c>
      <c r="E677" t="s">
        <v>153</v>
      </c>
    </row>
    <row r="678" spans="1:5">
      <c r="A678">
        <v>676</v>
      </c>
      <c r="B678" t="s">
        <v>860</v>
      </c>
      <c r="C678" t="s">
        <v>4429</v>
      </c>
      <c r="D678" t="s">
        <v>823</v>
      </c>
      <c r="E678" t="s">
        <v>153</v>
      </c>
    </row>
    <row r="679" spans="1:5">
      <c r="A679">
        <v>677</v>
      </c>
      <c r="B679" t="s">
        <v>861</v>
      </c>
      <c r="C679" t="s">
        <v>4430</v>
      </c>
      <c r="D679" t="s">
        <v>823</v>
      </c>
      <c r="E679" t="s">
        <v>153</v>
      </c>
    </row>
    <row r="680" spans="1:5">
      <c r="A680">
        <v>678</v>
      </c>
      <c r="B680" t="s">
        <v>862</v>
      </c>
      <c r="C680" t="s">
        <v>4431</v>
      </c>
      <c r="D680" t="s">
        <v>823</v>
      </c>
      <c r="E680" t="s">
        <v>153</v>
      </c>
    </row>
    <row r="681" spans="1:5">
      <c r="A681">
        <v>679</v>
      </c>
      <c r="B681" t="s">
        <v>863</v>
      </c>
      <c r="C681" t="s">
        <v>4432</v>
      </c>
      <c r="D681" t="s">
        <v>823</v>
      </c>
      <c r="E681" t="s">
        <v>153</v>
      </c>
    </row>
    <row r="682" spans="1:5">
      <c r="A682">
        <v>680</v>
      </c>
      <c r="B682" t="s">
        <v>864</v>
      </c>
      <c r="C682" t="s">
        <v>4433</v>
      </c>
      <c r="D682" t="s">
        <v>823</v>
      </c>
      <c r="E682" t="s">
        <v>153</v>
      </c>
    </row>
    <row r="683" spans="1:5">
      <c r="A683">
        <v>681</v>
      </c>
      <c r="B683" t="s">
        <v>865</v>
      </c>
      <c r="C683" t="s">
        <v>4434</v>
      </c>
      <c r="D683" t="s">
        <v>823</v>
      </c>
      <c r="E683" t="s">
        <v>153</v>
      </c>
    </row>
    <row r="684" spans="1:5">
      <c r="A684">
        <v>682</v>
      </c>
      <c r="B684" t="s">
        <v>866</v>
      </c>
      <c r="C684" t="s">
        <v>4435</v>
      </c>
      <c r="D684" t="s">
        <v>823</v>
      </c>
      <c r="E684" t="s">
        <v>153</v>
      </c>
    </row>
    <row r="685" spans="1:5">
      <c r="A685">
        <v>683</v>
      </c>
      <c r="B685" t="s">
        <v>867</v>
      </c>
      <c r="C685" t="s">
        <v>4436</v>
      </c>
      <c r="D685" t="s">
        <v>823</v>
      </c>
      <c r="E685" t="s">
        <v>153</v>
      </c>
    </row>
    <row r="686" spans="1:5">
      <c r="A686">
        <v>684</v>
      </c>
      <c r="B686" t="s">
        <v>868</v>
      </c>
      <c r="C686" t="s">
        <v>4437</v>
      </c>
      <c r="D686" t="s">
        <v>823</v>
      </c>
      <c r="E686" t="s">
        <v>153</v>
      </c>
    </row>
    <row r="687" spans="1:5">
      <c r="A687">
        <v>685</v>
      </c>
      <c r="B687" t="s">
        <v>869</v>
      </c>
      <c r="C687" t="s">
        <v>4438</v>
      </c>
      <c r="D687" t="s">
        <v>823</v>
      </c>
      <c r="E687" t="s">
        <v>153</v>
      </c>
    </row>
    <row r="688" spans="1:5">
      <c r="A688">
        <v>686</v>
      </c>
      <c r="B688" t="s">
        <v>870</v>
      </c>
      <c r="C688" t="s">
        <v>4439</v>
      </c>
      <c r="D688" t="s">
        <v>823</v>
      </c>
      <c r="E688" t="s">
        <v>153</v>
      </c>
    </row>
    <row r="689" spans="1:5">
      <c r="A689">
        <v>687</v>
      </c>
      <c r="B689" t="s">
        <v>871</v>
      </c>
      <c r="C689" t="s">
        <v>4440</v>
      </c>
      <c r="D689" t="s">
        <v>823</v>
      </c>
      <c r="E689" t="s">
        <v>153</v>
      </c>
    </row>
    <row r="690" spans="1:5">
      <c r="A690">
        <v>688</v>
      </c>
      <c r="B690" t="s">
        <v>872</v>
      </c>
      <c r="C690" t="s">
        <v>4441</v>
      </c>
      <c r="D690" t="s">
        <v>823</v>
      </c>
      <c r="E690" t="s">
        <v>153</v>
      </c>
    </row>
    <row r="691" spans="1:5">
      <c r="A691">
        <v>689</v>
      </c>
      <c r="B691" t="s">
        <v>873</v>
      </c>
      <c r="C691" t="s">
        <v>4442</v>
      </c>
      <c r="D691" t="s">
        <v>823</v>
      </c>
      <c r="E691" t="s">
        <v>153</v>
      </c>
    </row>
    <row r="692" spans="1:5">
      <c r="A692">
        <v>690</v>
      </c>
      <c r="B692" t="s">
        <v>874</v>
      </c>
      <c r="C692" t="s">
        <v>4443</v>
      </c>
      <c r="D692" t="s">
        <v>823</v>
      </c>
      <c r="E692" t="s">
        <v>153</v>
      </c>
    </row>
    <row r="693" spans="1:5">
      <c r="A693">
        <v>691</v>
      </c>
      <c r="B693" t="s">
        <v>875</v>
      </c>
      <c r="C693" t="s">
        <v>4444</v>
      </c>
      <c r="D693" t="s">
        <v>823</v>
      </c>
      <c r="E693" t="s">
        <v>153</v>
      </c>
    </row>
    <row r="694" spans="1:5">
      <c r="A694">
        <v>692</v>
      </c>
      <c r="B694" t="s">
        <v>876</v>
      </c>
      <c r="C694" t="s">
        <v>4445</v>
      </c>
      <c r="D694" t="s">
        <v>823</v>
      </c>
      <c r="E694" t="s">
        <v>153</v>
      </c>
    </row>
    <row r="695" spans="1:5">
      <c r="A695">
        <v>693</v>
      </c>
      <c r="B695" t="s">
        <v>3521</v>
      </c>
      <c r="C695" t="s">
        <v>7055</v>
      </c>
      <c r="D695" t="s">
        <v>823</v>
      </c>
      <c r="E695" t="s">
        <v>153</v>
      </c>
    </row>
    <row r="696" spans="1:5">
      <c r="A696">
        <v>694</v>
      </c>
      <c r="B696" t="s">
        <v>877</v>
      </c>
      <c r="C696" t="s">
        <v>7324</v>
      </c>
      <c r="D696" t="s">
        <v>823</v>
      </c>
      <c r="E696" t="s">
        <v>153</v>
      </c>
    </row>
    <row r="697" spans="1:5">
      <c r="A697">
        <v>695</v>
      </c>
      <c r="B697" t="s">
        <v>878</v>
      </c>
      <c r="C697" t="s">
        <v>4446</v>
      </c>
      <c r="D697" t="s">
        <v>823</v>
      </c>
      <c r="E697" t="s">
        <v>153</v>
      </c>
    </row>
    <row r="698" spans="1:5">
      <c r="A698">
        <v>696</v>
      </c>
      <c r="B698" t="s">
        <v>879</v>
      </c>
      <c r="C698" t="s">
        <v>4447</v>
      </c>
      <c r="D698" t="s">
        <v>823</v>
      </c>
      <c r="E698" t="s">
        <v>153</v>
      </c>
    </row>
    <row r="699" spans="1:5">
      <c r="A699">
        <v>697</v>
      </c>
      <c r="B699" t="s">
        <v>880</v>
      </c>
      <c r="C699" t="s">
        <v>4448</v>
      </c>
      <c r="D699" t="s">
        <v>823</v>
      </c>
      <c r="E699" t="s">
        <v>153</v>
      </c>
    </row>
    <row r="700" spans="1:5">
      <c r="A700">
        <v>698</v>
      </c>
      <c r="B700" t="s">
        <v>298</v>
      </c>
      <c r="C700" t="s">
        <v>7325</v>
      </c>
      <c r="D700" t="s">
        <v>823</v>
      </c>
      <c r="E700" t="s">
        <v>153</v>
      </c>
    </row>
    <row r="701" spans="1:5">
      <c r="A701">
        <v>699</v>
      </c>
      <c r="B701" t="s">
        <v>881</v>
      </c>
      <c r="C701" t="s">
        <v>4449</v>
      </c>
      <c r="D701" t="s">
        <v>823</v>
      </c>
      <c r="E701" t="s">
        <v>153</v>
      </c>
    </row>
    <row r="702" spans="1:5">
      <c r="A702">
        <v>700</v>
      </c>
      <c r="B702" t="s">
        <v>882</v>
      </c>
      <c r="C702" t="s">
        <v>4450</v>
      </c>
      <c r="D702" t="s">
        <v>823</v>
      </c>
      <c r="E702" t="s">
        <v>153</v>
      </c>
    </row>
    <row r="703" spans="1:5">
      <c r="A703">
        <v>701</v>
      </c>
      <c r="B703" t="s">
        <v>883</v>
      </c>
      <c r="C703" t="s">
        <v>7326</v>
      </c>
      <c r="D703" t="s">
        <v>823</v>
      </c>
      <c r="E703" t="s">
        <v>153</v>
      </c>
    </row>
    <row r="704" spans="1:5">
      <c r="A704">
        <v>702</v>
      </c>
      <c r="B704" t="s">
        <v>884</v>
      </c>
      <c r="C704" t="s">
        <v>4451</v>
      </c>
      <c r="D704" t="s">
        <v>823</v>
      </c>
      <c r="E704" t="s">
        <v>153</v>
      </c>
    </row>
    <row r="705" spans="1:5">
      <c r="A705">
        <v>703</v>
      </c>
      <c r="B705" t="s">
        <v>885</v>
      </c>
      <c r="C705" t="s">
        <v>4452</v>
      </c>
      <c r="D705" t="s">
        <v>823</v>
      </c>
      <c r="E705" t="s">
        <v>153</v>
      </c>
    </row>
    <row r="706" spans="1:5">
      <c r="A706">
        <v>704</v>
      </c>
      <c r="B706" t="s">
        <v>886</v>
      </c>
      <c r="C706" t="s">
        <v>4453</v>
      </c>
      <c r="D706" t="s">
        <v>823</v>
      </c>
      <c r="E706" t="s">
        <v>153</v>
      </c>
    </row>
    <row r="707" spans="1:5">
      <c r="A707">
        <v>705</v>
      </c>
      <c r="B707" t="s">
        <v>887</v>
      </c>
      <c r="C707" t="s">
        <v>4454</v>
      </c>
      <c r="D707" t="s">
        <v>823</v>
      </c>
      <c r="E707" t="s">
        <v>153</v>
      </c>
    </row>
    <row r="708" spans="1:5">
      <c r="A708">
        <v>706</v>
      </c>
      <c r="B708" t="s">
        <v>888</v>
      </c>
      <c r="C708" t="s">
        <v>4455</v>
      </c>
      <c r="D708" t="s">
        <v>823</v>
      </c>
      <c r="E708" t="s">
        <v>153</v>
      </c>
    </row>
    <row r="709" spans="1:5">
      <c r="A709">
        <v>707</v>
      </c>
      <c r="B709" t="s">
        <v>889</v>
      </c>
      <c r="C709" t="s">
        <v>4456</v>
      </c>
      <c r="D709" t="s">
        <v>823</v>
      </c>
      <c r="E709" t="s">
        <v>153</v>
      </c>
    </row>
    <row r="710" spans="1:5">
      <c r="A710">
        <v>708</v>
      </c>
      <c r="B710" t="s">
        <v>890</v>
      </c>
      <c r="C710" t="s">
        <v>4457</v>
      </c>
      <c r="D710" t="s">
        <v>823</v>
      </c>
      <c r="E710" t="s">
        <v>153</v>
      </c>
    </row>
    <row r="711" spans="1:5">
      <c r="A711">
        <v>709</v>
      </c>
      <c r="B711" t="s">
        <v>891</v>
      </c>
      <c r="C711" t="s">
        <v>4458</v>
      </c>
      <c r="D711" t="s">
        <v>823</v>
      </c>
      <c r="E711" t="s">
        <v>153</v>
      </c>
    </row>
    <row r="712" spans="1:5">
      <c r="A712">
        <v>710</v>
      </c>
      <c r="B712" t="s">
        <v>892</v>
      </c>
      <c r="C712" t="s">
        <v>4459</v>
      </c>
      <c r="D712" t="s">
        <v>823</v>
      </c>
      <c r="E712" t="s">
        <v>153</v>
      </c>
    </row>
    <row r="713" spans="1:5">
      <c r="A713">
        <v>711</v>
      </c>
      <c r="B713" t="s">
        <v>893</v>
      </c>
      <c r="C713" t="s">
        <v>4460</v>
      </c>
      <c r="D713" t="s">
        <v>823</v>
      </c>
      <c r="E713" t="s">
        <v>153</v>
      </c>
    </row>
    <row r="714" spans="1:5">
      <c r="A714">
        <v>712</v>
      </c>
      <c r="B714" t="s">
        <v>894</v>
      </c>
      <c r="C714" t="s">
        <v>4461</v>
      </c>
      <c r="D714" t="s">
        <v>823</v>
      </c>
      <c r="E714" t="s">
        <v>153</v>
      </c>
    </row>
    <row r="715" spans="1:5">
      <c r="A715">
        <v>713</v>
      </c>
      <c r="B715" t="s">
        <v>895</v>
      </c>
      <c r="C715" t="s">
        <v>4462</v>
      </c>
      <c r="D715" t="s">
        <v>823</v>
      </c>
      <c r="E715" t="s">
        <v>153</v>
      </c>
    </row>
    <row r="716" spans="1:5">
      <c r="A716">
        <v>714</v>
      </c>
      <c r="B716" t="s">
        <v>896</v>
      </c>
      <c r="C716" t="s">
        <v>4463</v>
      </c>
      <c r="D716" t="s">
        <v>823</v>
      </c>
      <c r="E716" t="s">
        <v>153</v>
      </c>
    </row>
    <row r="717" spans="1:5">
      <c r="A717">
        <v>715</v>
      </c>
      <c r="B717" t="s">
        <v>897</v>
      </c>
      <c r="C717" t="s">
        <v>4464</v>
      </c>
      <c r="D717" t="s">
        <v>823</v>
      </c>
      <c r="E717" t="s">
        <v>153</v>
      </c>
    </row>
    <row r="718" spans="1:5">
      <c r="A718">
        <v>716</v>
      </c>
      <c r="B718" t="s">
        <v>898</v>
      </c>
      <c r="C718" t="s">
        <v>4465</v>
      </c>
      <c r="D718" t="s">
        <v>823</v>
      </c>
      <c r="E718" t="s">
        <v>153</v>
      </c>
    </row>
    <row r="719" spans="1:5">
      <c r="A719">
        <v>717</v>
      </c>
      <c r="B719" t="s">
        <v>899</v>
      </c>
      <c r="C719" t="s">
        <v>4466</v>
      </c>
      <c r="D719" t="s">
        <v>823</v>
      </c>
      <c r="E719" t="s">
        <v>153</v>
      </c>
    </row>
    <row r="720" spans="1:5">
      <c r="A720">
        <v>718</v>
      </c>
      <c r="B720" t="s">
        <v>319</v>
      </c>
      <c r="C720" t="s">
        <v>3894</v>
      </c>
      <c r="D720" t="s">
        <v>823</v>
      </c>
      <c r="E720" t="s">
        <v>153</v>
      </c>
    </row>
    <row r="721" spans="1:5">
      <c r="A721">
        <v>719</v>
      </c>
      <c r="B721" t="s">
        <v>900</v>
      </c>
      <c r="C721" t="s">
        <v>4467</v>
      </c>
      <c r="D721" t="s">
        <v>823</v>
      </c>
      <c r="E721" t="s">
        <v>153</v>
      </c>
    </row>
    <row r="722" spans="1:5">
      <c r="A722">
        <v>720</v>
      </c>
      <c r="B722" t="s">
        <v>901</v>
      </c>
      <c r="C722" t="s">
        <v>4468</v>
      </c>
      <c r="D722" t="s">
        <v>823</v>
      </c>
      <c r="E722" t="s">
        <v>153</v>
      </c>
    </row>
    <row r="723" spans="1:5">
      <c r="A723">
        <v>721</v>
      </c>
      <c r="B723" t="s">
        <v>902</v>
      </c>
      <c r="C723" t="s">
        <v>4469</v>
      </c>
      <c r="D723" t="s">
        <v>823</v>
      </c>
      <c r="E723" t="s">
        <v>153</v>
      </c>
    </row>
    <row r="724" spans="1:5">
      <c r="A724">
        <v>722</v>
      </c>
      <c r="B724" t="s">
        <v>903</v>
      </c>
      <c r="C724" t="s">
        <v>4470</v>
      </c>
      <c r="D724" t="s">
        <v>823</v>
      </c>
      <c r="E724" t="s">
        <v>153</v>
      </c>
    </row>
    <row r="725" spans="1:5">
      <c r="A725">
        <v>723</v>
      </c>
      <c r="B725" t="s">
        <v>904</v>
      </c>
      <c r="C725" t="s">
        <v>7327</v>
      </c>
      <c r="D725" t="s">
        <v>823</v>
      </c>
      <c r="E725" t="s">
        <v>153</v>
      </c>
    </row>
    <row r="726" spans="1:5">
      <c r="A726">
        <v>724</v>
      </c>
      <c r="B726" t="s">
        <v>905</v>
      </c>
      <c r="C726" t="s">
        <v>4471</v>
      </c>
      <c r="D726" t="s">
        <v>823</v>
      </c>
      <c r="E726" t="s">
        <v>153</v>
      </c>
    </row>
    <row r="727" spans="1:5">
      <c r="A727">
        <v>725</v>
      </c>
      <c r="B727" t="s">
        <v>906</v>
      </c>
      <c r="C727" t="s">
        <v>4472</v>
      </c>
      <c r="D727" t="s">
        <v>823</v>
      </c>
      <c r="E727" t="s">
        <v>153</v>
      </c>
    </row>
    <row r="728" spans="1:5">
      <c r="A728">
        <v>726</v>
      </c>
      <c r="B728" t="s">
        <v>907</v>
      </c>
      <c r="C728" t="s">
        <v>4473</v>
      </c>
      <c r="D728" t="s">
        <v>823</v>
      </c>
      <c r="E728" t="s">
        <v>153</v>
      </c>
    </row>
    <row r="729" spans="1:5">
      <c r="A729">
        <v>727</v>
      </c>
      <c r="B729" t="s">
        <v>908</v>
      </c>
      <c r="C729" t="s">
        <v>4474</v>
      </c>
      <c r="D729" t="s">
        <v>823</v>
      </c>
      <c r="E729" t="s">
        <v>153</v>
      </c>
    </row>
    <row r="730" spans="1:5">
      <c r="A730">
        <v>728</v>
      </c>
      <c r="B730" t="s">
        <v>909</v>
      </c>
      <c r="C730" t="s">
        <v>4475</v>
      </c>
      <c r="D730" t="s">
        <v>823</v>
      </c>
      <c r="E730" t="s">
        <v>153</v>
      </c>
    </row>
    <row r="731" spans="1:5">
      <c r="A731">
        <v>729</v>
      </c>
      <c r="B731" t="s">
        <v>7328</v>
      </c>
      <c r="C731" t="s">
        <v>7329</v>
      </c>
      <c r="D731" t="s">
        <v>823</v>
      </c>
      <c r="E731" t="s">
        <v>153</v>
      </c>
    </row>
    <row r="732" spans="1:5">
      <c r="A732">
        <v>730</v>
      </c>
      <c r="B732" t="s">
        <v>910</v>
      </c>
      <c r="C732" t="s">
        <v>4476</v>
      </c>
      <c r="D732" t="s">
        <v>823</v>
      </c>
      <c r="E732" t="s">
        <v>153</v>
      </c>
    </row>
    <row r="733" spans="1:5">
      <c r="A733">
        <v>731</v>
      </c>
      <c r="B733" t="s">
        <v>911</v>
      </c>
      <c r="C733" t="s">
        <v>4477</v>
      </c>
      <c r="D733" t="s">
        <v>823</v>
      </c>
      <c r="E733" t="s">
        <v>153</v>
      </c>
    </row>
    <row r="734" spans="1:5">
      <c r="A734">
        <v>732</v>
      </c>
      <c r="B734" t="s">
        <v>912</v>
      </c>
      <c r="C734" t="s">
        <v>4478</v>
      </c>
      <c r="D734" t="s">
        <v>823</v>
      </c>
      <c r="E734" t="s">
        <v>153</v>
      </c>
    </row>
    <row r="735" spans="1:5">
      <c r="A735">
        <v>733</v>
      </c>
      <c r="B735" t="s">
        <v>913</v>
      </c>
      <c r="C735" t="s">
        <v>4479</v>
      </c>
      <c r="D735" t="s">
        <v>823</v>
      </c>
      <c r="E735" t="s">
        <v>153</v>
      </c>
    </row>
    <row r="736" spans="1:5">
      <c r="A736">
        <v>734</v>
      </c>
      <c r="B736" t="s">
        <v>914</v>
      </c>
      <c r="C736" t="s">
        <v>4480</v>
      </c>
      <c r="D736" t="s">
        <v>823</v>
      </c>
      <c r="E736" t="s">
        <v>153</v>
      </c>
    </row>
    <row r="737" spans="1:5">
      <c r="A737">
        <v>735</v>
      </c>
      <c r="B737" t="s">
        <v>915</v>
      </c>
      <c r="C737" t="s">
        <v>4481</v>
      </c>
      <c r="D737" t="s">
        <v>823</v>
      </c>
      <c r="E737" t="s">
        <v>153</v>
      </c>
    </row>
    <row r="738" spans="1:5">
      <c r="A738">
        <v>736</v>
      </c>
      <c r="B738" t="s">
        <v>916</v>
      </c>
      <c r="C738" t="s">
        <v>4482</v>
      </c>
      <c r="D738" t="s">
        <v>823</v>
      </c>
      <c r="E738" t="s">
        <v>153</v>
      </c>
    </row>
    <row r="739" spans="1:5">
      <c r="A739">
        <v>737</v>
      </c>
      <c r="B739" t="s">
        <v>917</v>
      </c>
      <c r="C739" t="s">
        <v>4483</v>
      </c>
      <c r="D739" t="s">
        <v>823</v>
      </c>
      <c r="E739" t="s">
        <v>153</v>
      </c>
    </row>
    <row r="740" spans="1:5">
      <c r="A740">
        <v>738</v>
      </c>
      <c r="B740" t="s">
        <v>918</v>
      </c>
      <c r="C740" t="s">
        <v>4484</v>
      </c>
      <c r="D740" t="s">
        <v>823</v>
      </c>
      <c r="E740" t="s">
        <v>153</v>
      </c>
    </row>
    <row r="741" spans="1:5">
      <c r="A741">
        <v>739</v>
      </c>
      <c r="B741" t="s">
        <v>919</v>
      </c>
      <c r="C741" t="s">
        <v>4485</v>
      </c>
      <c r="D741" t="s">
        <v>823</v>
      </c>
      <c r="E741" t="s">
        <v>153</v>
      </c>
    </row>
    <row r="742" spans="1:5">
      <c r="A742">
        <v>740</v>
      </c>
      <c r="B742" t="s">
        <v>920</v>
      </c>
      <c r="C742" t="s">
        <v>4486</v>
      </c>
      <c r="D742" t="s">
        <v>823</v>
      </c>
      <c r="E742" t="s">
        <v>153</v>
      </c>
    </row>
    <row r="743" spans="1:5">
      <c r="A743">
        <v>741</v>
      </c>
      <c r="B743" t="s">
        <v>921</v>
      </c>
      <c r="C743" t="s">
        <v>4487</v>
      </c>
      <c r="D743" t="s">
        <v>823</v>
      </c>
      <c r="E743" t="s">
        <v>153</v>
      </c>
    </row>
    <row r="744" spans="1:5">
      <c r="A744">
        <v>742</v>
      </c>
      <c r="B744" t="s">
        <v>922</v>
      </c>
      <c r="C744" t="s">
        <v>4488</v>
      </c>
      <c r="D744" t="s">
        <v>823</v>
      </c>
      <c r="E744" t="s">
        <v>153</v>
      </c>
    </row>
    <row r="745" spans="1:5">
      <c r="A745">
        <v>743</v>
      </c>
      <c r="B745" t="s">
        <v>923</v>
      </c>
      <c r="C745" t="s">
        <v>4489</v>
      </c>
      <c r="D745" t="s">
        <v>823</v>
      </c>
      <c r="E745" t="s">
        <v>153</v>
      </c>
    </row>
    <row r="746" spans="1:5">
      <c r="A746">
        <v>744</v>
      </c>
      <c r="B746" t="s">
        <v>924</v>
      </c>
      <c r="C746" t="s">
        <v>4490</v>
      </c>
      <c r="D746" t="s">
        <v>823</v>
      </c>
      <c r="E746" t="s">
        <v>153</v>
      </c>
    </row>
    <row r="747" spans="1:5">
      <c r="A747">
        <v>745</v>
      </c>
      <c r="B747" t="s">
        <v>925</v>
      </c>
      <c r="C747" t="s">
        <v>4491</v>
      </c>
      <c r="D747" t="s">
        <v>823</v>
      </c>
      <c r="E747" t="s">
        <v>153</v>
      </c>
    </row>
    <row r="748" spans="1:5">
      <c r="A748">
        <v>746</v>
      </c>
      <c r="B748" t="s">
        <v>926</v>
      </c>
      <c r="C748" t="s">
        <v>4492</v>
      </c>
      <c r="D748" t="s">
        <v>823</v>
      </c>
      <c r="E748" t="s">
        <v>153</v>
      </c>
    </row>
    <row r="749" spans="1:5">
      <c r="A749">
        <v>747</v>
      </c>
      <c r="B749" t="s">
        <v>927</v>
      </c>
      <c r="C749" t="s">
        <v>4493</v>
      </c>
      <c r="D749" t="s">
        <v>823</v>
      </c>
      <c r="E749" t="s">
        <v>153</v>
      </c>
    </row>
    <row r="750" spans="1:5">
      <c r="A750">
        <v>748</v>
      </c>
      <c r="B750" t="s">
        <v>928</v>
      </c>
      <c r="C750" t="s">
        <v>4494</v>
      </c>
      <c r="D750" t="s">
        <v>823</v>
      </c>
      <c r="E750" t="s">
        <v>153</v>
      </c>
    </row>
    <row r="751" spans="1:5">
      <c r="A751">
        <v>749</v>
      </c>
      <c r="B751" t="s">
        <v>929</v>
      </c>
      <c r="C751" t="s">
        <v>4495</v>
      </c>
      <c r="D751" t="s">
        <v>823</v>
      </c>
      <c r="E751" t="s">
        <v>153</v>
      </c>
    </row>
    <row r="752" spans="1:5">
      <c r="A752">
        <v>750</v>
      </c>
      <c r="B752" t="s">
        <v>930</v>
      </c>
      <c r="C752" t="s">
        <v>4496</v>
      </c>
      <c r="D752" t="s">
        <v>823</v>
      </c>
      <c r="E752" t="s">
        <v>153</v>
      </c>
    </row>
    <row r="753" spans="1:5">
      <c r="A753">
        <v>751</v>
      </c>
      <c r="B753" t="s">
        <v>931</v>
      </c>
      <c r="C753" t="s">
        <v>4497</v>
      </c>
      <c r="D753" t="s">
        <v>823</v>
      </c>
      <c r="E753" t="s">
        <v>153</v>
      </c>
    </row>
    <row r="754" spans="1:5">
      <c r="A754">
        <v>752</v>
      </c>
      <c r="B754" t="s">
        <v>932</v>
      </c>
      <c r="C754" t="s">
        <v>4498</v>
      </c>
      <c r="D754" t="s">
        <v>823</v>
      </c>
      <c r="E754" t="s">
        <v>153</v>
      </c>
    </row>
    <row r="755" spans="1:5">
      <c r="A755">
        <v>753</v>
      </c>
      <c r="B755" t="s">
        <v>933</v>
      </c>
      <c r="C755" t="s">
        <v>4499</v>
      </c>
      <c r="D755" t="s">
        <v>823</v>
      </c>
      <c r="E755" t="s">
        <v>153</v>
      </c>
    </row>
    <row r="756" spans="1:5">
      <c r="A756">
        <v>754</v>
      </c>
      <c r="B756" t="s">
        <v>934</v>
      </c>
      <c r="C756" t="s">
        <v>4500</v>
      </c>
      <c r="D756" t="s">
        <v>823</v>
      </c>
      <c r="E756" t="s">
        <v>153</v>
      </c>
    </row>
    <row r="757" spans="1:5">
      <c r="A757">
        <v>755</v>
      </c>
      <c r="B757" t="s">
        <v>935</v>
      </c>
      <c r="C757" t="s">
        <v>4501</v>
      </c>
      <c r="D757" t="s">
        <v>823</v>
      </c>
      <c r="E757" t="s">
        <v>153</v>
      </c>
    </row>
    <row r="758" spans="1:5">
      <c r="A758">
        <v>756</v>
      </c>
      <c r="B758" t="s">
        <v>936</v>
      </c>
      <c r="C758" t="s">
        <v>4502</v>
      </c>
      <c r="D758" t="s">
        <v>823</v>
      </c>
      <c r="E758" t="s">
        <v>153</v>
      </c>
    </row>
    <row r="759" spans="1:5">
      <c r="A759">
        <v>757</v>
      </c>
      <c r="B759" t="s">
        <v>937</v>
      </c>
      <c r="C759" t="s">
        <v>4503</v>
      </c>
      <c r="D759" t="s">
        <v>823</v>
      </c>
      <c r="E759" t="s">
        <v>153</v>
      </c>
    </row>
    <row r="760" spans="1:5">
      <c r="A760">
        <v>758</v>
      </c>
      <c r="B760" t="s">
        <v>938</v>
      </c>
      <c r="C760" t="s">
        <v>4504</v>
      </c>
      <c r="D760" t="s">
        <v>823</v>
      </c>
      <c r="E760" t="s">
        <v>153</v>
      </c>
    </row>
    <row r="761" spans="1:5">
      <c r="A761">
        <v>759</v>
      </c>
      <c r="B761" t="s">
        <v>939</v>
      </c>
      <c r="C761" t="s">
        <v>4505</v>
      </c>
      <c r="D761" t="s">
        <v>823</v>
      </c>
      <c r="E761" t="s">
        <v>153</v>
      </c>
    </row>
    <row r="762" spans="1:5">
      <c r="A762">
        <v>760</v>
      </c>
      <c r="B762" t="s">
        <v>940</v>
      </c>
      <c r="C762" t="s">
        <v>4506</v>
      </c>
      <c r="D762" t="s">
        <v>823</v>
      </c>
      <c r="E762" t="s">
        <v>153</v>
      </c>
    </row>
    <row r="763" spans="1:5">
      <c r="A763">
        <v>761</v>
      </c>
      <c r="B763" t="s">
        <v>941</v>
      </c>
      <c r="C763" t="s">
        <v>4507</v>
      </c>
      <c r="D763" t="s">
        <v>823</v>
      </c>
      <c r="E763" t="s">
        <v>153</v>
      </c>
    </row>
    <row r="764" spans="1:5">
      <c r="A764">
        <v>762</v>
      </c>
      <c r="B764" t="s">
        <v>942</v>
      </c>
      <c r="C764" t="s">
        <v>4508</v>
      </c>
      <c r="D764" t="s">
        <v>823</v>
      </c>
      <c r="E764" t="s">
        <v>153</v>
      </c>
    </row>
    <row r="765" spans="1:5">
      <c r="A765">
        <v>763</v>
      </c>
      <c r="B765" t="s">
        <v>943</v>
      </c>
      <c r="C765" t="s">
        <v>4509</v>
      </c>
      <c r="D765" t="s">
        <v>823</v>
      </c>
      <c r="E765" t="s">
        <v>153</v>
      </c>
    </row>
    <row r="766" spans="1:5">
      <c r="A766">
        <v>764</v>
      </c>
      <c r="B766" t="s">
        <v>944</v>
      </c>
      <c r="C766" t="s">
        <v>4510</v>
      </c>
      <c r="D766" t="s">
        <v>823</v>
      </c>
      <c r="E766" t="s">
        <v>153</v>
      </c>
    </row>
    <row r="767" spans="1:5">
      <c r="A767">
        <v>765</v>
      </c>
      <c r="B767" t="s">
        <v>945</v>
      </c>
      <c r="C767" t="s">
        <v>4511</v>
      </c>
      <c r="D767" t="s">
        <v>823</v>
      </c>
      <c r="E767" t="s">
        <v>153</v>
      </c>
    </row>
    <row r="768" spans="1:5">
      <c r="A768">
        <v>766</v>
      </c>
      <c r="B768" t="s">
        <v>946</v>
      </c>
      <c r="C768" t="s">
        <v>4512</v>
      </c>
      <c r="D768" t="s">
        <v>823</v>
      </c>
      <c r="E768" t="s">
        <v>153</v>
      </c>
    </row>
    <row r="769" spans="1:5">
      <c r="A769">
        <v>767</v>
      </c>
      <c r="B769" t="s">
        <v>947</v>
      </c>
      <c r="C769" t="s">
        <v>4513</v>
      </c>
      <c r="D769" t="s">
        <v>823</v>
      </c>
      <c r="E769" t="s">
        <v>153</v>
      </c>
    </row>
    <row r="770" spans="1:5">
      <c r="A770">
        <v>768</v>
      </c>
      <c r="B770" t="s">
        <v>948</v>
      </c>
      <c r="C770" t="s">
        <v>4514</v>
      </c>
      <c r="D770" t="s">
        <v>823</v>
      </c>
      <c r="E770" t="s">
        <v>153</v>
      </c>
    </row>
    <row r="771" spans="1:5">
      <c r="A771">
        <v>769</v>
      </c>
      <c r="B771" t="s">
        <v>949</v>
      </c>
      <c r="C771" t="s">
        <v>4515</v>
      </c>
      <c r="D771" t="s">
        <v>823</v>
      </c>
      <c r="E771" t="s">
        <v>153</v>
      </c>
    </row>
    <row r="772" spans="1:5">
      <c r="A772">
        <v>770</v>
      </c>
      <c r="B772" t="s">
        <v>950</v>
      </c>
      <c r="C772" t="s">
        <v>4516</v>
      </c>
      <c r="D772" t="s">
        <v>823</v>
      </c>
      <c r="E772" t="s">
        <v>153</v>
      </c>
    </row>
    <row r="773" spans="1:5">
      <c r="A773">
        <v>771</v>
      </c>
      <c r="B773" t="s">
        <v>951</v>
      </c>
      <c r="C773" t="s">
        <v>4517</v>
      </c>
      <c r="D773" t="s">
        <v>823</v>
      </c>
      <c r="E773" t="s">
        <v>153</v>
      </c>
    </row>
    <row r="774" spans="1:5">
      <c r="A774">
        <v>772</v>
      </c>
      <c r="B774" t="s">
        <v>375</v>
      </c>
      <c r="C774" t="s">
        <v>3950</v>
      </c>
      <c r="D774" t="s">
        <v>823</v>
      </c>
      <c r="E774" t="s">
        <v>153</v>
      </c>
    </row>
    <row r="775" spans="1:5">
      <c r="A775">
        <v>773</v>
      </c>
      <c r="B775" t="s">
        <v>952</v>
      </c>
      <c r="C775" t="s">
        <v>4518</v>
      </c>
      <c r="D775" t="s">
        <v>823</v>
      </c>
      <c r="E775" t="s">
        <v>153</v>
      </c>
    </row>
    <row r="776" spans="1:5">
      <c r="A776">
        <v>774</v>
      </c>
      <c r="B776" t="s">
        <v>953</v>
      </c>
      <c r="C776" t="s">
        <v>4519</v>
      </c>
      <c r="D776" t="s">
        <v>823</v>
      </c>
      <c r="E776" t="s">
        <v>153</v>
      </c>
    </row>
    <row r="777" spans="1:5">
      <c r="A777">
        <v>775</v>
      </c>
      <c r="B777" t="s">
        <v>954</v>
      </c>
      <c r="C777" t="s">
        <v>4520</v>
      </c>
      <c r="D777" t="s">
        <v>823</v>
      </c>
      <c r="E777" t="s">
        <v>153</v>
      </c>
    </row>
    <row r="778" spans="1:5">
      <c r="A778">
        <v>776</v>
      </c>
      <c r="B778" t="s">
        <v>955</v>
      </c>
      <c r="C778" t="s">
        <v>4521</v>
      </c>
      <c r="D778" t="s">
        <v>823</v>
      </c>
      <c r="E778" t="s">
        <v>153</v>
      </c>
    </row>
    <row r="779" spans="1:5">
      <c r="A779">
        <v>777</v>
      </c>
      <c r="B779" t="s">
        <v>956</v>
      </c>
      <c r="C779" t="s">
        <v>4522</v>
      </c>
      <c r="D779" t="s">
        <v>823</v>
      </c>
      <c r="E779" t="s">
        <v>153</v>
      </c>
    </row>
    <row r="780" spans="1:5">
      <c r="A780">
        <v>778</v>
      </c>
      <c r="B780" t="s">
        <v>957</v>
      </c>
      <c r="C780" t="s">
        <v>4523</v>
      </c>
      <c r="D780" t="s">
        <v>823</v>
      </c>
      <c r="E780" t="s">
        <v>153</v>
      </c>
    </row>
    <row r="781" spans="1:5">
      <c r="A781">
        <v>779</v>
      </c>
      <c r="B781" t="s">
        <v>958</v>
      </c>
      <c r="C781" t="s">
        <v>4524</v>
      </c>
      <c r="D781" t="s">
        <v>823</v>
      </c>
      <c r="E781" t="s">
        <v>153</v>
      </c>
    </row>
    <row r="782" spans="1:5">
      <c r="A782">
        <v>780</v>
      </c>
      <c r="B782" t="s">
        <v>959</v>
      </c>
      <c r="C782" t="s">
        <v>4525</v>
      </c>
      <c r="D782" t="s">
        <v>823</v>
      </c>
      <c r="E782" t="s">
        <v>153</v>
      </c>
    </row>
    <row r="783" spans="1:5">
      <c r="A783">
        <v>781</v>
      </c>
      <c r="B783" t="s">
        <v>960</v>
      </c>
      <c r="C783" t="s">
        <v>4526</v>
      </c>
      <c r="D783" t="s">
        <v>823</v>
      </c>
      <c r="E783" t="s">
        <v>153</v>
      </c>
    </row>
    <row r="784" spans="1:5">
      <c r="A784">
        <v>782</v>
      </c>
      <c r="B784" t="s">
        <v>961</v>
      </c>
      <c r="C784" t="s">
        <v>4527</v>
      </c>
      <c r="D784" t="s">
        <v>823</v>
      </c>
      <c r="E784" t="s">
        <v>153</v>
      </c>
    </row>
    <row r="785" spans="1:5">
      <c r="A785">
        <v>783</v>
      </c>
      <c r="B785" t="s">
        <v>962</v>
      </c>
      <c r="C785" t="s">
        <v>4528</v>
      </c>
      <c r="D785" t="s">
        <v>823</v>
      </c>
      <c r="E785" t="s">
        <v>153</v>
      </c>
    </row>
    <row r="786" spans="1:5">
      <c r="A786">
        <v>784</v>
      </c>
      <c r="B786" t="s">
        <v>963</v>
      </c>
      <c r="C786" t="s">
        <v>4529</v>
      </c>
      <c r="D786" t="s">
        <v>823</v>
      </c>
      <c r="E786" t="s">
        <v>153</v>
      </c>
    </row>
    <row r="787" spans="1:5">
      <c r="A787">
        <v>785</v>
      </c>
      <c r="B787" t="s">
        <v>964</v>
      </c>
      <c r="C787" t="s">
        <v>4530</v>
      </c>
      <c r="D787" t="s">
        <v>823</v>
      </c>
      <c r="E787" t="s">
        <v>153</v>
      </c>
    </row>
    <row r="788" spans="1:5">
      <c r="A788">
        <v>786</v>
      </c>
      <c r="B788" t="s">
        <v>384</v>
      </c>
      <c r="C788" t="s">
        <v>3959</v>
      </c>
      <c r="D788" t="s">
        <v>823</v>
      </c>
      <c r="E788" t="s">
        <v>153</v>
      </c>
    </row>
    <row r="789" spans="1:5">
      <c r="A789">
        <v>787</v>
      </c>
      <c r="B789" t="s">
        <v>965</v>
      </c>
      <c r="C789" t="s">
        <v>4531</v>
      </c>
      <c r="D789" t="s">
        <v>823</v>
      </c>
      <c r="E789" t="s">
        <v>153</v>
      </c>
    </row>
    <row r="790" spans="1:5">
      <c r="A790">
        <v>788</v>
      </c>
      <c r="B790" t="s">
        <v>966</v>
      </c>
      <c r="C790" t="s">
        <v>4532</v>
      </c>
      <c r="D790" t="s">
        <v>823</v>
      </c>
      <c r="E790" t="s">
        <v>153</v>
      </c>
    </row>
    <row r="791" spans="1:5">
      <c r="A791">
        <v>789</v>
      </c>
      <c r="B791" t="s">
        <v>967</v>
      </c>
      <c r="C791" t="s">
        <v>4533</v>
      </c>
      <c r="D791" t="s">
        <v>823</v>
      </c>
      <c r="E791" t="s">
        <v>153</v>
      </c>
    </row>
    <row r="792" spans="1:5">
      <c r="A792">
        <v>790</v>
      </c>
      <c r="B792" t="s">
        <v>968</v>
      </c>
      <c r="C792" t="s">
        <v>4534</v>
      </c>
      <c r="D792" t="s">
        <v>823</v>
      </c>
      <c r="E792" t="s">
        <v>153</v>
      </c>
    </row>
    <row r="793" spans="1:5">
      <c r="A793">
        <v>791</v>
      </c>
      <c r="B793" t="s">
        <v>969</v>
      </c>
      <c r="C793" t="s">
        <v>4535</v>
      </c>
      <c r="D793" t="s">
        <v>823</v>
      </c>
      <c r="E793" t="s">
        <v>153</v>
      </c>
    </row>
    <row r="794" spans="1:5">
      <c r="A794">
        <v>792</v>
      </c>
      <c r="B794" t="s">
        <v>970</v>
      </c>
      <c r="C794" t="s">
        <v>4536</v>
      </c>
      <c r="D794" t="s">
        <v>823</v>
      </c>
      <c r="E794" t="s">
        <v>153</v>
      </c>
    </row>
    <row r="795" spans="1:5">
      <c r="A795">
        <v>793</v>
      </c>
      <c r="B795" t="s">
        <v>971</v>
      </c>
      <c r="C795" t="s">
        <v>4537</v>
      </c>
      <c r="D795" t="s">
        <v>823</v>
      </c>
      <c r="E795" t="s">
        <v>153</v>
      </c>
    </row>
    <row r="796" spans="1:5">
      <c r="A796">
        <v>794</v>
      </c>
      <c r="B796" t="s">
        <v>972</v>
      </c>
      <c r="C796" t="s">
        <v>4538</v>
      </c>
      <c r="D796" t="s">
        <v>823</v>
      </c>
      <c r="E796" t="s">
        <v>153</v>
      </c>
    </row>
    <row r="797" spans="1:5">
      <c r="A797">
        <v>795</v>
      </c>
      <c r="B797" t="s">
        <v>973</v>
      </c>
      <c r="C797" t="s">
        <v>4539</v>
      </c>
      <c r="D797" t="s">
        <v>823</v>
      </c>
      <c r="E797" t="s">
        <v>153</v>
      </c>
    </row>
    <row r="798" spans="1:5">
      <c r="A798">
        <v>796</v>
      </c>
      <c r="B798" t="s">
        <v>974</v>
      </c>
      <c r="C798" t="s">
        <v>4540</v>
      </c>
      <c r="D798" t="s">
        <v>823</v>
      </c>
      <c r="E798" t="s">
        <v>153</v>
      </c>
    </row>
    <row r="799" spans="1:5">
      <c r="A799">
        <v>797</v>
      </c>
      <c r="B799" t="s">
        <v>975</v>
      </c>
      <c r="C799" t="s">
        <v>4541</v>
      </c>
      <c r="D799" t="s">
        <v>823</v>
      </c>
      <c r="E799" t="s">
        <v>153</v>
      </c>
    </row>
    <row r="800" spans="1:5">
      <c r="A800">
        <v>798</v>
      </c>
      <c r="B800" t="s">
        <v>976</v>
      </c>
      <c r="C800" t="s">
        <v>4542</v>
      </c>
      <c r="D800" t="s">
        <v>823</v>
      </c>
      <c r="E800" t="s">
        <v>153</v>
      </c>
    </row>
    <row r="801" spans="1:5">
      <c r="A801">
        <v>799</v>
      </c>
      <c r="B801" t="s">
        <v>977</v>
      </c>
      <c r="C801" t="s">
        <v>4543</v>
      </c>
      <c r="D801" t="s">
        <v>823</v>
      </c>
      <c r="E801" t="s">
        <v>153</v>
      </c>
    </row>
    <row r="802" spans="1:5">
      <c r="A802">
        <v>800</v>
      </c>
      <c r="B802" t="s">
        <v>978</v>
      </c>
      <c r="C802" t="s">
        <v>4544</v>
      </c>
      <c r="D802" t="s">
        <v>823</v>
      </c>
      <c r="E802" t="s">
        <v>153</v>
      </c>
    </row>
    <row r="803" spans="1:5">
      <c r="A803">
        <v>801</v>
      </c>
      <c r="B803" t="s">
        <v>979</v>
      </c>
      <c r="C803" t="s">
        <v>4545</v>
      </c>
      <c r="D803" t="s">
        <v>823</v>
      </c>
      <c r="E803" t="s">
        <v>153</v>
      </c>
    </row>
    <row r="804" spans="1:5">
      <c r="A804">
        <v>802</v>
      </c>
      <c r="B804" t="s">
        <v>980</v>
      </c>
      <c r="C804" t="s">
        <v>4546</v>
      </c>
      <c r="D804" t="s">
        <v>823</v>
      </c>
      <c r="E804" t="s">
        <v>153</v>
      </c>
    </row>
    <row r="805" spans="1:5">
      <c r="A805">
        <v>803</v>
      </c>
      <c r="B805" t="s">
        <v>981</v>
      </c>
      <c r="C805" t="s">
        <v>4547</v>
      </c>
      <c r="D805" t="s">
        <v>823</v>
      </c>
      <c r="E805" t="s">
        <v>153</v>
      </c>
    </row>
    <row r="806" spans="1:5">
      <c r="A806">
        <v>804</v>
      </c>
      <c r="B806" t="s">
        <v>982</v>
      </c>
      <c r="C806" t="s">
        <v>4548</v>
      </c>
      <c r="D806" t="s">
        <v>823</v>
      </c>
      <c r="E806" t="s">
        <v>153</v>
      </c>
    </row>
    <row r="807" spans="1:5">
      <c r="A807">
        <v>805</v>
      </c>
      <c r="B807" t="s">
        <v>983</v>
      </c>
      <c r="C807" t="s">
        <v>4549</v>
      </c>
      <c r="D807" t="s">
        <v>823</v>
      </c>
      <c r="E807" t="s">
        <v>153</v>
      </c>
    </row>
    <row r="808" spans="1:5">
      <c r="A808">
        <v>806</v>
      </c>
      <c r="B808" t="s">
        <v>984</v>
      </c>
      <c r="C808" t="s">
        <v>4550</v>
      </c>
      <c r="D808" t="s">
        <v>823</v>
      </c>
      <c r="E808" t="s">
        <v>153</v>
      </c>
    </row>
    <row r="809" spans="1:5">
      <c r="A809">
        <v>807</v>
      </c>
      <c r="B809" t="s">
        <v>985</v>
      </c>
      <c r="C809" t="s">
        <v>4551</v>
      </c>
      <c r="D809" t="s">
        <v>823</v>
      </c>
      <c r="E809" t="s">
        <v>153</v>
      </c>
    </row>
    <row r="810" spans="1:5">
      <c r="A810">
        <v>808</v>
      </c>
      <c r="B810" t="s">
        <v>986</v>
      </c>
      <c r="C810" t="s">
        <v>4552</v>
      </c>
      <c r="D810" t="s">
        <v>823</v>
      </c>
      <c r="E810" t="s">
        <v>153</v>
      </c>
    </row>
    <row r="811" spans="1:5">
      <c r="A811">
        <v>809</v>
      </c>
      <c r="B811" t="s">
        <v>987</v>
      </c>
      <c r="C811" t="s">
        <v>4553</v>
      </c>
      <c r="D811" t="s">
        <v>823</v>
      </c>
      <c r="E811" t="s">
        <v>153</v>
      </c>
    </row>
    <row r="812" spans="1:5">
      <c r="A812">
        <v>810</v>
      </c>
      <c r="B812" t="s">
        <v>988</v>
      </c>
      <c r="C812" t="s">
        <v>4554</v>
      </c>
      <c r="D812" t="s">
        <v>823</v>
      </c>
      <c r="E812" t="s">
        <v>153</v>
      </c>
    </row>
    <row r="813" spans="1:5">
      <c r="A813">
        <v>811</v>
      </c>
      <c r="B813" t="s">
        <v>989</v>
      </c>
      <c r="C813" t="s">
        <v>4555</v>
      </c>
      <c r="D813" t="s">
        <v>823</v>
      </c>
      <c r="E813" t="s">
        <v>153</v>
      </c>
    </row>
    <row r="814" spans="1:5">
      <c r="A814">
        <v>812</v>
      </c>
      <c r="B814" t="s">
        <v>990</v>
      </c>
      <c r="C814" t="s">
        <v>4556</v>
      </c>
      <c r="D814" t="s">
        <v>823</v>
      </c>
      <c r="E814" t="s">
        <v>153</v>
      </c>
    </row>
    <row r="815" spans="1:5">
      <c r="A815">
        <v>813</v>
      </c>
      <c r="B815" t="s">
        <v>991</v>
      </c>
      <c r="C815" t="s">
        <v>4557</v>
      </c>
      <c r="D815" t="s">
        <v>823</v>
      </c>
      <c r="E815" t="s">
        <v>153</v>
      </c>
    </row>
    <row r="816" spans="1:5">
      <c r="A816">
        <v>814</v>
      </c>
      <c r="B816" t="s">
        <v>992</v>
      </c>
      <c r="C816" t="s">
        <v>4558</v>
      </c>
      <c r="D816" t="s">
        <v>823</v>
      </c>
      <c r="E816" t="s">
        <v>153</v>
      </c>
    </row>
    <row r="817" spans="1:5">
      <c r="A817">
        <v>815</v>
      </c>
      <c r="B817" t="s">
        <v>993</v>
      </c>
      <c r="C817" t="s">
        <v>4559</v>
      </c>
      <c r="D817" t="s">
        <v>823</v>
      </c>
      <c r="E817" t="s">
        <v>153</v>
      </c>
    </row>
    <row r="818" spans="1:5">
      <c r="A818">
        <v>816</v>
      </c>
      <c r="B818" t="s">
        <v>994</v>
      </c>
      <c r="C818" t="s">
        <v>4560</v>
      </c>
      <c r="D818" t="s">
        <v>823</v>
      </c>
      <c r="E818" t="s">
        <v>153</v>
      </c>
    </row>
    <row r="819" spans="1:5">
      <c r="A819">
        <v>817</v>
      </c>
      <c r="B819" t="s">
        <v>995</v>
      </c>
      <c r="C819" t="s">
        <v>4561</v>
      </c>
      <c r="D819" t="s">
        <v>823</v>
      </c>
      <c r="E819" t="s">
        <v>153</v>
      </c>
    </row>
    <row r="820" spans="1:5">
      <c r="A820">
        <v>818</v>
      </c>
      <c r="B820" t="s">
        <v>996</v>
      </c>
      <c r="C820" t="s">
        <v>4562</v>
      </c>
      <c r="D820" t="s">
        <v>823</v>
      </c>
      <c r="E820" t="s">
        <v>153</v>
      </c>
    </row>
    <row r="821" spans="1:5">
      <c r="A821">
        <v>819</v>
      </c>
      <c r="B821" t="s">
        <v>997</v>
      </c>
      <c r="C821" t="s">
        <v>4563</v>
      </c>
      <c r="D821" t="s">
        <v>823</v>
      </c>
      <c r="E821" t="s">
        <v>153</v>
      </c>
    </row>
    <row r="822" spans="1:5">
      <c r="A822">
        <v>820</v>
      </c>
      <c r="B822" t="s">
        <v>998</v>
      </c>
      <c r="C822" t="s">
        <v>4564</v>
      </c>
      <c r="D822" t="s">
        <v>823</v>
      </c>
      <c r="E822" t="s">
        <v>153</v>
      </c>
    </row>
    <row r="823" spans="1:5">
      <c r="A823">
        <v>821</v>
      </c>
      <c r="B823" t="s">
        <v>999</v>
      </c>
      <c r="C823" t="s">
        <v>4565</v>
      </c>
      <c r="D823" t="s">
        <v>823</v>
      </c>
      <c r="E823" t="s">
        <v>153</v>
      </c>
    </row>
    <row r="824" spans="1:5">
      <c r="A824">
        <v>822</v>
      </c>
      <c r="B824" t="s">
        <v>1000</v>
      </c>
      <c r="C824" t="s">
        <v>4566</v>
      </c>
      <c r="D824" t="s">
        <v>823</v>
      </c>
      <c r="E824" t="s">
        <v>153</v>
      </c>
    </row>
    <row r="825" spans="1:5">
      <c r="A825">
        <v>823</v>
      </c>
      <c r="B825" t="s">
        <v>1001</v>
      </c>
      <c r="C825" t="s">
        <v>4567</v>
      </c>
      <c r="D825" t="s">
        <v>823</v>
      </c>
      <c r="E825" t="s">
        <v>153</v>
      </c>
    </row>
    <row r="826" spans="1:5">
      <c r="A826">
        <v>824</v>
      </c>
      <c r="B826" t="s">
        <v>1002</v>
      </c>
      <c r="C826" t="s">
        <v>4568</v>
      </c>
      <c r="D826" t="s">
        <v>823</v>
      </c>
      <c r="E826" t="s">
        <v>153</v>
      </c>
    </row>
    <row r="827" spans="1:5">
      <c r="A827">
        <v>825</v>
      </c>
      <c r="B827" t="s">
        <v>1003</v>
      </c>
      <c r="C827" t="s">
        <v>4569</v>
      </c>
      <c r="D827" t="s">
        <v>823</v>
      </c>
      <c r="E827" t="s">
        <v>153</v>
      </c>
    </row>
    <row r="828" spans="1:5">
      <c r="A828">
        <v>826</v>
      </c>
      <c r="B828" t="s">
        <v>1004</v>
      </c>
      <c r="C828" t="s">
        <v>4570</v>
      </c>
      <c r="D828" t="s">
        <v>823</v>
      </c>
      <c r="E828" t="s">
        <v>153</v>
      </c>
    </row>
    <row r="829" spans="1:5">
      <c r="A829">
        <v>827</v>
      </c>
      <c r="B829" t="s">
        <v>1005</v>
      </c>
      <c r="C829" t="s">
        <v>4571</v>
      </c>
      <c r="D829" t="s">
        <v>823</v>
      </c>
      <c r="E829" t="s">
        <v>153</v>
      </c>
    </row>
    <row r="830" spans="1:5">
      <c r="A830">
        <v>828</v>
      </c>
      <c r="B830" t="s">
        <v>1006</v>
      </c>
      <c r="C830" t="s">
        <v>4572</v>
      </c>
      <c r="D830" t="s">
        <v>823</v>
      </c>
      <c r="E830" t="s">
        <v>153</v>
      </c>
    </row>
    <row r="831" spans="1:5">
      <c r="A831">
        <v>829</v>
      </c>
      <c r="B831" t="s">
        <v>1007</v>
      </c>
      <c r="C831" t="s">
        <v>4573</v>
      </c>
      <c r="D831" t="s">
        <v>823</v>
      </c>
      <c r="E831" t="s">
        <v>153</v>
      </c>
    </row>
    <row r="832" spans="1:5">
      <c r="A832">
        <v>830</v>
      </c>
      <c r="B832" t="s">
        <v>1008</v>
      </c>
      <c r="C832" t="s">
        <v>4574</v>
      </c>
      <c r="D832" t="s">
        <v>823</v>
      </c>
      <c r="E832" t="s">
        <v>153</v>
      </c>
    </row>
    <row r="833" spans="1:5">
      <c r="A833">
        <v>831</v>
      </c>
      <c r="B833" t="s">
        <v>1009</v>
      </c>
      <c r="C833" t="s">
        <v>4575</v>
      </c>
      <c r="D833" t="s">
        <v>823</v>
      </c>
      <c r="E833" t="s">
        <v>153</v>
      </c>
    </row>
    <row r="834" spans="1:5">
      <c r="A834">
        <v>832</v>
      </c>
      <c r="B834" t="s">
        <v>1010</v>
      </c>
      <c r="C834" t="s">
        <v>4576</v>
      </c>
      <c r="D834" t="s">
        <v>823</v>
      </c>
      <c r="E834" t="s">
        <v>153</v>
      </c>
    </row>
    <row r="835" spans="1:5">
      <c r="A835">
        <v>833</v>
      </c>
      <c r="B835" t="s">
        <v>1011</v>
      </c>
      <c r="C835" t="s">
        <v>4577</v>
      </c>
      <c r="D835" t="s">
        <v>823</v>
      </c>
      <c r="E835" t="s">
        <v>153</v>
      </c>
    </row>
    <row r="836" spans="1:5">
      <c r="A836">
        <v>834</v>
      </c>
      <c r="B836" t="s">
        <v>1012</v>
      </c>
      <c r="C836" t="s">
        <v>7330</v>
      </c>
      <c r="D836" t="s">
        <v>823</v>
      </c>
      <c r="E836" t="s">
        <v>153</v>
      </c>
    </row>
    <row r="837" spans="1:5">
      <c r="A837">
        <v>835</v>
      </c>
      <c r="B837" t="s">
        <v>1013</v>
      </c>
      <c r="C837" t="s">
        <v>4578</v>
      </c>
      <c r="D837" t="s">
        <v>823</v>
      </c>
      <c r="E837" t="s">
        <v>153</v>
      </c>
    </row>
    <row r="838" spans="1:5">
      <c r="A838">
        <v>836</v>
      </c>
      <c r="B838" t="s">
        <v>1014</v>
      </c>
      <c r="C838" t="s">
        <v>4579</v>
      </c>
      <c r="D838" t="s">
        <v>823</v>
      </c>
      <c r="E838" t="s">
        <v>153</v>
      </c>
    </row>
    <row r="839" spans="1:5">
      <c r="A839">
        <v>837</v>
      </c>
      <c r="B839" t="s">
        <v>1015</v>
      </c>
      <c r="C839" t="s">
        <v>4580</v>
      </c>
      <c r="D839" t="s">
        <v>823</v>
      </c>
      <c r="E839" t="s">
        <v>153</v>
      </c>
    </row>
    <row r="840" spans="1:5">
      <c r="A840">
        <v>838</v>
      </c>
      <c r="B840" t="s">
        <v>1016</v>
      </c>
      <c r="C840" t="s">
        <v>4581</v>
      </c>
      <c r="D840" t="s">
        <v>823</v>
      </c>
      <c r="E840" t="s">
        <v>153</v>
      </c>
    </row>
    <row r="841" spans="1:5">
      <c r="A841">
        <v>839</v>
      </c>
      <c r="B841" t="s">
        <v>1017</v>
      </c>
      <c r="C841" t="s">
        <v>4582</v>
      </c>
      <c r="D841" t="s">
        <v>823</v>
      </c>
      <c r="E841" t="s">
        <v>153</v>
      </c>
    </row>
    <row r="842" spans="1:5">
      <c r="A842">
        <v>840</v>
      </c>
      <c r="B842" t="s">
        <v>1018</v>
      </c>
      <c r="C842" t="s">
        <v>4583</v>
      </c>
      <c r="D842" t="s">
        <v>823</v>
      </c>
      <c r="E842" t="s">
        <v>153</v>
      </c>
    </row>
    <row r="843" spans="1:5">
      <c r="A843">
        <v>841</v>
      </c>
      <c r="B843" t="s">
        <v>1019</v>
      </c>
      <c r="C843" t="s">
        <v>4584</v>
      </c>
      <c r="D843" t="s">
        <v>823</v>
      </c>
      <c r="E843" t="s">
        <v>153</v>
      </c>
    </row>
    <row r="844" spans="1:5">
      <c r="A844">
        <v>842</v>
      </c>
      <c r="B844" t="s">
        <v>1020</v>
      </c>
      <c r="C844" t="s">
        <v>4585</v>
      </c>
      <c r="D844" t="s">
        <v>823</v>
      </c>
      <c r="E844" t="s">
        <v>153</v>
      </c>
    </row>
    <row r="845" spans="1:5">
      <c r="A845">
        <v>843</v>
      </c>
      <c r="B845" t="s">
        <v>1021</v>
      </c>
      <c r="C845" t="s">
        <v>4586</v>
      </c>
      <c r="D845" t="s">
        <v>823</v>
      </c>
      <c r="E845" t="s">
        <v>153</v>
      </c>
    </row>
    <row r="846" spans="1:5">
      <c r="A846">
        <v>844</v>
      </c>
      <c r="B846" t="s">
        <v>1022</v>
      </c>
      <c r="C846" t="s">
        <v>4587</v>
      </c>
      <c r="D846" t="s">
        <v>823</v>
      </c>
      <c r="E846" t="s">
        <v>153</v>
      </c>
    </row>
    <row r="847" spans="1:5">
      <c r="A847">
        <v>845</v>
      </c>
      <c r="B847" t="s">
        <v>433</v>
      </c>
      <c r="C847" t="s">
        <v>4007</v>
      </c>
      <c r="D847" t="s">
        <v>823</v>
      </c>
      <c r="E847" t="s">
        <v>153</v>
      </c>
    </row>
    <row r="848" spans="1:5">
      <c r="A848">
        <v>846</v>
      </c>
      <c r="B848" t="s">
        <v>1023</v>
      </c>
      <c r="C848" t="s">
        <v>4588</v>
      </c>
      <c r="D848" t="s">
        <v>823</v>
      </c>
      <c r="E848" t="s">
        <v>153</v>
      </c>
    </row>
    <row r="849" spans="1:5">
      <c r="A849">
        <v>847</v>
      </c>
      <c r="B849" t="s">
        <v>1024</v>
      </c>
      <c r="C849" t="s">
        <v>4589</v>
      </c>
      <c r="D849" t="s">
        <v>823</v>
      </c>
      <c r="E849" t="s">
        <v>153</v>
      </c>
    </row>
    <row r="850" spans="1:5">
      <c r="A850">
        <v>848</v>
      </c>
      <c r="B850" t="s">
        <v>1025</v>
      </c>
      <c r="C850" t="s">
        <v>4590</v>
      </c>
      <c r="D850" t="s">
        <v>823</v>
      </c>
      <c r="E850" t="s">
        <v>153</v>
      </c>
    </row>
    <row r="851" spans="1:5">
      <c r="A851">
        <v>849</v>
      </c>
      <c r="B851" t="s">
        <v>1026</v>
      </c>
      <c r="C851" t="s">
        <v>4591</v>
      </c>
      <c r="D851" t="s">
        <v>823</v>
      </c>
      <c r="E851" t="s">
        <v>153</v>
      </c>
    </row>
    <row r="852" spans="1:5">
      <c r="A852">
        <v>850</v>
      </c>
      <c r="B852" t="s">
        <v>1027</v>
      </c>
      <c r="C852" t="s">
        <v>4592</v>
      </c>
      <c r="D852" t="s">
        <v>823</v>
      </c>
      <c r="E852" t="s">
        <v>153</v>
      </c>
    </row>
    <row r="853" spans="1:5">
      <c r="A853">
        <v>851</v>
      </c>
      <c r="B853" t="s">
        <v>1028</v>
      </c>
      <c r="C853" t="s">
        <v>4593</v>
      </c>
      <c r="D853" t="s">
        <v>823</v>
      </c>
      <c r="E853" t="s">
        <v>153</v>
      </c>
    </row>
    <row r="854" spans="1:5">
      <c r="A854">
        <v>852</v>
      </c>
      <c r="B854" t="s">
        <v>1029</v>
      </c>
      <c r="C854" t="s">
        <v>4594</v>
      </c>
      <c r="D854" t="s">
        <v>823</v>
      </c>
      <c r="E854" t="s">
        <v>153</v>
      </c>
    </row>
    <row r="855" spans="1:5">
      <c r="A855">
        <v>853</v>
      </c>
      <c r="B855" t="s">
        <v>1030</v>
      </c>
      <c r="C855" t="s">
        <v>4595</v>
      </c>
      <c r="D855" t="s">
        <v>823</v>
      </c>
      <c r="E855" t="s">
        <v>153</v>
      </c>
    </row>
    <row r="856" spans="1:5">
      <c r="A856">
        <v>854</v>
      </c>
      <c r="B856" t="s">
        <v>1031</v>
      </c>
      <c r="C856" t="s">
        <v>4596</v>
      </c>
      <c r="D856" t="s">
        <v>823</v>
      </c>
      <c r="E856" t="s">
        <v>153</v>
      </c>
    </row>
    <row r="857" spans="1:5">
      <c r="A857">
        <v>855</v>
      </c>
      <c r="B857" t="s">
        <v>1032</v>
      </c>
      <c r="C857" t="s">
        <v>4597</v>
      </c>
      <c r="D857" t="s">
        <v>823</v>
      </c>
      <c r="E857" t="s">
        <v>153</v>
      </c>
    </row>
    <row r="858" spans="1:5">
      <c r="A858">
        <v>856</v>
      </c>
      <c r="B858" t="s">
        <v>1033</v>
      </c>
      <c r="C858" t="s">
        <v>4598</v>
      </c>
      <c r="D858" t="s">
        <v>823</v>
      </c>
      <c r="E858" t="s">
        <v>153</v>
      </c>
    </row>
    <row r="859" spans="1:5">
      <c r="A859">
        <v>857</v>
      </c>
      <c r="B859" t="s">
        <v>1034</v>
      </c>
      <c r="C859" t="s">
        <v>4599</v>
      </c>
      <c r="D859" t="s">
        <v>823</v>
      </c>
      <c r="E859" t="s">
        <v>153</v>
      </c>
    </row>
    <row r="860" spans="1:5">
      <c r="A860">
        <v>858</v>
      </c>
      <c r="B860" t="s">
        <v>1035</v>
      </c>
      <c r="C860" t="s">
        <v>4600</v>
      </c>
      <c r="D860" t="s">
        <v>823</v>
      </c>
      <c r="E860" t="s">
        <v>153</v>
      </c>
    </row>
    <row r="861" spans="1:5">
      <c r="A861">
        <v>859</v>
      </c>
      <c r="B861" t="s">
        <v>1036</v>
      </c>
      <c r="C861" t="s">
        <v>4601</v>
      </c>
      <c r="D861" t="s">
        <v>823</v>
      </c>
      <c r="E861" t="s">
        <v>153</v>
      </c>
    </row>
    <row r="862" spans="1:5">
      <c r="A862">
        <v>860</v>
      </c>
      <c r="B862" t="s">
        <v>1037</v>
      </c>
      <c r="C862" t="s">
        <v>4602</v>
      </c>
      <c r="D862" t="s">
        <v>823</v>
      </c>
      <c r="E862" t="s">
        <v>153</v>
      </c>
    </row>
    <row r="863" spans="1:5">
      <c r="A863">
        <v>861</v>
      </c>
      <c r="B863" t="s">
        <v>1038</v>
      </c>
      <c r="C863" t="s">
        <v>4603</v>
      </c>
      <c r="D863" t="s">
        <v>823</v>
      </c>
      <c r="E863" t="s">
        <v>153</v>
      </c>
    </row>
    <row r="864" spans="1:5">
      <c r="A864">
        <v>862</v>
      </c>
      <c r="B864" t="s">
        <v>1039</v>
      </c>
      <c r="C864" t="s">
        <v>4604</v>
      </c>
      <c r="D864" t="s">
        <v>823</v>
      </c>
      <c r="E864" t="s">
        <v>153</v>
      </c>
    </row>
    <row r="865" spans="1:5">
      <c r="A865">
        <v>863</v>
      </c>
      <c r="B865" t="s">
        <v>1040</v>
      </c>
      <c r="C865" t="s">
        <v>4605</v>
      </c>
      <c r="D865" t="s">
        <v>823</v>
      </c>
      <c r="E865" t="s">
        <v>153</v>
      </c>
    </row>
    <row r="866" spans="1:5">
      <c r="A866">
        <v>864</v>
      </c>
      <c r="B866" t="s">
        <v>1041</v>
      </c>
      <c r="C866" t="s">
        <v>4606</v>
      </c>
      <c r="D866" t="s">
        <v>823</v>
      </c>
      <c r="E866" t="s">
        <v>153</v>
      </c>
    </row>
    <row r="867" spans="1:5">
      <c r="A867">
        <v>865</v>
      </c>
      <c r="B867" t="s">
        <v>1042</v>
      </c>
      <c r="C867" t="s">
        <v>4607</v>
      </c>
      <c r="D867" t="s">
        <v>823</v>
      </c>
      <c r="E867" t="s">
        <v>153</v>
      </c>
    </row>
    <row r="868" spans="1:5">
      <c r="A868">
        <v>866</v>
      </c>
      <c r="B868" t="s">
        <v>1043</v>
      </c>
      <c r="C868" t="s">
        <v>4608</v>
      </c>
      <c r="D868" t="s">
        <v>823</v>
      </c>
      <c r="E868" t="s">
        <v>153</v>
      </c>
    </row>
    <row r="869" spans="1:5">
      <c r="A869">
        <v>867</v>
      </c>
      <c r="B869" t="s">
        <v>1044</v>
      </c>
      <c r="C869" t="s">
        <v>4609</v>
      </c>
      <c r="D869" t="s">
        <v>823</v>
      </c>
      <c r="E869" t="s">
        <v>153</v>
      </c>
    </row>
    <row r="870" spans="1:5">
      <c r="A870">
        <v>868</v>
      </c>
      <c r="B870" t="s">
        <v>1045</v>
      </c>
      <c r="C870" t="s">
        <v>4610</v>
      </c>
      <c r="D870" t="s">
        <v>823</v>
      </c>
      <c r="E870" t="s">
        <v>153</v>
      </c>
    </row>
    <row r="871" spans="1:5">
      <c r="A871">
        <v>869</v>
      </c>
      <c r="B871" t="s">
        <v>1046</v>
      </c>
      <c r="C871" t="s">
        <v>4611</v>
      </c>
      <c r="D871" t="s">
        <v>823</v>
      </c>
      <c r="E871" t="s">
        <v>153</v>
      </c>
    </row>
    <row r="872" spans="1:5">
      <c r="A872">
        <v>870</v>
      </c>
      <c r="B872" t="s">
        <v>1047</v>
      </c>
      <c r="C872" t="s">
        <v>4612</v>
      </c>
      <c r="D872" t="s">
        <v>823</v>
      </c>
      <c r="E872" t="s">
        <v>153</v>
      </c>
    </row>
    <row r="873" spans="1:5">
      <c r="A873">
        <v>871</v>
      </c>
      <c r="B873" t="s">
        <v>1048</v>
      </c>
      <c r="C873" t="s">
        <v>4613</v>
      </c>
      <c r="D873" t="s">
        <v>823</v>
      </c>
      <c r="E873" t="s">
        <v>153</v>
      </c>
    </row>
    <row r="874" spans="1:5">
      <c r="A874">
        <v>872</v>
      </c>
      <c r="B874" t="s">
        <v>1049</v>
      </c>
      <c r="C874" t="s">
        <v>4614</v>
      </c>
      <c r="D874" t="s">
        <v>823</v>
      </c>
      <c r="E874" t="s">
        <v>153</v>
      </c>
    </row>
    <row r="875" spans="1:5">
      <c r="A875">
        <v>873</v>
      </c>
      <c r="B875" t="s">
        <v>1050</v>
      </c>
      <c r="C875" t="s">
        <v>4615</v>
      </c>
      <c r="D875" t="s">
        <v>823</v>
      </c>
      <c r="E875" t="s">
        <v>153</v>
      </c>
    </row>
    <row r="876" spans="1:5">
      <c r="A876">
        <v>874</v>
      </c>
      <c r="B876" t="s">
        <v>1051</v>
      </c>
      <c r="C876" t="s">
        <v>4616</v>
      </c>
      <c r="D876" t="s">
        <v>823</v>
      </c>
      <c r="E876" t="s">
        <v>153</v>
      </c>
    </row>
    <row r="877" spans="1:5">
      <c r="A877">
        <v>875</v>
      </c>
      <c r="B877" t="s">
        <v>1052</v>
      </c>
      <c r="C877" t="s">
        <v>4617</v>
      </c>
      <c r="D877" t="s">
        <v>823</v>
      </c>
      <c r="E877" t="s">
        <v>153</v>
      </c>
    </row>
    <row r="878" spans="1:5">
      <c r="A878">
        <v>876</v>
      </c>
      <c r="B878" t="s">
        <v>1053</v>
      </c>
      <c r="C878" t="s">
        <v>4618</v>
      </c>
      <c r="D878" t="s">
        <v>823</v>
      </c>
      <c r="E878" t="s">
        <v>153</v>
      </c>
    </row>
    <row r="879" spans="1:5">
      <c r="A879">
        <v>877</v>
      </c>
      <c r="B879" t="s">
        <v>1054</v>
      </c>
      <c r="C879" t="s">
        <v>4619</v>
      </c>
      <c r="D879" t="s">
        <v>823</v>
      </c>
      <c r="E879" t="s">
        <v>153</v>
      </c>
    </row>
    <row r="880" spans="1:5">
      <c r="A880">
        <v>878</v>
      </c>
      <c r="B880" t="s">
        <v>1055</v>
      </c>
      <c r="C880" t="s">
        <v>4620</v>
      </c>
      <c r="D880" t="s">
        <v>823</v>
      </c>
      <c r="E880" t="s">
        <v>153</v>
      </c>
    </row>
    <row r="881" spans="1:5">
      <c r="A881">
        <v>879</v>
      </c>
      <c r="B881" t="s">
        <v>1056</v>
      </c>
      <c r="C881" t="s">
        <v>4621</v>
      </c>
      <c r="D881" t="s">
        <v>823</v>
      </c>
      <c r="E881" t="s">
        <v>153</v>
      </c>
    </row>
    <row r="882" spans="1:5">
      <c r="A882">
        <v>880</v>
      </c>
      <c r="B882" t="s">
        <v>1057</v>
      </c>
      <c r="C882" t="s">
        <v>4622</v>
      </c>
      <c r="D882" t="s">
        <v>823</v>
      </c>
      <c r="E882" t="s">
        <v>153</v>
      </c>
    </row>
    <row r="883" spans="1:5">
      <c r="A883">
        <v>881</v>
      </c>
      <c r="B883" t="s">
        <v>1058</v>
      </c>
      <c r="C883" t="s">
        <v>4623</v>
      </c>
      <c r="D883" t="s">
        <v>823</v>
      </c>
      <c r="E883" t="s">
        <v>153</v>
      </c>
    </row>
    <row r="884" spans="1:5">
      <c r="A884">
        <v>882</v>
      </c>
      <c r="B884" t="s">
        <v>1059</v>
      </c>
      <c r="C884" t="s">
        <v>4624</v>
      </c>
      <c r="D884" t="s">
        <v>823</v>
      </c>
      <c r="E884" t="s">
        <v>153</v>
      </c>
    </row>
    <row r="885" spans="1:5">
      <c r="A885">
        <v>883</v>
      </c>
      <c r="B885" t="s">
        <v>1060</v>
      </c>
      <c r="C885" t="s">
        <v>4625</v>
      </c>
      <c r="D885" t="s">
        <v>823</v>
      </c>
      <c r="E885" t="s">
        <v>153</v>
      </c>
    </row>
    <row r="886" spans="1:5">
      <c r="A886">
        <v>884</v>
      </c>
      <c r="B886" t="s">
        <v>1061</v>
      </c>
      <c r="C886" t="s">
        <v>4626</v>
      </c>
      <c r="D886" t="s">
        <v>823</v>
      </c>
      <c r="E886" t="s">
        <v>153</v>
      </c>
    </row>
    <row r="887" spans="1:5">
      <c r="A887">
        <v>885</v>
      </c>
      <c r="B887" t="s">
        <v>1062</v>
      </c>
      <c r="C887" t="s">
        <v>4627</v>
      </c>
      <c r="D887" t="s">
        <v>823</v>
      </c>
      <c r="E887" t="s">
        <v>153</v>
      </c>
    </row>
    <row r="888" spans="1:5">
      <c r="A888">
        <v>886</v>
      </c>
      <c r="B888" t="s">
        <v>1063</v>
      </c>
      <c r="C888" t="s">
        <v>4628</v>
      </c>
      <c r="D888" t="s">
        <v>823</v>
      </c>
      <c r="E888" t="s">
        <v>153</v>
      </c>
    </row>
    <row r="889" spans="1:5">
      <c r="A889">
        <v>887</v>
      </c>
      <c r="B889" t="s">
        <v>1064</v>
      </c>
      <c r="C889" t="s">
        <v>4629</v>
      </c>
      <c r="D889" t="s">
        <v>823</v>
      </c>
      <c r="E889" t="s">
        <v>153</v>
      </c>
    </row>
    <row r="890" spans="1:5">
      <c r="A890">
        <v>888</v>
      </c>
      <c r="B890" t="s">
        <v>1065</v>
      </c>
      <c r="C890" t="s">
        <v>4630</v>
      </c>
      <c r="D890" t="s">
        <v>823</v>
      </c>
      <c r="E890" t="s">
        <v>153</v>
      </c>
    </row>
    <row r="891" spans="1:5">
      <c r="A891">
        <v>889</v>
      </c>
      <c r="B891" t="s">
        <v>1066</v>
      </c>
      <c r="C891" t="s">
        <v>4631</v>
      </c>
      <c r="D891" t="s">
        <v>823</v>
      </c>
      <c r="E891" t="s">
        <v>153</v>
      </c>
    </row>
    <row r="892" spans="1:5">
      <c r="A892">
        <v>890</v>
      </c>
      <c r="B892" t="s">
        <v>1067</v>
      </c>
      <c r="C892" t="s">
        <v>4632</v>
      </c>
      <c r="D892" t="s">
        <v>823</v>
      </c>
      <c r="E892" t="s">
        <v>153</v>
      </c>
    </row>
    <row r="893" spans="1:5">
      <c r="A893">
        <v>891</v>
      </c>
      <c r="B893" t="s">
        <v>1068</v>
      </c>
      <c r="C893" t="s">
        <v>4633</v>
      </c>
      <c r="D893" t="s">
        <v>823</v>
      </c>
      <c r="E893" t="s">
        <v>153</v>
      </c>
    </row>
    <row r="894" spans="1:5">
      <c r="A894">
        <v>892</v>
      </c>
      <c r="B894" t="s">
        <v>1069</v>
      </c>
      <c r="C894" t="s">
        <v>4634</v>
      </c>
      <c r="D894" t="s">
        <v>823</v>
      </c>
      <c r="E894" t="s">
        <v>153</v>
      </c>
    </row>
    <row r="895" spans="1:5">
      <c r="A895">
        <v>893</v>
      </c>
      <c r="B895" t="s">
        <v>1070</v>
      </c>
      <c r="C895" t="s">
        <v>4635</v>
      </c>
      <c r="D895" t="s">
        <v>823</v>
      </c>
      <c r="E895" t="s">
        <v>153</v>
      </c>
    </row>
    <row r="896" spans="1:5">
      <c r="A896">
        <v>894</v>
      </c>
      <c r="B896" t="s">
        <v>1071</v>
      </c>
      <c r="C896" t="s">
        <v>4636</v>
      </c>
      <c r="D896" t="s">
        <v>823</v>
      </c>
      <c r="E896" t="s">
        <v>153</v>
      </c>
    </row>
    <row r="897" spans="1:5">
      <c r="A897">
        <v>895</v>
      </c>
      <c r="B897" t="s">
        <v>1072</v>
      </c>
      <c r="C897" t="s">
        <v>4637</v>
      </c>
      <c r="D897" t="s">
        <v>823</v>
      </c>
      <c r="E897" t="s">
        <v>153</v>
      </c>
    </row>
    <row r="898" spans="1:5">
      <c r="A898">
        <v>896</v>
      </c>
      <c r="B898" t="s">
        <v>1073</v>
      </c>
      <c r="C898" t="s">
        <v>4638</v>
      </c>
      <c r="D898" t="s">
        <v>823</v>
      </c>
      <c r="E898" t="s">
        <v>153</v>
      </c>
    </row>
    <row r="899" spans="1:5">
      <c r="A899">
        <v>897</v>
      </c>
      <c r="B899" t="s">
        <v>1074</v>
      </c>
      <c r="C899" t="s">
        <v>4639</v>
      </c>
      <c r="D899" t="s">
        <v>823</v>
      </c>
      <c r="E899" t="s">
        <v>153</v>
      </c>
    </row>
    <row r="900" spans="1:5">
      <c r="A900">
        <v>898</v>
      </c>
      <c r="B900" t="s">
        <v>1075</v>
      </c>
      <c r="C900" t="s">
        <v>4640</v>
      </c>
      <c r="D900" t="s">
        <v>823</v>
      </c>
      <c r="E900" t="s">
        <v>153</v>
      </c>
    </row>
    <row r="901" spans="1:5">
      <c r="A901">
        <v>899</v>
      </c>
      <c r="B901" t="s">
        <v>1076</v>
      </c>
      <c r="C901" t="s">
        <v>4641</v>
      </c>
      <c r="D901" t="s">
        <v>823</v>
      </c>
      <c r="E901" t="s">
        <v>153</v>
      </c>
    </row>
    <row r="902" spans="1:5">
      <c r="A902">
        <v>900</v>
      </c>
      <c r="B902" t="s">
        <v>1077</v>
      </c>
      <c r="C902" t="s">
        <v>4642</v>
      </c>
      <c r="D902" t="s">
        <v>823</v>
      </c>
      <c r="E902" t="s">
        <v>153</v>
      </c>
    </row>
    <row r="903" spans="1:5">
      <c r="A903">
        <v>901</v>
      </c>
      <c r="B903" t="s">
        <v>1078</v>
      </c>
      <c r="C903" t="s">
        <v>4643</v>
      </c>
      <c r="D903" t="s">
        <v>823</v>
      </c>
      <c r="E903" t="s">
        <v>153</v>
      </c>
    </row>
    <row r="904" spans="1:5">
      <c r="A904">
        <v>902</v>
      </c>
      <c r="B904" t="s">
        <v>1079</v>
      </c>
      <c r="C904" t="s">
        <v>4644</v>
      </c>
      <c r="D904" t="s">
        <v>823</v>
      </c>
      <c r="E904" t="s">
        <v>153</v>
      </c>
    </row>
    <row r="905" spans="1:5">
      <c r="A905">
        <v>903</v>
      </c>
      <c r="B905" t="s">
        <v>1080</v>
      </c>
      <c r="C905" t="s">
        <v>4645</v>
      </c>
      <c r="D905" t="s">
        <v>823</v>
      </c>
      <c r="E905" t="s">
        <v>153</v>
      </c>
    </row>
    <row r="906" spans="1:5">
      <c r="A906">
        <v>904</v>
      </c>
      <c r="B906" t="s">
        <v>1081</v>
      </c>
      <c r="C906" t="s">
        <v>4646</v>
      </c>
      <c r="D906" t="s">
        <v>823</v>
      </c>
      <c r="E906" t="s">
        <v>153</v>
      </c>
    </row>
    <row r="907" spans="1:5">
      <c r="A907">
        <v>905</v>
      </c>
      <c r="B907" t="s">
        <v>1082</v>
      </c>
      <c r="C907" t="s">
        <v>4647</v>
      </c>
      <c r="D907" t="s">
        <v>823</v>
      </c>
      <c r="E907" t="s">
        <v>153</v>
      </c>
    </row>
    <row r="908" spans="1:5">
      <c r="A908">
        <v>906</v>
      </c>
      <c r="B908" t="s">
        <v>1083</v>
      </c>
      <c r="C908" t="s">
        <v>4648</v>
      </c>
      <c r="D908" t="s">
        <v>823</v>
      </c>
      <c r="E908" t="s">
        <v>153</v>
      </c>
    </row>
    <row r="909" spans="1:5">
      <c r="A909">
        <v>907</v>
      </c>
      <c r="B909" t="s">
        <v>1084</v>
      </c>
      <c r="C909" t="s">
        <v>4649</v>
      </c>
      <c r="D909" t="s">
        <v>823</v>
      </c>
      <c r="E909" t="s">
        <v>153</v>
      </c>
    </row>
    <row r="910" spans="1:5">
      <c r="A910">
        <v>908</v>
      </c>
      <c r="B910" t="s">
        <v>1085</v>
      </c>
      <c r="C910" t="s">
        <v>4650</v>
      </c>
      <c r="D910" t="s">
        <v>823</v>
      </c>
      <c r="E910" t="s">
        <v>153</v>
      </c>
    </row>
    <row r="911" spans="1:5">
      <c r="A911">
        <v>909</v>
      </c>
      <c r="B911" t="s">
        <v>470</v>
      </c>
      <c r="C911" t="s">
        <v>4044</v>
      </c>
      <c r="D911" t="s">
        <v>823</v>
      </c>
      <c r="E911" t="s">
        <v>153</v>
      </c>
    </row>
    <row r="912" spans="1:5">
      <c r="A912">
        <v>910</v>
      </c>
      <c r="B912" t="s">
        <v>1086</v>
      </c>
      <c r="C912" t="s">
        <v>4651</v>
      </c>
      <c r="D912" t="s">
        <v>823</v>
      </c>
      <c r="E912" t="s">
        <v>153</v>
      </c>
    </row>
    <row r="913" spans="1:5">
      <c r="A913">
        <v>911</v>
      </c>
      <c r="B913" t="s">
        <v>1087</v>
      </c>
      <c r="C913" t="s">
        <v>4652</v>
      </c>
      <c r="D913" t="s">
        <v>823</v>
      </c>
      <c r="E913" t="s">
        <v>153</v>
      </c>
    </row>
    <row r="914" spans="1:5">
      <c r="A914">
        <v>912</v>
      </c>
      <c r="B914" t="s">
        <v>1088</v>
      </c>
      <c r="C914" t="s">
        <v>4653</v>
      </c>
      <c r="D914" t="s">
        <v>823</v>
      </c>
      <c r="E914" t="s">
        <v>153</v>
      </c>
    </row>
    <row r="915" spans="1:5">
      <c r="A915">
        <v>913</v>
      </c>
      <c r="B915" t="s">
        <v>1089</v>
      </c>
      <c r="C915" t="s">
        <v>4654</v>
      </c>
      <c r="D915" t="s">
        <v>823</v>
      </c>
      <c r="E915" t="s">
        <v>153</v>
      </c>
    </row>
    <row r="916" spans="1:5">
      <c r="A916">
        <v>914</v>
      </c>
      <c r="B916" t="s">
        <v>1090</v>
      </c>
      <c r="C916" t="s">
        <v>4655</v>
      </c>
      <c r="D916" t="s">
        <v>823</v>
      </c>
      <c r="E916" t="s">
        <v>153</v>
      </c>
    </row>
    <row r="917" spans="1:5">
      <c r="A917">
        <v>915</v>
      </c>
      <c r="B917" t="s">
        <v>1091</v>
      </c>
      <c r="C917" t="s">
        <v>4656</v>
      </c>
      <c r="D917" t="s">
        <v>823</v>
      </c>
      <c r="E917" t="s">
        <v>153</v>
      </c>
    </row>
    <row r="918" spans="1:5">
      <c r="A918">
        <v>916</v>
      </c>
      <c r="B918" t="s">
        <v>1092</v>
      </c>
      <c r="C918" t="s">
        <v>4657</v>
      </c>
      <c r="D918" t="s">
        <v>823</v>
      </c>
      <c r="E918" t="s">
        <v>153</v>
      </c>
    </row>
    <row r="919" spans="1:5">
      <c r="A919">
        <v>917</v>
      </c>
      <c r="B919" t="s">
        <v>1093</v>
      </c>
      <c r="C919" t="s">
        <v>4658</v>
      </c>
      <c r="D919" t="s">
        <v>823</v>
      </c>
      <c r="E919" t="s">
        <v>153</v>
      </c>
    </row>
    <row r="920" spans="1:5">
      <c r="A920">
        <v>918</v>
      </c>
      <c r="B920" t="s">
        <v>1094</v>
      </c>
      <c r="C920" t="s">
        <v>7331</v>
      </c>
      <c r="D920" t="s">
        <v>823</v>
      </c>
      <c r="E920" t="s">
        <v>153</v>
      </c>
    </row>
    <row r="921" spans="1:5">
      <c r="A921">
        <v>919</v>
      </c>
      <c r="B921" t="s">
        <v>1095</v>
      </c>
      <c r="C921" t="s">
        <v>4659</v>
      </c>
      <c r="D921" t="s">
        <v>823</v>
      </c>
      <c r="E921" t="s">
        <v>153</v>
      </c>
    </row>
    <row r="922" spans="1:5">
      <c r="A922">
        <v>920</v>
      </c>
      <c r="B922" t="s">
        <v>1096</v>
      </c>
      <c r="C922" t="s">
        <v>4660</v>
      </c>
      <c r="D922" t="s">
        <v>823</v>
      </c>
      <c r="E922" t="s">
        <v>153</v>
      </c>
    </row>
    <row r="923" spans="1:5">
      <c r="A923">
        <v>921</v>
      </c>
      <c r="B923" t="s">
        <v>1097</v>
      </c>
      <c r="C923" t="s">
        <v>4661</v>
      </c>
      <c r="D923" t="s">
        <v>823</v>
      </c>
      <c r="E923" t="s">
        <v>153</v>
      </c>
    </row>
    <row r="924" spans="1:5">
      <c r="A924">
        <v>922</v>
      </c>
      <c r="B924" t="s">
        <v>1098</v>
      </c>
      <c r="C924" t="s">
        <v>4662</v>
      </c>
      <c r="D924" t="s">
        <v>823</v>
      </c>
      <c r="E924" t="s">
        <v>153</v>
      </c>
    </row>
    <row r="925" spans="1:5">
      <c r="A925">
        <v>923</v>
      </c>
      <c r="B925" t="s">
        <v>1099</v>
      </c>
      <c r="C925" t="s">
        <v>4663</v>
      </c>
      <c r="D925" t="s">
        <v>823</v>
      </c>
      <c r="E925" t="s">
        <v>153</v>
      </c>
    </row>
    <row r="926" spans="1:5">
      <c r="A926">
        <v>924</v>
      </c>
      <c r="B926" t="s">
        <v>1100</v>
      </c>
      <c r="C926" t="s">
        <v>4664</v>
      </c>
      <c r="D926" t="s">
        <v>823</v>
      </c>
      <c r="E926" t="s">
        <v>153</v>
      </c>
    </row>
    <row r="927" spans="1:5">
      <c r="A927">
        <v>925</v>
      </c>
      <c r="B927" t="s">
        <v>1101</v>
      </c>
      <c r="C927" t="s">
        <v>4665</v>
      </c>
      <c r="D927" t="s">
        <v>823</v>
      </c>
      <c r="E927" t="s">
        <v>153</v>
      </c>
    </row>
    <row r="928" spans="1:5">
      <c r="A928">
        <v>926</v>
      </c>
      <c r="B928" t="s">
        <v>1102</v>
      </c>
      <c r="C928" t="s">
        <v>4666</v>
      </c>
      <c r="D928" t="s">
        <v>823</v>
      </c>
      <c r="E928" t="s">
        <v>153</v>
      </c>
    </row>
    <row r="929" spans="1:5">
      <c r="A929">
        <v>927</v>
      </c>
      <c r="B929" t="s">
        <v>1103</v>
      </c>
      <c r="C929" t="s">
        <v>4667</v>
      </c>
      <c r="D929" t="s">
        <v>823</v>
      </c>
      <c r="E929" t="s">
        <v>153</v>
      </c>
    </row>
    <row r="930" spans="1:5">
      <c r="A930">
        <v>928</v>
      </c>
      <c r="B930" t="s">
        <v>1104</v>
      </c>
      <c r="C930" t="s">
        <v>4668</v>
      </c>
      <c r="D930" t="s">
        <v>823</v>
      </c>
      <c r="E930" t="s">
        <v>153</v>
      </c>
    </row>
    <row r="931" spans="1:5">
      <c r="A931">
        <v>929</v>
      </c>
      <c r="B931" t="s">
        <v>1105</v>
      </c>
      <c r="C931" t="s">
        <v>4669</v>
      </c>
      <c r="D931" t="s">
        <v>823</v>
      </c>
      <c r="E931" t="s">
        <v>153</v>
      </c>
    </row>
    <row r="932" spans="1:5">
      <c r="A932">
        <v>930</v>
      </c>
      <c r="B932" t="s">
        <v>1106</v>
      </c>
      <c r="C932" t="s">
        <v>4670</v>
      </c>
      <c r="D932" t="s">
        <v>823</v>
      </c>
      <c r="E932" t="s">
        <v>153</v>
      </c>
    </row>
    <row r="933" spans="1:5">
      <c r="A933">
        <v>931</v>
      </c>
      <c r="B933" t="s">
        <v>1107</v>
      </c>
      <c r="C933" t="s">
        <v>4671</v>
      </c>
      <c r="D933" t="s">
        <v>823</v>
      </c>
      <c r="E933" t="s">
        <v>153</v>
      </c>
    </row>
    <row r="934" spans="1:5">
      <c r="A934">
        <v>932</v>
      </c>
      <c r="B934" t="s">
        <v>1108</v>
      </c>
      <c r="C934" t="s">
        <v>4672</v>
      </c>
      <c r="D934" t="s">
        <v>823</v>
      </c>
      <c r="E934" t="s">
        <v>153</v>
      </c>
    </row>
    <row r="935" spans="1:5">
      <c r="A935">
        <v>933</v>
      </c>
      <c r="B935" t="s">
        <v>1109</v>
      </c>
      <c r="C935" t="s">
        <v>4673</v>
      </c>
      <c r="D935" t="s">
        <v>823</v>
      </c>
      <c r="E935" t="s">
        <v>153</v>
      </c>
    </row>
    <row r="936" spans="1:5">
      <c r="A936">
        <v>934</v>
      </c>
      <c r="B936" t="s">
        <v>1110</v>
      </c>
      <c r="C936" t="s">
        <v>4674</v>
      </c>
      <c r="D936" t="s">
        <v>823</v>
      </c>
      <c r="E936" t="s">
        <v>153</v>
      </c>
    </row>
    <row r="937" spans="1:5">
      <c r="A937">
        <v>935</v>
      </c>
      <c r="B937" t="s">
        <v>1112</v>
      </c>
      <c r="C937" t="s">
        <v>4676</v>
      </c>
      <c r="D937" t="s">
        <v>823</v>
      </c>
      <c r="E937" t="s">
        <v>153</v>
      </c>
    </row>
    <row r="938" spans="1:5">
      <c r="A938">
        <v>936</v>
      </c>
      <c r="B938" t="s">
        <v>1113</v>
      </c>
      <c r="C938" t="s">
        <v>4677</v>
      </c>
      <c r="D938" t="s">
        <v>823</v>
      </c>
      <c r="E938" t="s">
        <v>153</v>
      </c>
    </row>
    <row r="939" spans="1:5">
      <c r="A939">
        <v>937</v>
      </c>
      <c r="B939" t="s">
        <v>1114</v>
      </c>
      <c r="C939" t="s">
        <v>4678</v>
      </c>
      <c r="D939" t="s">
        <v>823</v>
      </c>
      <c r="E939" t="s">
        <v>153</v>
      </c>
    </row>
    <row r="940" spans="1:5">
      <c r="A940">
        <v>938</v>
      </c>
      <c r="B940" t="s">
        <v>1115</v>
      </c>
      <c r="C940" t="s">
        <v>4679</v>
      </c>
      <c r="D940" t="s">
        <v>823</v>
      </c>
      <c r="E940" t="s">
        <v>153</v>
      </c>
    </row>
    <row r="941" spans="1:5">
      <c r="A941">
        <v>939</v>
      </c>
      <c r="B941" t="s">
        <v>1116</v>
      </c>
      <c r="C941" t="s">
        <v>4680</v>
      </c>
      <c r="D941" t="s">
        <v>823</v>
      </c>
      <c r="E941" t="s">
        <v>153</v>
      </c>
    </row>
    <row r="942" spans="1:5">
      <c r="A942">
        <v>940</v>
      </c>
      <c r="B942" t="s">
        <v>1117</v>
      </c>
      <c r="C942" t="s">
        <v>4681</v>
      </c>
      <c r="D942" t="s">
        <v>823</v>
      </c>
      <c r="E942" t="s">
        <v>153</v>
      </c>
    </row>
    <row r="943" spans="1:5">
      <c r="A943">
        <v>941</v>
      </c>
      <c r="B943" t="s">
        <v>1118</v>
      </c>
      <c r="C943" t="s">
        <v>4682</v>
      </c>
      <c r="D943" t="s">
        <v>823</v>
      </c>
      <c r="E943" t="s">
        <v>153</v>
      </c>
    </row>
    <row r="944" spans="1:5">
      <c r="A944">
        <v>942</v>
      </c>
      <c r="B944" t="s">
        <v>1119</v>
      </c>
      <c r="C944" t="s">
        <v>4683</v>
      </c>
      <c r="D944" t="s">
        <v>823</v>
      </c>
      <c r="E944" t="s">
        <v>153</v>
      </c>
    </row>
    <row r="945" spans="1:5">
      <c r="A945">
        <v>943</v>
      </c>
      <c r="B945" t="s">
        <v>1120</v>
      </c>
      <c r="C945" t="s">
        <v>4684</v>
      </c>
      <c r="D945" t="s">
        <v>823</v>
      </c>
      <c r="E945" t="s">
        <v>153</v>
      </c>
    </row>
    <row r="946" spans="1:5">
      <c r="A946">
        <v>944</v>
      </c>
      <c r="B946" t="s">
        <v>1121</v>
      </c>
      <c r="C946" t="s">
        <v>4685</v>
      </c>
      <c r="D946" t="s">
        <v>823</v>
      </c>
      <c r="E946" t="s">
        <v>153</v>
      </c>
    </row>
    <row r="947" spans="1:5">
      <c r="A947">
        <v>945</v>
      </c>
      <c r="B947" t="s">
        <v>1122</v>
      </c>
      <c r="C947" t="s">
        <v>4686</v>
      </c>
      <c r="D947" t="s">
        <v>823</v>
      </c>
      <c r="E947" t="s">
        <v>153</v>
      </c>
    </row>
    <row r="948" spans="1:5">
      <c r="A948">
        <v>946</v>
      </c>
      <c r="B948" t="s">
        <v>1123</v>
      </c>
      <c r="C948" t="s">
        <v>4687</v>
      </c>
      <c r="D948" t="s">
        <v>823</v>
      </c>
      <c r="E948" t="s">
        <v>153</v>
      </c>
    </row>
    <row r="949" spans="1:5">
      <c r="A949">
        <v>947</v>
      </c>
      <c r="B949" t="s">
        <v>1124</v>
      </c>
      <c r="C949" t="s">
        <v>4688</v>
      </c>
      <c r="D949" t="s">
        <v>823</v>
      </c>
      <c r="E949" t="s">
        <v>153</v>
      </c>
    </row>
    <row r="950" spans="1:5">
      <c r="A950">
        <v>948</v>
      </c>
      <c r="B950" t="s">
        <v>1125</v>
      </c>
      <c r="C950" t="s">
        <v>4689</v>
      </c>
      <c r="D950" t="s">
        <v>823</v>
      </c>
      <c r="E950" t="s">
        <v>153</v>
      </c>
    </row>
    <row r="951" spans="1:5">
      <c r="A951">
        <v>949</v>
      </c>
      <c r="B951" t="s">
        <v>1126</v>
      </c>
      <c r="C951" t="s">
        <v>4690</v>
      </c>
      <c r="D951" t="s">
        <v>823</v>
      </c>
      <c r="E951" t="s">
        <v>153</v>
      </c>
    </row>
    <row r="952" spans="1:5">
      <c r="A952">
        <v>950</v>
      </c>
      <c r="B952" t="s">
        <v>1127</v>
      </c>
      <c r="C952" t="s">
        <v>4691</v>
      </c>
      <c r="D952" t="s">
        <v>823</v>
      </c>
      <c r="E952" t="s">
        <v>153</v>
      </c>
    </row>
    <row r="953" spans="1:5">
      <c r="A953">
        <v>951</v>
      </c>
      <c r="B953" t="s">
        <v>1128</v>
      </c>
      <c r="C953" t="s">
        <v>4692</v>
      </c>
      <c r="D953" t="s">
        <v>823</v>
      </c>
      <c r="E953" t="s">
        <v>153</v>
      </c>
    </row>
    <row r="954" spans="1:5">
      <c r="A954">
        <v>952</v>
      </c>
      <c r="B954" t="s">
        <v>1129</v>
      </c>
      <c r="C954" t="s">
        <v>4693</v>
      </c>
      <c r="D954" t="s">
        <v>823</v>
      </c>
      <c r="E954" t="s">
        <v>153</v>
      </c>
    </row>
    <row r="955" spans="1:5">
      <c r="A955">
        <v>953</v>
      </c>
      <c r="B955" t="s">
        <v>1130</v>
      </c>
      <c r="C955" t="s">
        <v>4694</v>
      </c>
      <c r="D955" t="s">
        <v>823</v>
      </c>
      <c r="E955" t="s">
        <v>153</v>
      </c>
    </row>
    <row r="956" spans="1:5">
      <c r="A956">
        <v>954</v>
      </c>
      <c r="B956" t="s">
        <v>1131</v>
      </c>
      <c r="C956" t="s">
        <v>4695</v>
      </c>
      <c r="D956" t="s">
        <v>823</v>
      </c>
      <c r="E956" t="s">
        <v>153</v>
      </c>
    </row>
    <row r="957" spans="1:5">
      <c r="A957">
        <v>955</v>
      </c>
      <c r="B957" t="s">
        <v>1132</v>
      </c>
      <c r="C957" t="s">
        <v>4696</v>
      </c>
      <c r="D957" t="s">
        <v>823</v>
      </c>
      <c r="E957" t="s">
        <v>153</v>
      </c>
    </row>
    <row r="958" spans="1:5">
      <c r="A958">
        <v>956</v>
      </c>
      <c r="B958" t="s">
        <v>1133</v>
      </c>
      <c r="C958" t="s">
        <v>4697</v>
      </c>
      <c r="D958" t="s">
        <v>823</v>
      </c>
      <c r="E958" t="s">
        <v>153</v>
      </c>
    </row>
    <row r="959" spans="1:5">
      <c r="A959">
        <v>957</v>
      </c>
      <c r="B959" t="s">
        <v>1134</v>
      </c>
      <c r="C959" t="s">
        <v>4698</v>
      </c>
      <c r="D959" t="s">
        <v>823</v>
      </c>
      <c r="E959" t="s">
        <v>153</v>
      </c>
    </row>
    <row r="960" spans="1:5">
      <c r="A960">
        <v>958</v>
      </c>
      <c r="B960" t="s">
        <v>1135</v>
      </c>
      <c r="C960" t="s">
        <v>4699</v>
      </c>
      <c r="D960" t="s">
        <v>823</v>
      </c>
      <c r="E960" t="s">
        <v>153</v>
      </c>
    </row>
    <row r="961" spans="1:5">
      <c r="A961">
        <v>959</v>
      </c>
      <c r="B961" t="s">
        <v>1136</v>
      </c>
      <c r="C961" t="s">
        <v>4700</v>
      </c>
      <c r="D961" t="s">
        <v>823</v>
      </c>
      <c r="E961" t="s">
        <v>153</v>
      </c>
    </row>
    <row r="962" spans="1:5">
      <c r="A962">
        <v>960</v>
      </c>
      <c r="B962" t="s">
        <v>1137</v>
      </c>
      <c r="C962" t="s">
        <v>4701</v>
      </c>
      <c r="D962" t="s">
        <v>823</v>
      </c>
      <c r="E962" t="s">
        <v>153</v>
      </c>
    </row>
    <row r="963" spans="1:5">
      <c r="A963">
        <v>961</v>
      </c>
      <c r="B963" t="s">
        <v>1138</v>
      </c>
      <c r="C963" t="s">
        <v>4702</v>
      </c>
      <c r="D963" t="s">
        <v>823</v>
      </c>
      <c r="E963" t="s">
        <v>153</v>
      </c>
    </row>
    <row r="964" spans="1:5">
      <c r="A964">
        <v>962</v>
      </c>
      <c r="B964" t="s">
        <v>1139</v>
      </c>
      <c r="C964" t="s">
        <v>4703</v>
      </c>
      <c r="D964" t="s">
        <v>823</v>
      </c>
      <c r="E964" t="s">
        <v>153</v>
      </c>
    </row>
    <row r="965" spans="1:5">
      <c r="A965">
        <v>963</v>
      </c>
      <c r="B965" t="s">
        <v>1140</v>
      </c>
      <c r="C965" t="s">
        <v>4704</v>
      </c>
      <c r="D965" t="s">
        <v>823</v>
      </c>
      <c r="E965" t="s">
        <v>153</v>
      </c>
    </row>
    <row r="966" spans="1:5">
      <c r="A966">
        <v>964</v>
      </c>
      <c r="B966" t="s">
        <v>1141</v>
      </c>
      <c r="C966" t="s">
        <v>4705</v>
      </c>
      <c r="D966" t="s">
        <v>823</v>
      </c>
      <c r="E966" t="s">
        <v>153</v>
      </c>
    </row>
    <row r="967" spans="1:5">
      <c r="A967">
        <v>965</v>
      </c>
      <c r="B967" t="s">
        <v>1142</v>
      </c>
      <c r="C967" t="s">
        <v>4706</v>
      </c>
      <c r="D967" t="s">
        <v>823</v>
      </c>
      <c r="E967" t="s">
        <v>153</v>
      </c>
    </row>
    <row r="968" spans="1:5">
      <c r="A968">
        <v>966</v>
      </c>
      <c r="B968" t="s">
        <v>1143</v>
      </c>
      <c r="C968" t="s">
        <v>4707</v>
      </c>
      <c r="D968" t="s">
        <v>823</v>
      </c>
      <c r="E968" t="s">
        <v>153</v>
      </c>
    </row>
    <row r="969" spans="1:5">
      <c r="A969">
        <v>967</v>
      </c>
      <c r="B969" t="s">
        <v>1144</v>
      </c>
      <c r="C969" t="s">
        <v>4708</v>
      </c>
      <c r="D969" t="s">
        <v>823</v>
      </c>
      <c r="E969" t="s">
        <v>153</v>
      </c>
    </row>
    <row r="970" spans="1:5">
      <c r="A970">
        <v>968</v>
      </c>
      <c r="B970" t="s">
        <v>1145</v>
      </c>
      <c r="C970" t="s">
        <v>4709</v>
      </c>
      <c r="D970" t="s">
        <v>823</v>
      </c>
      <c r="E970" t="s">
        <v>153</v>
      </c>
    </row>
    <row r="971" spans="1:5">
      <c r="A971">
        <v>969</v>
      </c>
      <c r="B971" t="s">
        <v>1146</v>
      </c>
      <c r="C971" t="s">
        <v>4710</v>
      </c>
      <c r="D971" t="s">
        <v>823</v>
      </c>
      <c r="E971" t="s">
        <v>153</v>
      </c>
    </row>
    <row r="972" spans="1:5">
      <c r="A972">
        <v>970</v>
      </c>
      <c r="B972" t="s">
        <v>1147</v>
      </c>
      <c r="C972" t="s">
        <v>4711</v>
      </c>
      <c r="D972" t="s">
        <v>823</v>
      </c>
      <c r="E972" t="s">
        <v>153</v>
      </c>
    </row>
    <row r="973" spans="1:5">
      <c r="A973">
        <v>971</v>
      </c>
      <c r="B973" t="s">
        <v>1148</v>
      </c>
      <c r="C973" t="s">
        <v>4712</v>
      </c>
      <c r="D973" t="s">
        <v>823</v>
      </c>
      <c r="E973" t="s">
        <v>153</v>
      </c>
    </row>
    <row r="974" spans="1:5">
      <c r="A974">
        <v>972</v>
      </c>
      <c r="B974" t="s">
        <v>1149</v>
      </c>
      <c r="C974" t="s">
        <v>4713</v>
      </c>
      <c r="D974" t="s">
        <v>823</v>
      </c>
      <c r="E974" t="s">
        <v>153</v>
      </c>
    </row>
    <row r="975" spans="1:5">
      <c r="A975">
        <v>973</v>
      </c>
      <c r="B975" t="s">
        <v>1150</v>
      </c>
      <c r="C975" t="s">
        <v>4714</v>
      </c>
      <c r="D975" t="s">
        <v>823</v>
      </c>
      <c r="E975" t="s">
        <v>153</v>
      </c>
    </row>
    <row r="976" spans="1:5">
      <c r="A976">
        <v>974</v>
      </c>
      <c r="B976" t="s">
        <v>1151</v>
      </c>
      <c r="C976" t="s">
        <v>4715</v>
      </c>
      <c r="D976" t="s">
        <v>823</v>
      </c>
      <c r="E976" t="s">
        <v>153</v>
      </c>
    </row>
    <row r="977" spans="1:5">
      <c r="A977">
        <v>975</v>
      </c>
      <c r="B977" t="s">
        <v>1152</v>
      </c>
      <c r="C977" t="s">
        <v>4716</v>
      </c>
      <c r="D977" t="s">
        <v>823</v>
      </c>
      <c r="E977" t="s">
        <v>153</v>
      </c>
    </row>
    <row r="978" spans="1:5">
      <c r="A978">
        <v>976</v>
      </c>
      <c r="B978" t="s">
        <v>1153</v>
      </c>
      <c r="C978" t="s">
        <v>4717</v>
      </c>
      <c r="D978" t="s">
        <v>823</v>
      </c>
      <c r="E978" t="s">
        <v>153</v>
      </c>
    </row>
    <row r="979" spans="1:5">
      <c r="A979">
        <v>977</v>
      </c>
      <c r="B979" t="s">
        <v>1154</v>
      </c>
      <c r="C979" t="s">
        <v>4718</v>
      </c>
      <c r="D979" t="s">
        <v>823</v>
      </c>
      <c r="E979" t="s">
        <v>153</v>
      </c>
    </row>
    <row r="980" spans="1:5">
      <c r="A980">
        <v>978</v>
      </c>
      <c r="B980" t="s">
        <v>1155</v>
      </c>
      <c r="C980" t="s">
        <v>4719</v>
      </c>
      <c r="D980" t="s">
        <v>823</v>
      </c>
      <c r="E980" t="s">
        <v>153</v>
      </c>
    </row>
    <row r="981" spans="1:5">
      <c r="A981">
        <v>979</v>
      </c>
      <c r="B981" t="s">
        <v>1156</v>
      </c>
      <c r="C981" t="s">
        <v>4720</v>
      </c>
      <c r="D981" t="s">
        <v>823</v>
      </c>
      <c r="E981" t="s">
        <v>153</v>
      </c>
    </row>
    <row r="982" spans="1:5">
      <c r="A982">
        <v>980</v>
      </c>
      <c r="B982" t="s">
        <v>1157</v>
      </c>
      <c r="C982" t="s">
        <v>4721</v>
      </c>
      <c r="D982" t="s">
        <v>823</v>
      </c>
      <c r="E982" t="s">
        <v>153</v>
      </c>
    </row>
    <row r="983" spans="1:5">
      <c r="A983">
        <v>981</v>
      </c>
      <c r="B983" t="s">
        <v>510</v>
      </c>
      <c r="C983" t="s">
        <v>4083</v>
      </c>
      <c r="D983" t="s">
        <v>823</v>
      </c>
      <c r="E983" t="s">
        <v>153</v>
      </c>
    </row>
    <row r="984" spans="1:5">
      <c r="A984">
        <v>982</v>
      </c>
      <c r="B984" t="s">
        <v>1158</v>
      </c>
      <c r="C984" t="s">
        <v>4722</v>
      </c>
      <c r="D984" t="s">
        <v>823</v>
      </c>
      <c r="E984" t="s">
        <v>153</v>
      </c>
    </row>
    <row r="985" spans="1:5">
      <c r="A985">
        <v>983</v>
      </c>
      <c r="B985" t="s">
        <v>1159</v>
      </c>
      <c r="C985" t="s">
        <v>4723</v>
      </c>
      <c r="D985" t="s">
        <v>823</v>
      </c>
      <c r="E985" t="s">
        <v>153</v>
      </c>
    </row>
    <row r="986" spans="1:5">
      <c r="A986">
        <v>984</v>
      </c>
      <c r="B986" t="s">
        <v>1160</v>
      </c>
      <c r="C986" t="s">
        <v>4724</v>
      </c>
      <c r="D986" t="s">
        <v>823</v>
      </c>
      <c r="E986" t="s">
        <v>153</v>
      </c>
    </row>
    <row r="987" spans="1:5">
      <c r="A987">
        <v>985</v>
      </c>
      <c r="B987" t="s">
        <v>1161</v>
      </c>
      <c r="C987" t="s">
        <v>4725</v>
      </c>
      <c r="D987" t="s">
        <v>823</v>
      </c>
      <c r="E987" t="s">
        <v>153</v>
      </c>
    </row>
    <row r="988" spans="1:5">
      <c r="A988">
        <v>986</v>
      </c>
      <c r="B988" t="s">
        <v>1162</v>
      </c>
      <c r="C988" t="s">
        <v>4726</v>
      </c>
      <c r="D988" t="s">
        <v>823</v>
      </c>
      <c r="E988" t="s">
        <v>153</v>
      </c>
    </row>
    <row r="989" spans="1:5">
      <c r="A989">
        <v>987</v>
      </c>
      <c r="B989" t="s">
        <v>1163</v>
      </c>
      <c r="C989" t="s">
        <v>4727</v>
      </c>
      <c r="D989" t="s">
        <v>823</v>
      </c>
      <c r="E989" t="s">
        <v>153</v>
      </c>
    </row>
    <row r="990" spans="1:5">
      <c r="A990">
        <v>988</v>
      </c>
      <c r="B990" t="s">
        <v>1164</v>
      </c>
      <c r="C990" t="s">
        <v>4728</v>
      </c>
      <c r="D990" t="s">
        <v>823</v>
      </c>
      <c r="E990" t="s">
        <v>153</v>
      </c>
    </row>
    <row r="991" spans="1:5">
      <c r="A991">
        <v>989</v>
      </c>
      <c r="B991" t="s">
        <v>1165</v>
      </c>
      <c r="C991" t="s">
        <v>4729</v>
      </c>
      <c r="D991" t="s">
        <v>823</v>
      </c>
      <c r="E991" t="s">
        <v>153</v>
      </c>
    </row>
    <row r="992" spans="1:5">
      <c r="A992">
        <v>990</v>
      </c>
      <c r="B992" t="s">
        <v>7332</v>
      </c>
      <c r="C992" t="s">
        <v>7333</v>
      </c>
      <c r="D992" t="s">
        <v>823</v>
      </c>
      <c r="E992" t="s">
        <v>153</v>
      </c>
    </row>
    <row r="993" spans="1:5">
      <c r="A993">
        <v>991</v>
      </c>
      <c r="B993" t="s">
        <v>7334</v>
      </c>
      <c r="C993" t="s">
        <v>7335</v>
      </c>
      <c r="D993" t="s">
        <v>823</v>
      </c>
      <c r="E993" t="s">
        <v>153</v>
      </c>
    </row>
    <row r="994" spans="1:5">
      <c r="A994">
        <v>992</v>
      </c>
      <c r="B994" t="s">
        <v>1166</v>
      </c>
      <c r="C994" t="s">
        <v>4730</v>
      </c>
      <c r="D994" t="s">
        <v>823</v>
      </c>
      <c r="E994" t="s">
        <v>153</v>
      </c>
    </row>
    <row r="995" spans="1:5">
      <c r="A995">
        <v>993</v>
      </c>
      <c r="B995" t="s">
        <v>1167</v>
      </c>
      <c r="C995" t="s">
        <v>4731</v>
      </c>
      <c r="D995" t="s">
        <v>823</v>
      </c>
      <c r="E995" t="s">
        <v>153</v>
      </c>
    </row>
    <row r="996" spans="1:5">
      <c r="A996">
        <v>994</v>
      </c>
      <c r="B996" t="s">
        <v>1168</v>
      </c>
      <c r="C996" t="s">
        <v>4732</v>
      </c>
      <c r="D996" t="s">
        <v>823</v>
      </c>
      <c r="E996" t="s">
        <v>153</v>
      </c>
    </row>
    <row r="997" spans="1:5">
      <c r="A997">
        <v>995</v>
      </c>
      <c r="B997" t="s">
        <v>1169</v>
      </c>
      <c r="C997" t="s">
        <v>4733</v>
      </c>
      <c r="D997" t="s">
        <v>823</v>
      </c>
      <c r="E997" t="s">
        <v>153</v>
      </c>
    </row>
    <row r="998" spans="1:5">
      <c r="A998">
        <v>996</v>
      </c>
      <c r="B998" t="s">
        <v>1170</v>
      </c>
      <c r="C998" t="s">
        <v>4734</v>
      </c>
      <c r="D998" t="s">
        <v>823</v>
      </c>
      <c r="E998" t="s">
        <v>153</v>
      </c>
    </row>
    <row r="999" spans="1:5">
      <c r="A999">
        <v>997</v>
      </c>
      <c r="B999" t="s">
        <v>1171</v>
      </c>
      <c r="C999" t="s">
        <v>4735</v>
      </c>
      <c r="D999" t="s">
        <v>823</v>
      </c>
      <c r="E999" t="s">
        <v>153</v>
      </c>
    </row>
    <row r="1000" spans="1:5">
      <c r="A1000">
        <v>998</v>
      </c>
      <c r="B1000" t="s">
        <v>1172</v>
      </c>
      <c r="C1000" t="s">
        <v>4736</v>
      </c>
      <c r="D1000" t="s">
        <v>823</v>
      </c>
      <c r="E1000" t="s">
        <v>153</v>
      </c>
    </row>
    <row r="1001" spans="1:5">
      <c r="A1001">
        <v>999</v>
      </c>
      <c r="B1001" t="s">
        <v>1173</v>
      </c>
      <c r="C1001" t="s">
        <v>4737</v>
      </c>
      <c r="D1001" t="s">
        <v>823</v>
      </c>
      <c r="E1001" t="s">
        <v>153</v>
      </c>
    </row>
    <row r="1002" spans="1:5">
      <c r="A1002">
        <v>1000</v>
      </c>
      <c r="B1002" t="s">
        <v>1174</v>
      </c>
      <c r="C1002" t="s">
        <v>4738</v>
      </c>
      <c r="D1002" t="s">
        <v>823</v>
      </c>
      <c r="E1002" t="s">
        <v>153</v>
      </c>
    </row>
    <row r="1003" spans="1:5">
      <c r="A1003">
        <v>1001</v>
      </c>
      <c r="B1003" t="s">
        <v>1175</v>
      </c>
      <c r="C1003" t="s">
        <v>4739</v>
      </c>
      <c r="D1003" t="s">
        <v>823</v>
      </c>
      <c r="E1003" t="s">
        <v>153</v>
      </c>
    </row>
    <row r="1004" spans="1:5">
      <c r="A1004">
        <v>1002</v>
      </c>
      <c r="B1004" t="s">
        <v>1176</v>
      </c>
      <c r="C1004" t="s">
        <v>4740</v>
      </c>
      <c r="D1004" t="s">
        <v>823</v>
      </c>
      <c r="E1004" t="s">
        <v>153</v>
      </c>
    </row>
    <row r="1005" spans="1:5">
      <c r="A1005">
        <v>1003</v>
      </c>
      <c r="B1005" t="s">
        <v>1177</v>
      </c>
      <c r="C1005" t="s">
        <v>4741</v>
      </c>
      <c r="D1005" t="s">
        <v>823</v>
      </c>
      <c r="E1005" t="s">
        <v>153</v>
      </c>
    </row>
    <row r="1006" spans="1:5">
      <c r="A1006">
        <v>1004</v>
      </c>
      <c r="B1006" t="s">
        <v>1178</v>
      </c>
      <c r="C1006" t="s">
        <v>4742</v>
      </c>
      <c r="D1006" t="s">
        <v>823</v>
      </c>
      <c r="E1006" t="s">
        <v>153</v>
      </c>
    </row>
    <row r="1007" spans="1:5">
      <c r="A1007">
        <v>1005</v>
      </c>
      <c r="B1007" t="s">
        <v>1179</v>
      </c>
      <c r="C1007" t="s">
        <v>4743</v>
      </c>
      <c r="D1007" t="s">
        <v>823</v>
      </c>
      <c r="E1007" t="s">
        <v>153</v>
      </c>
    </row>
    <row r="1008" spans="1:5">
      <c r="A1008">
        <v>1006</v>
      </c>
      <c r="B1008" t="s">
        <v>1180</v>
      </c>
      <c r="C1008" t="s">
        <v>4744</v>
      </c>
      <c r="D1008" t="s">
        <v>823</v>
      </c>
      <c r="E1008" t="s">
        <v>153</v>
      </c>
    </row>
    <row r="1009" spans="1:5">
      <c r="A1009">
        <v>1007</v>
      </c>
      <c r="B1009" t="s">
        <v>1181</v>
      </c>
      <c r="C1009" t="s">
        <v>4745</v>
      </c>
      <c r="D1009" t="s">
        <v>823</v>
      </c>
      <c r="E1009" t="s">
        <v>153</v>
      </c>
    </row>
    <row r="1010" spans="1:5">
      <c r="A1010">
        <v>1008</v>
      </c>
      <c r="B1010" t="s">
        <v>1182</v>
      </c>
      <c r="C1010" t="s">
        <v>4746</v>
      </c>
      <c r="D1010" t="s">
        <v>823</v>
      </c>
      <c r="E1010" t="s">
        <v>153</v>
      </c>
    </row>
    <row r="1011" spans="1:5">
      <c r="A1011">
        <v>1009</v>
      </c>
      <c r="B1011" t="s">
        <v>1183</v>
      </c>
      <c r="C1011" t="s">
        <v>4747</v>
      </c>
      <c r="D1011" t="s">
        <v>823</v>
      </c>
      <c r="E1011" t="s">
        <v>153</v>
      </c>
    </row>
    <row r="1012" spans="1:5">
      <c r="A1012">
        <v>1010</v>
      </c>
      <c r="B1012" t="s">
        <v>1184</v>
      </c>
      <c r="C1012" t="s">
        <v>4748</v>
      </c>
      <c r="D1012" t="s">
        <v>823</v>
      </c>
      <c r="E1012" t="s">
        <v>153</v>
      </c>
    </row>
    <row r="1013" spans="1:5">
      <c r="A1013">
        <v>1011</v>
      </c>
      <c r="B1013" t="s">
        <v>1185</v>
      </c>
      <c r="C1013" t="s">
        <v>4749</v>
      </c>
      <c r="D1013" t="s">
        <v>823</v>
      </c>
      <c r="E1013" t="s">
        <v>153</v>
      </c>
    </row>
    <row r="1014" spans="1:5">
      <c r="A1014">
        <v>1012</v>
      </c>
      <c r="B1014" t="s">
        <v>1186</v>
      </c>
      <c r="C1014" t="s">
        <v>4750</v>
      </c>
      <c r="D1014" t="s">
        <v>823</v>
      </c>
      <c r="E1014" t="s">
        <v>153</v>
      </c>
    </row>
    <row r="1015" spans="1:5">
      <c r="A1015">
        <v>1013</v>
      </c>
      <c r="B1015" t="s">
        <v>1187</v>
      </c>
      <c r="C1015" t="s">
        <v>4751</v>
      </c>
      <c r="D1015" t="s">
        <v>823</v>
      </c>
      <c r="E1015" t="s">
        <v>153</v>
      </c>
    </row>
    <row r="1016" spans="1:5">
      <c r="A1016">
        <v>1014</v>
      </c>
      <c r="B1016" t="s">
        <v>1188</v>
      </c>
      <c r="C1016" t="s">
        <v>4752</v>
      </c>
      <c r="D1016" t="s">
        <v>823</v>
      </c>
      <c r="E1016" t="s">
        <v>153</v>
      </c>
    </row>
    <row r="1017" spans="1:5">
      <c r="A1017">
        <v>1015</v>
      </c>
      <c r="B1017" t="s">
        <v>1189</v>
      </c>
      <c r="C1017" t="s">
        <v>4753</v>
      </c>
      <c r="D1017" t="s">
        <v>823</v>
      </c>
      <c r="E1017" t="s">
        <v>153</v>
      </c>
    </row>
    <row r="1018" spans="1:5">
      <c r="A1018">
        <v>1016</v>
      </c>
      <c r="B1018" t="s">
        <v>1190</v>
      </c>
      <c r="C1018" t="s">
        <v>4754</v>
      </c>
      <c r="D1018" t="s">
        <v>823</v>
      </c>
      <c r="E1018" t="s">
        <v>153</v>
      </c>
    </row>
    <row r="1019" spans="1:5">
      <c r="A1019">
        <v>1017</v>
      </c>
      <c r="B1019" t="s">
        <v>1191</v>
      </c>
      <c r="C1019" t="s">
        <v>4755</v>
      </c>
      <c r="D1019" t="s">
        <v>823</v>
      </c>
      <c r="E1019" t="s">
        <v>153</v>
      </c>
    </row>
    <row r="1020" spans="1:5">
      <c r="A1020">
        <v>1018</v>
      </c>
      <c r="B1020" t="s">
        <v>1192</v>
      </c>
      <c r="C1020" t="s">
        <v>4756</v>
      </c>
      <c r="D1020" t="s">
        <v>823</v>
      </c>
      <c r="E1020" t="s">
        <v>153</v>
      </c>
    </row>
    <row r="1021" spans="1:5">
      <c r="A1021">
        <v>1019</v>
      </c>
      <c r="B1021" t="s">
        <v>1193</v>
      </c>
      <c r="C1021" t="s">
        <v>4757</v>
      </c>
      <c r="D1021" t="s">
        <v>823</v>
      </c>
      <c r="E1021" t="s">
        <v>153</v>
      </c>
    </row>
    <row r="1022" spans="1:5">
      <c r="A1022">
        <v>1020</v>
      </c>
      <c r="B1022" t="s">
        <v>1194</v>
      </c>
      <c r="C1022" t="s">
        <v>4758</v>
      </c>
      <c r="D1022" t="s">
        <v>823</v>
      </c>
      <c r="E1022" t="s">
        <v>153</v>
      </c>
    </row>
    <row r="1023" spans="1:5">
      <c r="A1023">
        <v>1021</v>
      </c>
      <c r="B1023" t="s">
        <v>1195</v>
      </c>
      <c r="C1023" t="s">
        <v>4759</v>
      </c>
      <c r="D1023" t="s">
        <v>823</v>
      </c>
      <c r="E1023" t="s">
        <v>153</v>
      </c>
    </row>
    <row r="1024" spans="1:5">
      <c r="A1024">
        <v>1022</v>
      </c>
      <c r="B1024" t="s">
        <v>1196</v>
      </c>
      <c r="C1024" t="s">
        <v>4760</v>
      </c>
      <c r="D1024" t="s">
        <v>823</v>
      </c>
      <c r="E1024" t="s">
        <v>153</v>
      </c>
    </row>
    <row r="1025" spans="1:5">
      <c r="A1025">
        <v>1023</v>
      </c>
      <c r="B1025" t="s">
        <v>1197</v>
      </c>
      <c r="C1025" t="s">
        <v>4761</v>
      </c>
      <c r="D1025" t="s">
        <v>823</v>
      </c>
      <c r="E1025" t="s">
        <v>153</v>
      </c>
    </row>
    <row r="1026" spans="1:5">
      <c r="A1026">
        <v>1024</v>
      </c>
      <c r="B1026" t="s">
        <v>1198</v>
      </c>
      <c r="C1026" t="s">
        <v>4762</v>
      </c>
      <c r="D1026" t="s">
        <v>823</v>
      </c>
      <c r="E1026" t="s">
        <v>153</v>
      </c>
    </row>
    <row r="1027" spans="1:5">
      <c r="A1027">
        <v>1025</v>
      </c>
      <c r="B1027" t="s">
        <v>1199</v>
      </c>
      <c r="C1027" t="s">
        <v>4763</v>
      </c>
      <c r="D1027" t="s">
        <v>823</v>
      </c>
      <c r="E1027" t="s">
        <v>153</v>
      </c>
    </row>
    <row r="1028" spans="1:5">
      <c r="A1028">
        <v>1026</v>
      </c>
      <c r="B1028" t="s">
        <v>1200</v>
      </c>
      <c r="C1028" t="s">
        <v>4764</v>
      </c>
      <c r="D1028" t="s">
        <v>823</v>
      </c>
      <c r="E1028" t="s">
        <v>153</v>
      </c>
    </row>
    <row r="1029" spans="1:5">
      <c r="A1029">
        <v>1027</v>
      </c>
      <c r="B1029" t="s">
        <v>1201</v>
      </c>
      <c r="C1029" t="s">
        <v>4765</v>
      </c>
      <c r="D1029" t="s">
        <v>823</v>
      </c>
      <c r="E1029" t="s">
        <v>153</v>
      </c>
    </row>
    <row r="1030" spans="1:5">
      <c r="A1030">
        <v>1028</v>
      </c>
      <c r="B1030" t="s">
        <v>1202</v>
      </c>
      <c r="C1030" t="s">
        <v>4766</v>
      </c>
      <c r="D1030" t="s">
        <v>823</v>
      </c>
      <c r="E1030" t="s">
        <v>153</v>
      </c>
    </row>
    <row r="1031" spans="1:5">
      <c r="A1031">
        <v>1029</v>
      </c>
      <c r="B1031" t="s">
        <v>1203</v>
      </c>
      <c r="C1031" t="s">
        <v>4767</v>
      </c>
      <c r="D1031" t="s">
        <v>823</v>
      </c>
      <c r="E1031" t="s">
        <v>153</v>
      </c>
    </row>
    <row r="1032" spans="1:5">
      <c r="A1032">
        <v>1030</v>
      </c>
      <c r="B1032" t="s">
        <v>1204</v>
      </c>
      <c r="C1032" t="s">
        <v>4768</v>
      </c>
      <c r="D1032" t="s">
        <v>823</v>
      </c>
      <c r="E1032" t="s">
        <v>153</v>
      </c>
    </row>
    <row r="1033" spans="1:5">
      <c r="A1033">
        <v>1031</v>
      </c>
      <c r="B1033" t="s">
        <v>1205</v>
      </c>
      <c r="C1033" t="s">
        <v>4769</v>
      </c>
      <c r="D1033" t="s">
        <v>823</v>
      </c>
      <c r="E1033" t="s">
        <v>153</v>
      </c>
    </row>
    <row r="1034" spans="1:5">
      <c r="A1034">
        <v>1032</v>
      </c>
      <c r="B1034" t="s">
        <v>1206</v>
      </c>
      <c r="C1034" t="s">
        <v>4770</v>
      </c>
      <c r="D1034" t="s">
        <v>823</v>
      </c>
      <c r="E1034" t="s">
        <v>153</v>
      </c>
    </row>
    <row r="1035" spans="1:5">
      <c r="A1035">
        <v>1033</v>
      </c>
      <c r="B1035" t="s">
        <v>1207</v>
      </c>
      <c r="C1035" t="s">
        <v>4771</v>
      </c>
      <c r="D1035" t="s">
        <v>823</v>
      </c>
      <c r="E1035" t="s">
        <v>153</v>
      </c>
    </row>
    <row r="1036" spans="1:5">
      <c r="A1036">
        <v>1034</v>
      </c>
      <c r="B1036" t="s">
        <v>1208</v>
      </c>
      <c r="C1036" t="s">
        <v>4772</v>
      </c>
      <c r="D1036" t="s">
        <v>823</v>
      </c>
      <c r="E1036" t="s">
        <v>153</v>
      </c>
    </row>
    <row r="1037" spans="1:5">
      <c r="A1037">
        <v>1035</v>
      </c>
      <c r="B1037" t="s">
        <v>1209</v>
      </c>
      <c r="C1037" t="s">
        <v>4773</v>
      </c>
      <c r="D1037" t="s">
        <v>823</v>
      </c>
      <c r="E1037" t="s">
        <v>153</v>
      </c>
    </row>
    <row r="1038" spans="1:5">
      <c r="A1038">
        <v>1036</v>
      </c>
      <c r="B1038" t="s">
        <v>1210</v>
      </c>
      <c r="C1038" t="s">
        <v>4774</v>
      </c>
      <c r="D1038" t="s">
        <v>823</v>
      </c>
      <c r="E1038" t="s">
        <v>153</v>
      </c>
    </row>
    <row r="1039" spans="1:5">
      <c r="A1039">
        <v>1037</v>
      </c>
      <c r="B1039" t="s">
        <v>1211</v>
      </c>
      <c r="C1039" t="s">
        <v>4775</v>
      </c>
      <c r="D1039" t="s">
        <v>823</v>
      </c>
      <c r="E1039" t="s">
        <v>153</v>
      </c>
    </row>
    <row r="1040" spans="1:5">
      <c r="A1040">
        <v>1038</v>
      </c>
      <c r="B1040" t="s">
        <v>1212</v>
      </c>
      <c r="C1040" t="s">
        <v>4776</v>
      </c>
      <c r="D1040" t="s">
        <v>823</v>
      </c>
      <c r="E1040" t="s">
        <v>153</v>
      </c>
    </row>
    <row r="1041" spans="1:5">
      <c r="A1041">
        <v>1039</v>
      </c>
      <c r="B1041" t="s">
        <v>1213</v>
      </c>
      <c r="C1041" t="s">
        <v>4777</v>
      </c>
      <c r="D1041" t="s">
        <v>823</v>
      </c>
      <c r="E1041" t="s">
        <v>153</v>
      </c>
    </row>
    <row r="1042" spans="1:5">
      <c r="A1042">
        <v>1040</v>
      </c>
      <c r="B1042" t="s">
        <v>1214</v>
      </c>
      <c r="C1042" t="s">
        <v>4778</v>
      </c>
      <c r="D1042" t="s">
        <v>823</v>
      </c>
      <c r="E1042" t="s">
        <v>153</v>
      </c>
    </row>
    <row r="1043" spans="1:5">
      <c r="A1043">
        <v>1041</v>
      </c>
      <c r="B1043" t="s">
        <v>1215</v>
      </c>
      <c r="C1043" t="s">
        <v>4779</v>
      </c>
      <c r="D1043" t="s">
        <v>823</v>
      </c>
      <c r="E1043" t="s">
        <v>153</v>
      </c>
    </row>
    <row r="1044" spans="1:5">
      <c r="A1044">
        <v>1042</v>
      </c>
      <c r="B1044" t="s">
        <v>1216</v>
      </c>
      <c r="C1044" t="s">
        <v>4780</v>
      </c>
      <c r="D1044" t="s">
        <v>823</v>
      </c>
      <c r="E1044" t="s">
        <v>153</v>
      </c>
    </row>
    <row r="1045" spans="1:5">
      <c r="A1045">
        <v>1043</v>
      </c>
      <c r="B1045" t="s">
        <v>1217</v>
      </c>
      <c r="C1045" t="s">
        <v>4781</v>
      </c>
      <c r="D1045" t="s">
        <v>823</v>
      </c>
      <c r="E1045" t="s">
        <v>153</v>
      </c>
    </row>
    <row r="1046" spans="1:5">
      <c r="A1046">
        <v>1044</v>
      </c>
      <c r="B1046" t="s">
        <v>1218</v>
      </c>
      <c r="C1046" t="s">
        <v>4782</v>
      </c>
      <c r="D1046" t="s">
        <v>823</v>
      </c>
      <c r="E1046" t="s">
        <v>153</v>
      </c>
    </row>
    <row r="1047" spans="1:5">
      <c r="A1047">
        <v>1045</v>
      </c>
      <c r="B1047" t="s">
        <v>1219</v>
      </c>
      <c r="C1047" t="s">
        <v>4783</v>
      </c>
      <c r="D1047" t="s">
        <v>823</v>
      </c>
      <c r="E1047" t="s">
        <v>153</v>
      </c>
    </row>
    <row r="1048" spans="1:5">
      <c r="A1048">
        <v>1046</v>
      </c>
      <c r="B1048" t="s">
        <v>1220</v>
      </c>
      <c r="C1048" t="s">
        <v>4784</v>
      </c>
      <c r="D1048" t="s">
        <v>823</v>
      </c>
      <c r="E1048" t="s">
        <v>153</v>
      </c>
    </row>
    <row r="1049" spans="1:5">
      <c r="A1049">
        <v>1047</v>
      </c>
      <c r="B1049" t="s">
        <v>1221</v>
      </c>
      <c r="C1049" t="s">
        <v>4785</v>
      </c>
      <c r="D1049" t="s">
        <v>823</v>
      </c>
      <c r="E1049" t="s">
        <v>153</v>
      </c>
    </row>
    <row r="1050" spans="1:5">
      <c r="A1050">
        <v>1048</v>
      </c>
      <c r="B1050" t="s">
        <v>1222</v>
      </c>
      <c r="C1050" t="s">
        <v>4786</v>
      </c>
      <c r="D1050" t="s">
        <v>823</v>
      </c>
      <c r="E1050" t="s">
        <v>153</v>
      </c>
    </row>
    <row r="1051" spans="1:5">
      <c r="A1051">
        <v>1049</v>
      </c>
      <c r="B1051" t="s">
        <v>1223</v>
      </c>
      <c r="C1051" t="s">
        <v>4787</v>
      </c>
      <c r="D1051" t="s">
        <v>823</v>
      </c>
      <c r="E1051" t="s">
        <v>153</v>
      </c>
    </row>
    <row r="1052" spans="1:5">
      <c r="A1052">
        <v>1050</v>
      </c>
      <c r="B1052" t="s">
        <v>535</v>
      </c>
      <c r="C1052" t="s">
        <v>4108</v>
      </c>
      <c r="D1052" t="s">
        <v>823</v>
      </c>
      <c r="E1052" t="s">
        <v>153</v>
      </c>
    </row>
    <row r="1053" spans="1:5">
      <c r="A1053">
        <v>1051</v>
      </c>
      <c r="B1053" t="s">
        <v>1224</v>
      </c>
      <c r="C1053" t="s">
        <v>4788</v>
      </c>
      <c r="D1053" t="s">
        <v>823</v>
      </c>
      <c r="E1053" t="s">
        <v>153</v>
      </c>
    </row>
    <row r="1054" spans="1:5">
      <c r="A1054">
        <v>1052</v>
      </c>
      <c r="B1054" t="s">
        <v>1225</v>
      </c>
      <c r="C1054" t="s">
        <v>4789</v>
      </c>
      <c r="D1054" t="s">
        <v>823</v>
      </c>
      <c r="E1054" t="s">
        <v>153</v>
      </c>
    </row>
    <row r="1055" spans="1:5">
      <c r="A1055">
        <v>1053</v>
      </c>
      <c r="B1055" t="s">
        <v>1226</v>
      </c>
      <c r="C1055" t="s">
        <v>4790</v>
      </c>
      <c r="D1055" t="s">
        <v>823</v>
      </c>
      <c r="E1055" t="s">
        <v>153</v>
      </c>
    </row>
    <row r="1056" spans="1:5">
      <c r="A1056">
        <v>1054</v>
      </c>
      <c r="B1056" t="s">
        <v>1227</v>
      </c>
      <c r="C1056" t="s">
        <v>4791</v>
      </c>
      <c r="D1056" t="s">
        <v>823</v>
      </c>
      <c r="E1056" t="s">
        <v>153</v>
      </c>
    </row>
    <row r="1057" spans="1:5">
      <c r="A1057">
        <v>1055</v>
      </c>
      <c r="B1057" t="s">
        <v>1228</v>
      </c>
      <c r="C1057" t="s">
        <v>4792</v>
      </c>
      <c r="D1057" t="s">
        <v>823</v>
      </c>
      <c r="E1057" t="s">
        <v>153</v>
      </c>
    </row>
    <row r="1058" spans="1:5">
      <c r="A1058">
        <v>1056</v>
      </c>
      <c r="B1058" t="s">
        <v>1229</v>
      </c>
      <c r="C1058" t="s">
        <v>4793</v>
      </c>
      <c r="D1058" t="s">
        <v>823</v>
      </c>
      <c r="E1058" t="s">
        <v>153</v>
      </c>
    </row>
    <row r="1059" spans="1:5">
      <c r="A1059">
        <v>1057</v>
      </c>
      <c r="B1059" t="s">
        <v>1230</v>
      </c>
      <c r="C1059" t="s">
        <v>4794</v>
      </c>
      <c r="D1059" t="s">
        <v>823</v>
      </c>
      <c r="E1059" t="s">
        <v>153</v>
      </c>
    </row>
    <row r="1060" spans="1:5">
      <c r="A1060">
        <v>1058</v>
      </c>
      <c r="B1060" t="s">
        <v>1231</v>
      </c>
      <c r="C1060" t="s">
        <v>4795</v>
      </c>
      <c r="D1060" t="s">
        <v>823</v>
      </c>
      <c r="E1060" t="s">
        <v>153</v>
      </c>
    </row>
    <row r="1061" spans="1:5">
      <c r="A1061">
        <v>1059</v>
      </c>
      <c r="B1061" t="s">
        <v>1232</v>
      </c>
      <c r="C1061" t="s">
        <v>4796</v>
      </c>
      <c r="D1061" t="s">
        <v>823</v>
      </c>
      <c r="E1061" t="s">
        <v>153</v>
      </c>
    </row>
    <row r="1062" spans="1:5">
      <c r="A1062">
        <v>1060</v>
      </c>
      <c r="B1062" t="s">
        <v>1233</v>
      </c>
      <c r="C1062" t="s">
        <v>4797</v>
      </c>
      <c r="D1062" t="s">
        <v>823</v>
      </c>
      <c r="E1062" t="s">
        <v>153</v>
      </c>
    </row>
    <row r="1063" spans="1:5">
      <c r="A1063">
        <v>1061</v>
      </c>
      <c r="B1063" t="s">
        <v>1234</v>
      </c>
      <c r="C1063" t="s">
        <v>4798</v>
      </c>
      <c r="D1063" t="s">
        <v>823</v>
      </c>
      <c r="E1063" t="s">
        <v>153</v>
      </c>
    </row>
    <row r="1064" spans="1:5">
      <c r="A1064">
        <v>1062</v>
      </c>
      <c r="B1064" t="s">
        <v>1235</v>
      </c>
      <c r="C1064" t="s">
        <v>4799</v>
      </c>
      <c r="D1064" t="s">
        <v>823</v>
      </c>
      <c r="E1064" t="s">
        <v>153</v>
      </c>
    </row>
    <row r="1065" spans="1:5">
      <c r="A1065">
        <v>1063</v>
      </c>
      <c r="B1065" t="s">
        <v>1236</v>
      </c>
      <c r="C1065" t="s">
        <v>4800</v>
      </c>
      <c r="D1065" t="s">
        <v>823</v>
      </c>
      <c r="E1065" t="s">
        <v>153</v>
      </c>
    </row>
    <row r="1066" spans="1:5">
      <c r="A1066">
        <v>1064</v>
      </c>
      <c r="B1066" t="s">
        <v>1237</v>
      </c>
      <c r="C1066" t="s">
        <v>4801</v>
      </c>
      <c r="D1066" t="s">
        <v>823</v>
      </c>
      <c r="E1066" t="s">
        <v>153</v>
      </c>
    </row>
    <row r="1067" spans="1:5">
      <c r="A1067">
        <v>1065</v>
      </c>
      <c r="B1067" t="s">
        <v>1238</v>
      </c>
      <c r="C1067" t="s">
        <v>4802</v>
      </c>
      <c r="D1067" t="s">
        <v>823</v>
      </c>
      <c r="E1067" t="s">
        <v>153</v>
      </c>
    </row>
    <row r="1068" spans="1:5">
      <c r="A1068">
        <v>1066</v>
      </c>
      <c r="B1068" t="s">
        <v>1239</v>
      </c>
      <c r="C1068" t="s">
        <v>4803</v>
      </c>
      <c r="D1068" t="s">
        <v>823</v>
      </c>
      <c r="E1068" t="s">
        <v>153</v>
      </c>
    </row>
    <row r="1069" spans="1:5">
      <c r="A1069">
        <v>1067</v>
      </c>
      <c r="B1069" t="s">
        <v>1240</v>
      </c>
      <c r="C1069" t="s">
        <v>4804</v>
      </c>
      <c r="D1069" t="s">
        <v>823</v>
      </c>
      <c r="E1069" t="s">
        <v>153</v>
      </c>
    </row>
    <row r="1070" spans="1:5">
      <c r="A1070">
        <v>1068</v>
      </c>
      <c r="B1070" t="s">
        <v>1241</v>
      </c>
      <c r="C1070" t="s">
        <v>4805</v>
      </c>
      <c r="D1070" t="s">
        <v>823</v>
      </c>
      <c r="E1070" t="s">
        <v>153</v>
      </c>
    </row>
    <row r="1071" spans="1:5">
      <c r="A1071">
        <v>1069</v>
      </c>
      <c r="B1071" t="s">
        <v>1242</v>
      </c>
      <c r="C1071" t="s">
        <v>4806</v>
      </c>
      <c r="D1071" t="s">
        <v>823</v>
      </c>
      <c r="E1071" t="s">
        <v>153</v>
      </c>
    </row>
    <row r="1072" spans="1:5">
      <c r="A1072">
        <v>1070</v>
      </c>
      <c r="B1072" t="s">
        <v>1243</v>
      </c>
      <c r="C1072" t="s">
        <v>4807</v>
      </c>
      <c r="D1072" t="s">
        <v>823</v>
      </c>
      <c r="E1072" t="s">
        <v>153</v>
      </c>
    </row>
    <row r="1073" spans="1:5">
      <c r="A1073">
        <v>1071</v>
      </c>
      <c r="B1073" t="s">
        <v>1244</v>
      </c>
      <c r="C1073" t="s">
        <v>4808</v>
      </c>
      <c r="D1073" t="s">
        <v>823</v>
      </c>
      <c r="E1073" t="s">
        <v>153</v>
      </c>
    </row>
    <row r="1074" spans="1:5">
      <c r="A1074">
        <v>1072</v>
      </c>
      <c r="B1074" t="s">
        <v>1245</v>
      </c>
      <c r="C1074" t="s">
        <v>4809</v>
      </c>
      <c r="D1074" t="s">
        <v>823</v>
      </c>
      <c r="E1074" t="s">
        <v>153</v>
      </c>
    </row>
    <row r="1075" spans="1:5">
      <c r="A1075">
        <v>1073</v>
      </c>
      <c r="B1075" t="s">
        <v>1246</v>
      </c>
      <c r="C1075" t="s">
        <v>4810</v>
      </c>
      <c r="D1075" t="s">
        <v>823</v>
      </c>
      <c r="E1075" t="s">
        <v>153</v>
      </c>
    </row>
    <row r="1076" spans="1:5">
      <c r="A1076">
        <v>1074</v>
      </c>
      <c r="B1076" t="s">
        <v>1247</v>
      </c>
      <c r="C1076" t="s">
        <v>4811</v>
      </c>
      <c r="D1076" t="s">
        <v>823</v>
      </c>
      <c r="E1076" t="s">
        <v>153</v>
      </c>
    </row>
    <row r="1077" spans="1:5">
      <c r="A1077">
        <v>1075</v>
      </c>
      <c r="B1077" t="s">
        <v>1248</v>
      </c>
      <c r="C1077" t="s">
        <v>4812</v>
      </c>
      <c r="D1077" t="s">
        <v>823</v>
      </c>
      <c r="E1077" t="s">
        <v>153</v>
      </c>
    </row>
    <row r="1078" spans="1:5">
      <c r="A1078">
        <v>1076</v>
      </c>
      <c r="B1078" t="s">
        <v>1249</v>
      </c>
      <c r="C1078" t="s">
        <v>4813</v>
      </c>
      <c r="D1078" t="s">
        <v>823</v>
      </c>
      <c r="E1078" t="s">
        <v>153</v>
      </c>
    </row>
    <row r="1079" spans="1:5">
      <c r="A1079">
        <v>1077</v>
      </c>
      <c r="B1079" t="s">
        <v>1250</v>
      </c>
      <c r="C1079" t="s">
        <v>4814</v>
      </c>
      <c r="D1079" t="s">
        <v>823</v>
      </c>
      <c r="E1079" t="s">
        <v>153</v>
      </c>
    </row>
    <row r="1080" spans="1:5">
      <c r="A1080">
        <v>1078</v>
      </c>
      <c r="B1080" t="s">
        <v>1251</v>
      </c>
      <c r="C1080" t="s">
        <v>4815</v>
      </c>
      <c r="D1080" t="s">
        <v>823</v>
      </c>
      <c r="E1080" t="s">
        <v>153</v>
      </c>
    </row>
    <row r="1081" spans="1:5">
      <c r="A1081">
        <v>1079</v>
      </c>
      <c r="B1081" t="s">
        <v>1252</v>
      </c>
      <c r="C1081" t="s">
        <v>4816</v>
      </c>
      <c r="D1081" t="s">
        <v>823</v>
      </c>
      <c r="E1081" t="s">
        <v>153</v>
      </c>
    </row>
    <row r="1082" spans="1:5">
      <c r="A1082">
        <v>1080</v>
      </c>
      <c r="B1082" t="s">
        <v>1253</v>
      </c>
      <c r="C1082" t="s">
        <v>4817</v>
      </c>
      <c r="D1082" t="s">
        <v>823</v>
      </c>
      <c r="E1082" t="s">
        <v>153</v>
      </c>
    </row>
    <row r="1083" spans="1:5">
      <c r="A1083">
        <v>1081</v>
      </c>
      <c r="B1083" t="s">
        <v>1254</v>
      </c>
      <c r="C1083" t="s">
        <v>4818</v>
      </c>
      <c r="D1083" t="s">
        <v>823</v>
      </c>
      <c r="E1083" t="s">
        <v>153</v>
      </c>
    </row>
    <row r="1084" spans="1:5">
      <c r="A1084">
        <v>1082</v>
      </c>
      <c r="B1084" t="s">
        <v>1255</v>
      </c>
      <c r="C1084" t="s">
        <v>4819</v>
      </c>
      <c r="D1084" t="s">
        <v>823</v>
      </c>
      <c r="E1084" t="s">
        <v>153</v>
      </c>
    </row>
    <row r="1085" spans="1:5">
      <c r="A1085">
        <v>1083</v>
      </c>
      <c r="B1085" t="s">
        <v>1257</v>
      </c>
      <c r="C1085" t="s">
        <v>4820</v>
      </c>
      <c r="D1085" t="s">
        <v>823</v>
      </c>
      <c r="E1085" t="s">
        <v>153</v>
      </c>
    </row>
    <row r="1086" spans="1:5">
      <c r="A1086">
        <v>1084</v>
      </c>
      <c r="B1086" t="s">
        <v>1258</v>
      </c>
      <c r="C1086" t="s">
        <v>4821</v>
      </c>
      <c r="D1086" t="s">
        <v>823</v>
      </c>
      <c r="E1086" t="s">
        <v>153</v>
      </c>
    </row>
    <row r="1087" spans="1:5">
      <c r="A1087">
        <v>1085</v>
      </c>
      <c r="B1087" t="s">
        <v>1259</v>
      </c>
      <c r="C1087" t="s">
        <v>7336</v>
      </c>
      <c r="D1087" t="s">
        <v>823</v>
      </c>
      <c r="E1087" t="s">
        <v>153</v>
      </c>
    </row>
    <row r="1088" spans="1:5">
      <c r="A1088">
        <v>1086</v>
      </c>
      <c r="B1088" t="s">
        <v>1260</v>
      </c>
      <c r="C1088" t="s">
        <v>4822</v>
      </c>
      <c r="D1088" t="s">
        <v>823</v>
      </c>
      <c r="E1088" t="s">
        <v>153</v>
      </c>
    </row>
    <row r="1089" spans="1:5">
      <c r="A1089">
        <v>1087</v>
      </c>
      <c r="B1089" t="s">
        <v>1261</v>
      </c>
      <c r="C1089" t="s">
        <v>4823</v>
      </c>
      <c r="D1089" t="s">
        <v>823</v>
      </c>
      <c r="E1089" t="s">
        <v>153</v>
      </c>
    </row>
    <row r="1090" spans="1:5">
      <c r="A1090">
        <v>1088</v>
      </c>
      <c r="B1090" t="s">
        <v>1262</v>
      </c>
      <c r="C1090" t="s">
        <v>4824</v>
      </c>
      <c r="D1090" t="s">
        <v>823</v>
      </c>
      <c r="E1090" t="s">
        <v>153</v>
      </c>
    </row>
    <row r="1091" spans="1:5">
      <c r="A1091">
        <v>1089</v>
      </c>
      <c r="B1091" t="s">
        <v>1263</v>
      </c>
      <c r="C1091" t="s">
        <v>4825</v>
      </c>
      <c r="D1091" t="s">
        <v>823</v>
      </c>
      <c r="E1091" t="s">
        <v>153</v>
      </c>
    </row>
    <row r="1092" spans="1:5">
      <c r="A1092">
        <v>1090</v>
      </c>
      <c r="B1092" t="s">
        <v>1264</v>
      </c>
      <c r="C1092" t="s">
        <v>4826</v>
      </c>
      <c r="D1092" t="s">
        <v>823</v>
      </c>
      <c r="E1092" t="s">
        <v>153</v>
      </c>
    </row>
    <row r="1093" spans="1:5">
      <c r="A1093">
        <v>1091</v>
      </c>
      <c r="B1093" t="s">
        <v>1265</v>
      </c>
      <c r="C1093" t="s">
        <v>4827</v>
      </c>
      <c r="D1093" t="s">
        <v>823</v>
      </c>
      <c r="E1093" t="s">
        <v>153</v>
      </c>
    </row>
    <row r="1094" spans="1:5">
      <c r="A1094">
        <v>1092</v>
      </c>
      <c r="B1094" t="s">
        <v>1266</v>
      </c>
      <c r="C1094" t="s">
        <v>4828</v>
      </c>
      <c r="D1094" t="s">
        <v>823</v>
      </c>
      <c r="E1094" t="s">
        <v>153</v>
      </c>
    </row>
    <row r="1095" spans="1:5">
      <c r="A1095">
        <v>1093</v>
      </c>
      <c r="B1095" t="s">
        <v>1267</v>
      </c>
      <c r="C1095" t="s">
        <v>4829</v>
      </c>
      <c r="D1095" t="s">
        <v>823</v>
      </c>
      <c r="E1095" t="s">
        <v>153</v>
      </c>
    </row>
    <row r="1096" spans="1:5">
      <c r="A1096">
        <v>1094</v>
      </c>
      <c r="B1096" t="s">
        <v>1268</v>
      </c>
      <c r="C1096" t="s">
        <v>4830</v>
      </c>
      <c r="D1096" t="s">
        <v>823</v>
      </c>
      <c r="E1096" t="s">
        <v>153</v>
      </c>
    </row>
    <row r="1097" spans="1:5">
      <c r="A1097">
        <v>1095</v>
      </c>
      <c r="B1097" t="s">
        <v>1269</v>
      </c>
      <c r="C1097" t="s">
        <v>4831</v>
      </c>
      <c r="D1097" t="s">
        <v>823</v>
      </c>
      <c r="E1097" t="s">
        <v>153</v>
      </c>
    </row>
    <row r="1098" spans="1:5">
      <c r="A1098">
        <v>1096</v>
      </c>
      <c r="B1098" t="s">
        <v>1270</v>
      </c>
      <c r="C1098" t="s">
        <v>4832</v>
      </c>
      <c r="D1098" t="s">
        <v>823</v>
      </c>
      <c r="E1098" t="s">
        <v>153</v>
      </c>
    </row>
    <row r="1099" spans="1:5">
      <c r="A1099">
        <v>1097</v>
      </c>
      <c r="B1099" t="s">
        <v>1271</v>
      </c>
      <c r="C1099" t="s">
        <v>4833</v>
      </c>
      <c r="D1099" t="s">
        <v>823</v>
      </c>
      <c r="E1099" t="s">
        <v>153</v>
      </c>
    </row>
    <row r="1100" spans="1:5">
      <c r="A1100">
        <v>1098</v>
      </c>
      <c r="B1100" t="s">
        <v>1272</v>
      </c>
      <c r="C1100" t="s">
        <v>4834</v>
      </c>
      <c r="D1100" t="s">
        <v>823</v>
      </c>
      <c r="E1100" t="s">
        <v>153</v>
      </c>
    </row>
    <row r="1101" spans="1:5">
      <c r="A1101">
        <v>1099</v>
      </c>
      <c r="B1101" t="s">
        <v>1273</v>
      </c>
      <c r="C1101" t="s">
        <v>4835</v>
      </c>
      <c r="D1101" t="s">
        <v>823</v>
      </c>
      <c r="E1101" t="s">
        <v>153</v>
      </c>
    </row>
    <row r="1102" spans="1:5">
      <c r="A1102">
        <v>1100</v>
      </c>
      <c r="B1102" t="s">
        <v>1274</v>
      </c>
      <c r="C1102" t="s">
        <v>4836</v>
      </c>
      <c r="D1102" t="s">
        <v>823</v>
      </c>
      <c r="E1102" t="s">
        <v>153</v>
      </c>
    </row>
    <row r="1103" spans="1:5">
      <c r="A1103">
        <v>1101</v>
      </c>
      <c r="B1103" t="s">
        <v>1275</v>
      </c>
      <c r="C1103" t="s">
        <v>4837</v>
      </c>
      <c r="D1103" t="s">
        <v>823</v>
      </c>
      <c r="E1103" t="s">
        <v>153</v>
      </c>
    </row>
    <row r="1104" spans="1:5">
      <c r="A1104">
        <v>1102</v>
      </c>
      <c r="B1104" t="s">
        <v>1276</v>
      </c>
      <c r="C1104" t="s">
        <v>4838</v>
      </c>
      <c r="D1104" t="s">
        <v>823</v>
      </c>
      <c r="E1104" t="s">
        <v>153</v>
      </c>
    </row>
    <row r="1105" spans="1:5">
      <c r="A1105">
        <v>1103</v>
      </c>
      <c r="B1105" t="s">
        <v>1277</v>
      </c>
      <c r="C1105" t="s">
        <v>4839</v>
      </c>
      <c r="D1105" t="s">
        <v>823</v>
      </c>
      <c r="E1105" t="s">
        <v>153</v>
      </c>
    </row>
    <row r="1106" spans="1:5">
      <c r="A1106">
        <v>1104</v>
      </c>
      <c r="B1106" t="s">
        <v>1278</v>
      </c>
      <c r="C1106" t="s">
        <v>4840</v>
      </c>
      <c r="D1106" t="s">
        <v>823</v>
      </c>
      <c r="E1106" t="s">
        <v>153</v>
      </c>
    </row>
    <row r="1107" spans="1:5">
      <c r="A1107">
        <v>1105</v>
      </c>
      <c r="B1107" t="s">
        <v>1279</v>
      </c>
      <c r="C1107" t="s">
        <v>4841</v>
      </c>
      <c r="D1107" t="s">
        <v>823</v>
      </c>
      <c r="E1107" t="s">
        <v>153</v>
      </c>
    </row>
    <row r="1108" spans="1:5">
      <c r="A1108">
        <v>1106</v>
      </c>
      <c r="B1108" t="s">
        <v>1280</v>
      </c>
      <c r="C1108" t="s">
        <v>4842</v>
      </c>
      <c r="D1108" t="s">
        <v>823</v>
      </c>
      <c r="E1108" t="s">
        <v>153</v>
      </c>
    </row>
    <row r="1109" spans="1:5">
      <c r="A1109">
        <v>1107</v>
      </c>
      <c r="B1109" t="s">
        <v>1281</v>
      </c>
      <c r="C1109" t="s">
        <v>4843</v>
      </c>
      <c r="D1109" t="s">
        <v>823</v>
      </c>
      <c r="E1109" t="s">
        <v>153</v>
      </c>
    </row>
    <row r="1110" spans="1:5">
      <c r="A1110">
        <v>1108</v>
      </c>
      <c r="B1110" t="s">
        <v>1282</v>
      </c>
      <c r="C1110" t="s">
        <v>7337</v>
      </c>
      <c r="D1110" t="s">
        <v>823</v>
      </c>
      <c r="E1110" t="s">
        <v>153</v>
      </c>
    </row>
    <row r="1111" spans="1:5">
      <c r="A1111">
        <v>1109</v>
      </c>
      <c r="B1111" t="s">
        <v>1283</v>
      </c>
      <c r="C1111" t="s">
        <v>4844</v>
      </c>
      <c r="D1111" t="s">
        <v>823</v>
      </c>
      <c r="E1111" t="s">
        <v>153</v>
      </c>
    </row>
    <row r="1112" spans="1:5">
      <c r="A1112">
        <v>1110</v>
      </c>
      <c r="B1112" t="s">
        <v>1284</v>
      </c>
      <c r="C1112" t="s">
        <v>4845</v>
      </c>
      <c r="D1112" t="s">
        <v>823</v>
      </c>
      <c r="E1112" t="s">
        <v>153</v>
      </c>
    </row>
    <row r="1113" spans="1:5">
      <c r="A1113">
        <v>1111</v>
      </c>
      <c r="B1113" t="s">
        <v>1285</v>
      </c>
      <c r="C1113" t="s">
        <v>4846</v>
      </c>
      <c r="D1113" t="s">
        <v>823</v>
      </c>
      <c r="E1113" t="s">
        <v>153</v>
      </c>
    </row>
    <row r="1114" spans="1:5">
      <c r="A1114">
        <v>1112</v>
      </c>
      <c r="B1114" t="s">
        <v>1286</v>
      </c>
      <c r="C1114" t="s">
        <v>4847</v>
      </c>
      <c r="D1114" t="s">
        <v>823</v>
      </c>
      <c r="E1114" t="s">
        <v>153</v>
      </c>
    </row>
    <row r="1115" spans="1:5">
      <c r="A1115">
        <v>1113</v>
      </c>
      <c r="B1115" t="s">
        <v>1287</v>
      </c>
      <c r="C1115" t="s">
        <v>4848</v>
      </c>
      <c r="D1115" t="s">
        <v>823</v>
      </c>
      <c r="E1115" t="s">
        <v>153</v>
      </c>
    </row>
    <row r="1116" spans="1:5">
      <c r="A1116">
        <v>1114</v>
      </c>
      <c r="B1116" t="s">
        <v>1288</v>
      </c>
      <c r="C1116" t="s">
        <v>4849</v>
      </c>
      <c r="D1116" t="s">
        <v>823</v>
      </c>
      <c r="E1116" t="s">
        <v>153</v>
      </c>
    </row>
    <row r="1117" spans="1:5">
      <c r="A1117">
        <v>1115</v>
      </c>
      <c r="B1117" t="s">
        <v>1289</v>
      </c>
      <c r="C1117" t="s">
        <v>4850</v>
      </c>
      <c r="D1117" t="s">
        <v>823</v>
      </c>
      <c r="E1117" t="s">
        <v>153</v>
      </c>
    </row>
    <row r="1118" spans="1:5">
      <c r="A1118">
        <v>1116</v>
      </c>
      <c r="B1118" t="s">
        <v>1290</v>
      </c>
      <c r="C1118" t="s">
        <v>4851</v>
      </c>
      <c r="D1118" t="s">
        <v>823</v>
      </c>
      <c r="E1118" t="s">
        <v>153</v>
      </c>
    </row>
    <row r="1119" spans="1:5">
      <c r="A1119">
        <v>1117</v>
      </c>
      <c r="B1119" t="s">
        <v>1291</v>
      </c>
      <c r="C1119" t="s">
        <v>4852</v>
      </c>
      <c r="D1119" t="s">
        <v>823</v>
      </c>
      <c r="E1119" t="s">
        <v>153</v>
      </c>
    </row>
    <row r="1120" spans="1:5">
      <c r="A1120">
        <v>1118</v>
      </c>
      <c r="B1120" t="s">
        <v>1292</v>
      </c>
      <c r="C1120" t="s">
        <v>4853</v>
      </c>
      <c r="D1120" t="s">
        <v>823</v>
      </c>
      <c r="E1120" t="s">
        <v>153</v>
      </c>
    </row>
    <row r="1121" spans="1:5">
      <c r="A1121">
        <v>1119</v>
      </c>
      <c r="B1121" t="s">
        <v>1293</v>
      </c>
      <c r="C1121" t="s">
        <v>4854</v>
      </c>
      <c r="D1121" t="s">
        <v>823</v>
      </c>
      <c r="E1121" t="s">
        <v>153</v>
      </c>
    </row>
    <row r="1122" spans="1:5">
      <c r="A1122">
        <v>1120</v>
      </c>
      <c r="B1122" t="s">
        <v>1294</v>
      </c>
      <c r="C1122" t="s">
        <v>4855</v>
      </c>
      <c r="D1122" t="s">
        <v>823</v>
      </c>
      <c r="E1122" t="s">
        <v>153</v>
      </c>
    </row>
    <row r="1123" spans="1:5">
      <c r="A1123">
        <v>1121</v>
      </c>
      <c r="B1123" t="s">
        <v>1295</v>
      </c>
      <c r="C1123" t="s">
        <v>4856</v>
      </c>
      <c r="D1123" t="s">
        <v>823</v>
      </c>
      <c r="E1123" t="s">
        <v>153</v>
      </c>
    </row>
    <row r="1124" spans="1:5">
      <c r="A1124">
        <v>1122</v>
      </c>
      <c r="B1124" t="s">
        <v>1296</v>
      </c>
      <c r="C1124" t="s">
        <v>4857</v>
      </c>
      <c r="D1124" t="s">
        <v>823</v>
      </c>
      <c r="E1124" t="s">
        <v>153</v>
      </c>
    </row>
    <row r="1125" spans="1:5">
      <c r="A1125">
        <v>1123</v>
      </c>
      <c r="B1125" t="s">
        <v>1298</v>
      </c>
      <c r="C1125" t="s">
        <v>4859</v>
      </c>
      <c r="D1125" t="s">
        <v>823</v>
      </c>
      <c r="E1125" t="s">
        <v>153</v>
      </c>
    </row>
    <row r="1126" spans="1:5">
      <c r="A1126">
        <v>1124</v>
      </c>
      <c r="B1126" t="s">
        <v>1299</v>
      </c>
      <c r="C1126" t="s">
        <v>4860</v>
      </c>
      <c r="D1126" t="s">
        <v>823</v>
      </c>
      <c r="E1126" t="s">
        <v>153</v>
      </c>
    </row>
    <row r="1127" spans="1:5">
      <c r="A1127">
        <v>1125</v>
      </c>
      <c r="B1127" t="s">
        <v>1300</v>
      </c>
      <c r="C1127" t="s">
        <v>4861</v>
      </c>
      <c r="D1127" t="s">
        <v>823</v>
      </c>
      <c r="E1127" t="s">
        <v>153</v>
      </c>
    </row>
    <row r="1128" spans="1:5">
      <c r="A1128">
        <v>1126</v>
      </c>
      <c r="B1128" t="s">
        <v>1301</v>
      </c>
      <c r="C1128" t="s">
        <v>4862</v>
      </c>
      <c r="D1128" t="s">
        <v>823</v>
      </c>
      <c r="E1128" t="s">
        <v>153</v>
      </c>
    </row>
    <row r="1129" spans="1:5">
      <c r="A1129">
        <v>1127</v>
      </c>
      <c r="B1129" t="s">
        <v>1302</v>
      </c>
      <c r="C1129" t="s">
        <v>4863</v>
      </c>
      <c r="D1129" t="s">
        <v>823</v>
      </c>
      <c r="E1129" t="s">
        <v>153</v>
      </c>
    </row>
    <row r="1130" spans="1:5">
      <c r="A1130">
        <v>1128</v>
      </c>
      <c r="B1130" t="s">
        <v>1303</v>
      </c>
      <c r="C1130" t="s">
        <v>4864</v>
      </c>
      <c r="D1130" t="s">
        <v>823</v>
      </c>
      <c r="E1130" t="s">
        <v>153</v>
      </c>
    </row>
    <row r="1131" spans="1:5">
      <c r="A1131">
        <v>1129</v>
      </c>
      <c r="B1131" t="s">
        <v>1304</v>
      </c>
      <c r="C1131" t="s">
        <v>4865</v>
      </c>
      <c r="D1131" t="s">
        <v>823</v>
      </c>
      <c r="E1131" t="s">
        <v>153</v>
      </c>
    </row>
    <row r="1132" spans="1:5">
      <c r="A1132">
        <v>1130</v>
      </c>
      <c r="B1132" t="s">
        <v>1305</v>
      </c>
      <c r="C1132" t="s">
        <v>4866</v>
      </c>
      <c r="D1132" t="s">
        <v>823</v>
      </c>
      <c r="E1132" t="s">
        <v>153</v>
      </c>
    </row>
    <row r="1133" spans="1:5">
      <c r="A1133">
        <v>1131</v>
      </c>
      <c r="B1133" t="s">
        <v>1306</v>
      </c>
      <c r="C1133" t="s">
        <v>4867</v>
      </c>
      <c r="D1133" t="s">
        <v>823</v>
      </c>
      <c r="E1133" t="s">
        <v>153</v>
      </c>
    </row>
    <row r="1134" spans="1:5">
      <c r="A1134">
        <v>1132</v>
      </c>
      <c r="B1134" t="s">
        <v>1307</v>
      </c>
      <c r="C1134" t="s">
        <v>4868</v>
      </c>
      <c r="D1134" t="s">
        <v>823</v>
      </c>
      <c r="E1134" t="s">
        <v>153</v>
      </c>
    </row>
    <row r="1135" spans="1:5">
      <c r="A1135">
        <v>1133</v>
      </c>
      <c r="B1135" t="s">
        <v>1308</v>
      </c>
      <c r="C1135" t="s">
        <v>4869</v>
      </c>
      <c r="D1135" t="s">
        <v>823</v>
      </c>
      <c r="E1135" t="s">
        <v>153</v>
      </c>
    </row>
    <row r="1136" spans="1:5">
      <c r="A1136">
        <v>1134</v>
      </c>
      <c r="B1136" t="s">
        <v>1309</v>
      </c>
      <c r="C1136" t="s">
        <v>4870</v>
      </c>
      <c r="D1136" t="s">
        <v>823</v>
      </c>
      <c r="E1136" t="s">
        <v>153</v>
      </c>
    </row>
    <row r="1137" spans="1:5">
      <c r="A1137">
        <v>1135</v>
      </c>
      <c r="B1137" t="s">
        <v>1310</v>
      </c>
      <c r="C1137" t="s">
        <v>4871</v>
      </c>
      <c r="D1137" t="s">
        <v>823</v>
      </c>
      <c r="E1137" t="s">
        <v>153</v>
      </c>
    </row>
    <row r="1138" spans="1:5">
      <c r="A1138">
        <v>1136</v>
      </c>
      <c r="B1138" t="s">
        <v>1311</v>
      </c>
      <c r="C1138" t="s">
        <v>4872</v>
      </c>
      <c r="D1138" t="s">
        <v>823</v>
      </c>
      <c r="E1138" t="s">
        <v>153</v>
      </c>
    </row>
    <row r="1139" spans="1:5">
      <c r="A1139">
        <v>1137</v>
      </c>
      <c r="B1139" t="s">
        <v>1312</v>
      </c>
      <c r="C1139" t="s">
        <v>4873</v>
      </c>
      <c r="D1139" t="s">
        <v>823</v>
      </c>
      <c r="E1139" t="s">
        <v>153</v>
      </c>
    </row>
    <row r="1140" spans="1:5">
      <c r="A1140">
        <v>1138</v>
      </c>
      <c r="B1140" t="s">
        <v>1313</v>
      </c>
      <c r="C1140" t="s">
        <v>4874</v>
      </c>
      <c r="D1140" t="s">
        <v>823</v>
      </c>
      <c r="E1140" t="s">
        <v>153</v>
      </c>
    </row>
    <row r="1141" spans="1:5">
      <c r="A1141">
        <v>1139</v>
      </c>
      <c r="B1141" t="s">
        <v>1314</v>
      </c>
      <c r="C1141" t="s">
        <v>4875</v>
      </c>
      <c r="D1141" t="s">
        <v>823</v>
      </c>
      <c r="E1141" t="s">
        <v>153</v>
      </c>
    </row>
    <row r="1142" spans="1:5">
      <c r="A1142">
        <v>1140</v>
      </c>
      <c r="B1142" t="s">
        <v>1315</v>
      </c>
      <c r="C1142" t="s">
        <v>4876</v>
      </c>
      <c r="D1142" t="s">
        <v>823</v>
      </c>
      <c r="E1142" t="s">
        <v>153</v>
      </c>
    </row>
    <row r="1143" spans="1:5">
      <c r="A1143">
        <v>1141</v>
      </c>
      <c r="B1143" t="s">
        <v>1316</v>
      </c>
      <c r="C1143" t="s">
        <v>4877</v>
      </c>
      <c r="D1143" t="s">
        <v>823</v>
      </c>
      <c r="E1143" t="s">
        <v>153</v>
      </c>
    </row>
    <row r="1144" spans="1:5">
      <c r="A1144">
        <v>1142</v>
      </c>
      <c r="B1144" t="s">
        <v>1317</v>
      </c>
      <c r="C1144" t="s">
        <v>4878</v>
      </c>
      <c r="D1144" t="s">
        <v>823</v>
      </c>
      <c r="E1144" t="s">
        <v>153</v>
      </c>
    </row>
    <row r="1145" spans="1:5">
      <c r="A1145">
        <v>1143</v>
      </c>
      <c r="B1145" t="s">
        <v>1318</v>
      </c>
      <c r="C1145" t="s">
        <v>4879</v>
      </c>
      <c r="D1145" t="s">
        <v>823</v>
      </c>
      <c r="E1145" t="s">
        <v>153</v>
      </c>
    </row>
    <row r="1146" spans="1:5">
      <c r="A1146">
        <v>1144</v>
      </c>
      <c r="B1146" t="s">
        <v>1319</v>
      </c>
      <c r="C1146" t="s">
        <v>4880</v>
      </c>
      <c r="D1146" t="s">
        <v>823</v>
      </c>
      <c r="E1146" t="s">
        <v>153</v>
      </c>
    </row>
    <row r="1147" spans="1:5">
      <c r="A1147">
        <v>1145</v>
      </c>
      <c r="B1147" t="s">
        <v>1320</v>
      </c>
      <c r="C1147" t="s">
        <v>4881</v>
      </c>
      <c r="D1147" t="s">
        <v>823</v>
      </c>
      <c r="E1147" t="s">
        <v>153</v>
      </c>
    </row>
    <row r="1148" spans="1:5">
      <c r="A1148">
        <v>1146</v>
      </c>
      <c r="B1148" t="s">
        <v>1321</v>
      </c>
      <c r="C1148" t="s">
        <v>4882</v>
      </c>
      <c r="D1148" t="s">
        <v>823</v>
      </c>
      <c r="E1148" t="s">
        <v>153</v>
      </c>
    </row>
    <row r="1149" spans="1:5">
      <c r="A1149">
        <v>1147</v>
      </c>
      <c r="B1149" t="s">
        <v>1322</v>
      </c>
      <c r="C1149" t="s">
        <v>4883</v>
      </c>
      <c r="D1149" t="s">
        <v>823</v>
      </c>
      <c r="E1149" t="s">
        <v>153</v>
      </c>
    </row>
    <row r="1150" spans="1:5">
      <c r="A1150">
        <v>1148</v>
      </c>
      <c r="B1150" t="s">
        <v>1323</v>
      </c>
      <c r="C1150" t="s">
        <v>4884</v>
      </c>
      <c r="D1150" t="s">
        <v>823</v>
      </c>
      <c r="E1150" t="s">
        <v>153</v>
      </c>
    </row>
    <row r="1151" spans="1:5">
      <c r="A1151">
        <v>1149</v>
      </c>
      <c r="B1151" t="s">
        <v>1324</v>
      </c>
      <c r="C1151" t="s">
        <v>4885</v>
      </c>
      <c r="D1151" t="s">
        <v>823</v>
      </c>
      <c r="E1151" t="s">
        <v>153</v>
      </c>
    </row>
    <row r="1152" spans="1:5">
      <c r="A1152">
        <v>1150</v>
      </c>
      <c r="B1152" t="s">
        <v>1325</v>
      </c>
      <c r="C1152" t="s">
        <v>4886</v>
      </c>
      <c r="D1152" t="s">
        <v>823</v>
      </c>
      <c r="E1152" t="s">
        <v>153</v>
      </c>
    </row>
    <row r="1153" spans="1:5">
      <c r="A1153">
        <v>1151</v>
      </c>
      <c r="B1153" t="s">
        <v>1326</v>
      </c>
      <c r="C1153" t="s">
        <v>4887</v>
      </c>
      <c r="D1153" t="s">
        <v>823</v>
      </c>
      <c r="E1153" t="s">
        <v>153</v>
      </c>
    </row>
    <row r="1154" spans="1:5">
      <c r="A1154">
        <v>1152</v>
      </c>
      <c r="B1154" t="s">
        <v>1327</v>
      </c>
      <c r="C1154" t="s">
        <v>4888</v>
      </c>
      <c r="D1154" t="s">
        <v>823</v>
      </c>
      <c r="E1154" t="s">
        <v>153</v>
      </c>
    </row>
    <row r="1155" spans="1:5">
      <c r="A1155">
        <v>1153</v>
      </c>
      <c r="B1155" t="s">
        <v>1328</v>
      </c>
      <c r="C1155" t="s">
        <v>4889</v>
      </c>
      <c r="D1155" t="s">
        <v>823</v>
      </c>
      <c r="E1155" t="s">
        <v>153</v>
      </c>
    </row>
    <row r="1156" spans="1:5">
      <c r="A1156">
        <v>1154</v>
      </c>
      <c r="B1156" t="s">
        <v>1329</v>
      </c>
      <c r="C1156" t="s">
        <v>4890</v>
      </c>
      <c r="D1156" t="s">
        <v>823</v>
      </c>
      <c r="E1156" t="s">
        <v>153</v>
      </c>
    </row>
    <row r="1157" spans="1:5">
      <c r="A1157">
        <v>1155</v>
      </c>
      <c r="B1157" t="s">
        <v>1330</v>
      </c>
      <c r="C1157" t="s">
        <v>4891</v>
      </c>
      <c r="D1157" t="s">
        <v>823</v>
      </c>
      <c r="E1157" t="s">
        <v>153</v>
      </c>
    </row>
    <row r="1158" spans="1:5">
      <c r="A1158">
        <v>1156</v>
      </c>
      <c r="B1158" t="s">
        <v>1331</v>
      </c>
      <c r="C1158" t="s">
        <v>4892</v>
      </c>
      <c r="D1158" t="s">
        <v>823</v>
      </c>
      <c r="E1158" t="s">
        <v>153</v>
      </c>
    </row>
    <row r="1159" spans="1:5">
      <c r="A1159">
        <v>1157</v>
      </c>
      <c r="B1159" t="s">
        <v>1332</v>
      </c>
      <c r="C1159" t="s">
        <v>4893</v>
      </c>
      <c r="D1159" t="s">
        <v>823</v>
      </c>
      <c r="E1159" t="s">
        <v>153</v>
      </c>
    </row>
    <row r="1160" spans="1:5">
      <c r="A1160">
        <v>1158</v>
      </c>
      <c r="B1160" t="s">
        <v>1333</v>
      </c>
      <c r="C1160" t="s">
        <v>4894</v>
      </c>
      <c r="D1160" t="s">
        <v>823</v>
      </c>
      <c r="E1160" t="s">
        <v>153</v>
      </c>
    </row>
    <row r="1161" spans="1:5">
      <c r="A1161">
        <v>1159</v>
      </c>
      <c r="B1161" t="s">
        <v>1334</v>
      </c>
      <c r="C1161" t="s">
        <v>4895</v>
      </c>
      <c r="D1161" t="s">
        <v>823</v>
      </c>
      <c r="E1161" t="s">
        <v>153</v>
      </c>
    </row>
    <row r="1162" spans="1:5">
      <c r="A1162">
        <v>1160</v>
      </c>
      <c r="B1162" t="s">
        <v>1335</v>
      </c>
      <c r="C1162" t="s">
        <v>4896</v>
      </c>
      <c r="D1162" t="s">
        <v>823</v>
      </c>
      <c r="E1162" t="s">
        <v>153</v>
      </c>
    </row>
    <row r="1163" spans="1:5">
      <c r="A1163">
        <v>1161</v>
      </c>
      <c r="B1163" t="s">
        <v>1336</v>
      </c>
      <c r="C1163" t="s">
        <v>4897</v>
      </c>
      <c r="D1163" t="s">
        <v>823</v>
      </c>
      <c r="E1163" t="s">
        <v>153</v>
      </c>
    </row>
    <row r="1164" spans="1:5">
      <c r="A1164">
        <v>1162</v>
      </c>
      <c r="B1164" t="s">
        <v>1337</v>
      </c>
      <c r="C1164" t="s">
        <v>4898</v>
      </c>
      <c r="D1164" t="s">
        <v>823</v>
      </c>
      <c r="E1164" t="s">
        <v>153</v>
      </c>
    </row>
    <row r="1165" spans="1:5">
      <c r="A1165">
        <v>1163</v>
      </c>
      <c r="B1165" t="s">
        <v>1338</v>
      </c>
      <c r="C1165" t="s">
        <v>4899</v>
      </c>
      <c r="D1165" t="s">
        <v>823</v>
      </c>
      <c r="E1165" t="s">
        <v>153</v>
      </c>
    </row>
    <row r="1166" spans="1:5">
      <c r="A1166">
        <v>1164</v>
      </c>
      <c r="B1166" t="s">
        <v>1339</v>
      </c>
      <c r="C1166" t="s">
        <v>4900</v>
      </c>
      <c r="D1166" t="s">
        <v>823</v>
      </c>
      <c r="E1166" t="s">
        <v>153</v>
      </c>
    </row>
    <row r="1167" spans="1:5">
      <c r="A1167">
        <v>1165</v>
      </c>
      <c r="B1167" t="s">
        <v>1340</v>
      </c>
      <c r="C1167" t="s">
        <v>4901</v>
      </c>
      <c r="D1167" t="s">
        <v>823</v>
      </c>
      <c r="E1167" t="s">
        <v>153</v>
      </c>
    </row>
    <row r="1168" spans="1:5">
      <c r="A1168">
        <v>1166</v>
      </c>
      <c r="B1168" t="s">
        <v>1341</v>
      </c>
      <c r="C1168" t="s">
        <v>4902</v>
      </c>
      <c r="D1168" t="s">
        <v>823</v>
      </c>
      <c r="E1168" t="s">
        <v>153</v>
      </c>
    </row>
    <row r="1169" spans="1:5">
      <c r="A1169">
        <v>1167</v>
      </c>
      <c r="B1169" t="s">
        <v>1342</v>
      </c>
      <c r="C1169" t="s">
        <v>4903</v>
      </c>
      <c r="D1169" t="s">
        <v>823</v>
      </c>
      <c r="E1169" t="s">
        <v>153</v>
      </c>
    </row>
    <row r="1170" spans="1:5">
      <c r="A1170">
        <v>1168</v>
      </c>
      <c r="B1170" t="s">
        <v>573</v>
      </c>
      <c r="C1170" t="s">
        <v>4146</v>
      </c>
      <c r="D1170" t="s">
        <v>823</v>
      </c>
      <c r="E1170" t="s">
        <v>153</v>
      </c>
    </row>
    <row r="1171" spans="1:5">
      <c r="A1171">
        <v>1169</v>
      </c>
      <c r="B1171" t="s">
        <v>1343</v>
      </c>
      <c r="C1171" t="s">
        <v>4904</v>
      </c>
      <c r="D1171" t="s">
        <v>823</v>
      </c>
      <c r="E1171" t="s">
        <v>153</v>
      </c>
    </row>
    <row r="1172" spans="1:5">
      <c r="A1172">
        <v>1170</v>
      </c>
      <c r="B1172" t="s">
        <v>1344</v>
      </c>
      <c r="C1172" t="s">
        <v>4905</v>
      </c>
      <c r="D1172" t="s">
        <v>823</v>
      </c>
      <c r="E1172" t="s">
        <v>153</v>
      </c>
    </row>
    <row r="1173" spans="1:5">
      <c r="A1173">
        <v>1171</v>
      </c>
      <c r="B1173" t="s">
        <v>1345</v>
      </c>
      <c r="C1173" t="s">
        <v>4906</v>
      </c>
      <c r="D1173" t="s">
        <v>823</v>
      </c>
      <c r="E1173" t="s">
        <v>153</v>
      </c>
    </row>
    <row r="1174" spans="1:5">
      <c r="A1174">
        <v>1172</v>
      </c>
      <c r="B1174" t="s">
        <v>1346</v>
      </c>
      <c r="C1174" t="s">
        <v>4907</v>
      </c>
      <c r="D1174" t="s">
        <v>823</v>
      </c>
      <c r="E1174" t="s">
        <v>153</v>
      </c>
    </row>
    <row r="1175" spans="1:5">
      <c r="A1175">
        <v>1173</v>
      </c>
      <c r="B1175" t="s">
        <v>1347</v>
      </c>
      <c r="C1175" t="s">
        <v>4908</v>
      </c>
      <c r="D1175" t="s">
        <v>823</v>
      </c>
      <c r="E1175" t="s">
        <v>153</v>
      </c>
    </row>
    <row r="1176" spans="1:5">
      <c r="A1176">
        <v>1174</v>
      </c>
      <c r="B1176" t="s">
        <v>1348</v>
      </c>
      <c r="C1176" t="s">
        <v>4909</v>
      </c>
      <c r="D1176" t="s">
        <v>823</v>
      </c>
      <c r="E1176" t="s">
        <v>153</v>
      </c>
    </row>
    <row r="1177" spans="1:5">
      <c r="A1177">
        <v>1175</v>
      </c>
      <c r="B1177" t="s">
        <v>1349</v>
      </c>
      <c r="C1177" t="s">
        <v>4910</v>
      </c>
      <c r="D1177" t="s">
        <v>823</v>
      </c>
      <c r="E1177" t="s">
        <v>153</v>
      </c>
    </row>
    <row r="1178" spans="1:5">
      <c r="A1178">
        <v>1176</v>
      </c>
      <c r="B1178" t="s">
        <v>1350</v>
      </c>
      <c r="C1178" t="s">
        <v>4911</v>
      </c>
      <c r="D1178" t="s">
        <v>823</v>
      </c>
      <c r="E1178" t="s">
        <v>153</v>
      </c>
    </row>
    <row r="1179" spans="1:5">
      <c r="A1179">
        <v>1177</v>
      </c>
      <c r="B1179" t="s">
        <v>1351</v>
      </c>
      <c r="C1179" t="s">
        <v>4912</v>
      </c>
      <c r="D1179" t="s">
        <v>823</v>
      </c>
      <c r="E1179" t="s">
        <v>153</v>
      </c>
    </row>
    <row r="1180" spans="1:5">
      <c r="A1180">
        <v>1178</v>
      </c>
      <c r="B1180" t="s">
        <v>1352</v>
      </c>
      <c r="C1180" t="s">
        <v>4913</v>
      </c>
      <c r="D1180" t="s">
        <v>823</v>
      </c>
      <c r="E1180" t="s">
        <v>153</v>
      </c>
    </row>
    <row r="1181" spans="1:5">
      <c r="A1181">
        <v>1179</v>
      </c>
      <c r="B1181" t="s">
        <v>1353</v>
      </c>
      <c r="C1181" t="s">
        <v>4914</v>
      </c>
      <c r="D1181" t="s">
        <v>823</v>
      </c>
      <c r="E1181" t="s">
        <v>153</v>
      </c>
    </row>
    <row r="1182" spans="1:5">
      <c r="A1182">
        <v>1180</v>
      </c>
      <c r="B1182" t="s">
        <v>1354</v>
      </c>
      <c r="C1182" t="s">
        <v>4915</v>
      </c>
      <c r="D1182" t="s">
        <v>823</v>
      </c>
      <c r="E1182" t="s">
        <v>153</v>
      </c>
    </row>
    <row r="1183" spans="1:5">
      <c r="A1183">
        <v>1181</v>
      </c>
      <c r="B1183" t="s">
        <v>1355</v>
      </c>
      <c r="C1183" t="s">
        <v>4916</v>
      </c>
      <c r="D1183" t="s">
        <v>823</v>
      </c>
      <c r="E1183" t="s">
        <v>153</v>
      </c>
    </row>
    <row r="1184" spans="1:5">
      <c r="A1184">
        <v>1182</v>
      </c>
      <c r="B1184" t="s">
        <v>1356</v>
      </c>
      <c r="C1184" t="s">
        <v>4917</v>
      </c>
      <c r="D1184" t="s">
        <v>823</v>
      </c>
      <c r="E1184" t="s">
        <v>153</v>
      </c>
    </row>
    <row r="1185" spans="1:5">
      <c r="A1185">
        <v>1183</v>
      </c>
      <c r="B1185" t="s">
        <v>1357</v>
      </c>
      <c r="C1185" t="s">
        <v>4918</v>
      </c>
      <c r="D1185" t="s">
        <v>823</v>
      </c>
      <c r="E1185" t="s">
        <v>153</v>
      </c>
    </row>
    <row r="1186" spans="1:5">
      <c r="A1186">
        <v>1184</v>
      </c>
      <c r="B1186" t="s">
        <v>1358</v>
      </c>
      <c r="C1186" t="s">
        <v>4919</v>
      </c>
      <c r="D1186" t="s">
        <v>823</v>
      </c>
      <c r="E1186" t="s">
        <v>153</v>
      </c>
    </row>
    <row r="1187" spans="1:5">
      <c r="A1187">
        <v>1185</v>
      </c>
      <c r="B1187" t="s">
        <v>1359</v>
      </c>
      <c r="C1187" t="s">
        <v>4920</v>
      </c>
      <c r="D1187" t="s">
        <v>823</v>
      </c>
      <c r="E1187" t="s">
        <v>153</v>
      </c>
    </row>
    <row r="1188" spans="1:5">
      <c r="A1188">
        <v>1186</v>
      </c>
      <c r="B1188" t="s">
        <v>1360</v>
      </c>
      <c r="C1188" t="s">
        <v>4921</v>
      </c>
      <c r="D1188" t="s">
        <v>823</v>
      </c>
      <c r="E1188" t="s">
        <v>153</v>
      </c>
    </row>
    <row r="1189" spans="1:5">
      <c r="A1189">
        <v>1187</v>
      </c>
      <c r="B1189" t="s">
        <v>1361</v>
      </c>
      <c r="C1189" t="s">
        <v>4922</v>
      </c>
      <c r="D1189" t="s">
        <v>823</v>
      </c>
      <c r="E1189" t="s">
        <v>153</v>
      </c>
    </row>
    <row r="1190" spans="1:5">
      <c r="A1190">
        <v>1188</v>
      </c>
      <c r="B1190" t="s">
        <v>1362</v>
      </c>
      <c r="C1190" t="s">
        <v>4923</v>
      </c>
      <c r="D1190" t="s">
        <v>823</v>
      </c>
      <c r="E1190" t="s">
        <v>153</v>
      </c>
    </row>
    <row r="1191" spans="1:5">
      <c r="A1191">
        <v>1189</v>
      </c>
      <c r="B1191" t="s">
        <v>1363</v>
      </c>
      <c r="C1191" t="s">
        <v>4924</v>
      </c>
      <c r="D1191" t="s">
        <v>823</v>
      </c>
      <c r="E1191" t="s">
        <v>153</v>
      </c>
    </row>
    <row r="1192" spans="1:5">
      <c r="A1192">
        <v>1190</v>
      </c>
      <c r="B1192" t="s">
        <v>1364</v>
      </c>
      <c r="C1192" t="s">
        <v>4925</v>
      </c>
      <c r="D1192" t="s">
        <v>823</v>
      </c>
      <c r="E1192" t="s">
        <v>153</v>
      </c>
    </row>
    <row r="1193" spans="1:5">
      <c r="A1193">
        <v>1191</v>
      </c>
      <c r="B1193" t="s">
        <v>1365</v>
      </c>
      <c r="C1193" t="s">
        <v>4926</v>
      </c>
      <c r="D1193" t="s">
        <v>823</v>
      </c>
      <c r="E1193" t="s">
        <v>153</v>
      </c>
    </row>
    <row r="1194" spans="1:5">
      <c r="A1194">
        <v>1192</v>
      </c>
      <c r="B1194" t="s">
        <v>1366</v>
      </c>
      <c r="C1194" t="s">
        <v>4927</v>
      </c>
      <c r="D1194" t="s">
        <v>823</v>
      </c>
      <c r="E1194" t="s">
        <v>153</v>
      </c>
    </row>
    <row r="1195" spans="1:5">
      <c r="A1195">
        <v>1193</v>
      </c>
      <c r="B1195" t="s">
        <v>1367</v>
      </c>
      <c r="C1195" t="s">
        <v>4928</v>
      </c>
      <c r="D1195" t="s">
        <v>823</v>
      </c>
      <c r="E1195" t="s">
        <v>153</v>
      </c>
    </row>
    <row r="1196" spans="1:5">
      <c r="A1196">
        <v>1194</v>
      </c>
      <c r="B1196" t="s">
        <v>1368</v>
      </c>
      <c r="C1196" t="s">
        <v>4929</v>
      </c>
      <c r="D1196" t="s">
        <v>823</v>
      </c>
      <c r="E1196" t="s">
        <v>153</v>
      </c>
    </row>
    <row r="1197" spans="1:5">
      <c r="A1197">
        <v>1195</v>
      </c>
      <c r="B1197" t="s">
        <v>1369</v>
      </c>
      <c r="C1197" t="s">
        <v>4930</v>
      </c>
      <c r="D1197" t="s">
        <v>823</v>
      </c>
      <c r="E1197" t="s">
        <v>153</v>
      </c>
    </row>
    <row r="1198" spans="1:5">
      <c r="A1198">
        <v>1196</v>
      </c>
      <c r="B1198" t="s">
        <v>1370</v>
      </c>
      <c r="C1198" t="s">
        <v>4931</v>
      </c>
      <c r="D1198" t="s">
        <v>823</v>
      </c>
      <c r="E1198" t="s">
        <v>153</v>
      </c>
    </row>
    <row r="1199" spans="1:5">
      <c r="A1199">
        <v>1197</v>
      </c>
      <c r="B1199" t="s">
        <v>1371</v>
      </c>
      <c r="C1199" t="s">
        <v>4932</v>
      </c>
      <c r="D1199" t="s">
        <v>823</v>
      </c>
      <c r="E1199" t="s">
        <v>153</v>
      </c>
    </row>
    <row r="1200" spans="1:5">
      <c r="A1200">
        <v>1198</v>
      </c>
      <c r="B1200" t="s">
        <v>1372</v>
      </c>
      <c r="C1200" t="s">
        <v>4933</v>
      </c>
      <c r="D1200" t="s">
        <v>823</v>
      </c>
      <c r="E1200" t="s">
        <v>153</v>
      </c>
    </row>
    <row r="1201" spans="1:5">
      <c r="A1201">
        <v>1199</v>
      </c>
      <c r="B1201" t="s">
        <v>1373</v>
      </c>
      <c r="C1201" t="s">
        <v>4934</v>
      </c>
      <c r="D1201" t="s">
        <v>823</v>
      </c>
      <c r="E1201" t="s">
        <v>153</v>
      </c>
    </row>
    <row r="1202" spans="1:5">
      <c r="A1202">
        <v>1200</v>
      </c>
      <c r="B1202" t="s">
        <v>1374</v>
      </c>
      <c r="C1202" t="s">
        <v>4935</v>
      </c>
      <c r="D1202" t="s">
        <v>823</v>
      </c>
      <c r="E1202" t="s">
        <v>153</v>
      </c>
    </row>
    <row r="1203" spans="1:5">
      <c r="A1203">
        <v>1201</v>
      </c>
      <c r="B1203" t="s">
        <v>1375</v>
      </c>
      <c r="C1203" t="s">
        <v>4936</v>
      </c>
      <c r="D1203" t="s">
        <v>823</v>
      </c>
      <c r="E1203" t="s">
        <v>153</v>
      </c>
    </row>
    <row r="1204" spans="1:5">
      <c r="A1204">
        <v>1202</v>
      </c>
      <c r="B1204" t="s">
        <v>1376</v>
      </c>
      <c r="C1204" t="s">
        <v>4937</v>
      </c>
      <c r="D1204" t="s">
        <v>823</v>
      </c>
      <c r="E1204" t="s">
        <v>153</v>
      </c>
    </row>
    <row r="1205" spans="1:5">
      <c r="A1205">
        <v>1203</v>
      </c>
      <c r="B1205" t="s">
        <v>590</v>
      </c>
      <c r="C1205" t="s">
        <v>4163</v>
      </c>
      <c r="D1205" t="s">
        <v>823</v>
      </c>
      <c r="E1205" t="s">
        <v>153</v>
      </c>
    </row>
    <row r="1206" spans="1:5">
      <c r="A1206">
        <v>1204</v>
      </c>
      <c r="B1206" t="s">
        <v>1377</v>
      </c>
      <c r="C1206" t="s">
        <v>4938</v>
      </c>
      <c r="D1206" t="s">
        <v>823</v>
      </c>
      <c r="E1206" t="s">
        <v>153</v>
      </c>
    </row>
    <row r="1207" spans="1:5">
      <c r="A1207">
        <v>1205</v>
      </c>
      <c r="B1207" t="s">
        <v>1378</v>
      </c>
      <c r="C1207" t="s">
        <v>4939</v>
      </c>
      <c r="D1207" t="s">
        <v>823</v>
      </c>
      <c r="E1207" t="s">
        <v>153</v>
      </c>
    </row>
    <row r="1208" spans="1:5">
      <c r="A1208">
        <v>1206</v>
      </c>
      <c r="B1208" t="s">
        <v>1379</v>
      </c>
      <c r="C1208" t="s">
        <v>4940</v>
      </c>
      <c r="D1208" t="s">
        <v>823</v>
      </c>
      <c r="E1208" t="s">
        <v>153</v>
      </c>
    </row>
    <row r="1209" spans="1:5">
      <c r="A1209">
        <v>1207</v>
      </c>
      <c r="B1209" t="s">
        <v>1380</v>
      </c>
      <c r="C1209" t="s">
        <v>4941</v>
      </c>
      <c r="D1209" t="s">
        <v>823</v>
      </c>
      <c r="E1209" t="s">
        <v>153</v>
      </c>
    </row>
    <row r="1210" spans="1:5">
      <c r="A1210">
        <v>1208</v>
      </c>
      <c r="B1210" t="s">
        <v>1381</v>
      </c>
      <c r="C1210" t="s">
        <v>4942</v>
      </c>
      <c r="D1210" t="s">
        <v>823</v>
      </c>
      <c r="E1210" t="s">
        <v>153</v>
      </c>
    </row>
    <row r="1211" spans="1:5">
      <c r="A1211">
        <v>1209</v>
      </c>
      <c r="B1211" t="s">
        <v>1382</v>
      </c>
      <c r="C1211" t="s">
        <v>4943</v>
      </c>
      <c r="D1211" t="s">
        <v>823</v>
      </c>
      <c r="E1211" t="s">
        <v>153</v>
      </c>
    </row>
    <row r="1212" spans="1:5">
      <c r="A1212">
        <v>1210</v>
      </c>
      <c r="B1212" t="s">
        <v>596</v>
      </c>
      <c r="C1212" t="s">
        <v>4169</v>
      </c>
      <c r="D1212" t="s">
        <v>823</v>
      </c>
      <c r="E1212" t="s">
        <v>153</v>
      </c>
    </row>
    <row r="1213" spans="1:5">
      <c r="A1213">
        <v>1211</v>
      </c>
      <c r="B1213" t="s">
        <v>1383</v>
      </c>
      <c r="C1213" t="s">
        <v>4944</v>
      </c>
      <c r="D1213" t="s">
        <v>823</v>
      </c>
      <c r="E1213" t="s">
        <v>153</v>
      </c>
    </row>
    <row r="1214" spans="1:5">
      <c r="A1214">
        <v>1212</v>
      </c>
      <c r="B1214" t="s">
        <v>1384</v>
      </c>
      <c r="C1214" t="s">
        <v>4945</v>
      </c>
      <c r="D1214" t="s">
        <v>823</v>
      </c>
      <c r="E1214" t="s">
        <v>153</v>
      </c>
    </row>
    <row r="1215" spans="1:5">
      <c r="A1215">
        <v>1213</v>
      </c>
      <c r="B1215" t="s">
        <v>1385</v>
      </c>
      <c r="C1215" t="s">
        <v>4946</v>
      </c>
      <c r="D1215" t="s">
        <v>823</v>
      </c>
      <c r="E1215" t="s">
        <v>153</v>
      </c>
    </row>
    <row r="1216" spans="1:5">
      <c r="A1216">
        <v>1214</v>
      </c>
      <c r="B1216" t="s">
        <v>7338</v>
      </c>
      <c r="C1216" t="s">
        <v>7339</v>
      </c>
      <c r="D1216" t="s">
        <v>823</v>
      </c>
      <c r="E1216" t="s">
        <v>153</v>
      </c>
    </row>
    <row r="1217" spans="1:5">
      <c r="A1217">
        <v>1215</v>
      </c>
      <c r="B1217" t="s">
        <v>7340</v>
      </c>
      <c r="C1217" t="s">
        <v>7341</v>
      </c>
      <c r="D1217" t="s">
        <v>823</v>
      </c>
      <c r="E1217" t="s">
        <v>153</v>
      </c>
    </row>
    <row r="1218" spans="1:5">
      <c r="A1218">
        <v>1216</v>
      </c>
      <c r="B1218" t="s">
        <v>1386</v>
      </c>
      <c r="C1218" t="s">
        <v>4947</v>
      </c>
      <c r="D1218" t="s">
        <v>823</v>
      </c>
      <c r="E1218" t="s">
        <v>153</v>
      </c>
    </row>
    <row r="1219" spans="1:5">
      <c r="A1219">
        <v>1217</v>
      </c>
      <c r="B1219" t="s">
        <v>1387</v>
      </c>
      <c r="C1219" t="s">
        <v>4948</v>
      </c>
      <c r="D1219" t="s">
        <v>823</v>
      </c>
      <c r="E1219" t="s">
        <v>153</v>
      </c>
    </row>
    <row r="1220" spans="1:5">
      <c r="A1220">
        <v>1218</v>
      </c>
      <c r="B1220" t="s">
        <v>1388</v>
      </c>
      <c r="C1220" t="s">
        <v>4949</v>
      </c>
      <c r="D1220" t="s">
        <v>823</v>
      </c>
      <c r="E1220" t="s">
        <v>153</v>
      </c>
    </row>
    <row r="1221" spans="1:5">
      <c r="A1221">
        <v>1219</v>
      </c>
      <c r="B1221" t="s">
        <v>1389</v>
      </c>
      <c r="C1221" t="s">
        <v>4950</v>
      </c>
      <c r="D1221" t="s">
        <v>823</v>
      </c>
      <c r="E1221" t="s">
        <v>153</v>
      </c>
    </row>
    <row r="1222" spans="1:5">
      <c r="A1222">
        <v>1220</v>
      </c>
      <c r="B1222" t="s">
        <v>1390</v>
      </c>
      <c r="C1222" t="s">
        <v>4951</v>
      </c>
      <c r="D1222" t="s">
        <v>823</v>
      </c>
      <c r="E1222" t="s">
        <v>153</v>
      </c>
    </row>
    <row r="1223" spans="1:5">
      <c r="A1223">
        <v>1221</v>
      </c>
      <c r="B1223" t="s">
        <v>1391</v>
      </c>
      <c r="C1223" t="s">
        <v>4952</v>
      </c>
      <c r="D1223" t="s">
        <v>823</v>
      </c>
      <c r="E1223" t="s">
        <v>153</v>
      </c>
    </row>
    <row r="1224" spans="1:5">
      <c r="A1224">
        <v>1222</v>
      </c>
      <c r="B1224" t="s">
        <v>1392</v>
      </c>
      <c r="C1224" t="s">
        <v>4953</v>
      </c>
      <c r="D1224" t="s">
        <v>823</v>
      </c>
      <c r="E1224" t="s">
        <v>153</v>
      </c>
    </row>
    <row r="1225" spans="1:5">
      <c r="A1225">
        <v>1223</v>
      </c>
      <c r="B1225" t="s">
        <v>1393</v>
      </c>
      <c r="C1225" t="s">
        <v>4954</v>
      </c>
      <c r="D1225" t="s">
        <v>823</v>
      </c>
      <c r="E1225" t="s">
        <v>153</v>
      </c>
    </row>
    <row r="1226" spans="1:5">
      <c r="A1226">
        <v>1224</v>
      </c>
      <c r="B1226" t="s">
        <v>1394</v>
      </c>
      <c r="C1226" t="s">
        <v>4955</v>
      </c>
      <c r="D1226" t="s">
        <v>823</v>
      </c>
      <c r="E1226" t="s">
        <v>153</v>
      </c>
    </row>
    <row r="1227" spans="1:5">
      <c r="A1227">
        <v>1225</v>
      </c>
      <c r="B1227" t="s">
        <v>1395</v>
      </c>
      <c r="C1227" t="s">
        <v>4956</v>
      </c>
      <c r="D1227" t="s">
        <v>823</v>
      </c>
      <c r="E1227" t="s">
        <v>153</v>
      </c>
    </row>
    <row r="1228" spans="1:5">
      <c r="A1228">
        <v>1226</v>
      </c>
      <c r="B1228" t="s">
        <v>1396</v>
      </c>
      <c r="C1228" t="s">
        <v>4957</v>
      </c>
      <c r="D1228" t="s">
        <v>823</v>
      </c>
      <c r="E1228" t="s">
        <v>153</v>
      </c>
    </row>
    <row r="1229" spans="1:5">
      <c r="A1229">
        <v>1227</v>
      </c>
      <c r="B1229" t="s">
        <v>1397</v>
      </c>
      <c r="C1229" t="s">
        <v>4958</v>
      </c>
      <c r="D1229" t="s">
        <v>823</v>
      </c>
      <c r="E1229" t="s">
        <v>153</v>
      </c>
    </row>
    <row r="1230" spans="1:5">
      <c r="A1230">
        <v>1228</v>
      </c>
      <c r="B1230" t="s">
        <v>1398</v>
      </c>
      <c r="C1230" t="s">
        <v>4959</v>
      </c>
      <c r="D1230" t="s">
        <v>823</v>
      </c>
      <c r="E1230" t="s">
        <v>153</v>
      </c>
    </row>
    <row r="1231" spans="1:5">
      <c r="A1231">
        <v>1229</v>
      </c>
      <c r="B1231" t="s">
        <v>1399</v>
      </c>
      <c r="C1231" t="s">
        <v>4960</v>
      </c>
      <c r="D1231" t="s">
        <v>823</v>
      </c>
      <c r="E1231" t="s">
        <v>153</v>
      </c>
    </row>
    <row r="1232" spans="1:5">
      <c r="A1232">
        <v>1230</v>
      </c>
      <c r="B1232" t="s">
        <v>1400</v>
      </c>
      <c r="C1232" t="s">
        <v>4961</v>
      </c>
      <c r="D1232" t="s">
        <v>823</v>
      </c>
      <c r="E1232" t="s">
        <v>153</v>
      </c>
    </row>
    <row r="1233" spans="1:5">
      <c r="A1233">
        <v>1231</v>
      </c>
      <c r="B1233" t="s">
        <v>1401</v>
      </c>
      <c r="C1233" t="s">
        <v>4962</v>
      </c>
      <c r="D1233" t="s">
        <v>823</v>
      </c>
      <c r="E1233" t="s">
        <v>153</v>
      </c>
    </row>
    <row r="1234" spans="1:5">
      <c r="A1234">
        <v>1232</v>
      </c>
      <c r="B1234" t="s">
        <v>1402</v>
      </c>
      <c r="C1234" t="s">
        <v>4963</v>
      </c>
      <c r="D1234" t="s">
        <v>823</v>
      </c>
      <c r="E1234" t="s">
        <v>153</v>
      </c>
    </row>
    <row r="1235" spans="1:5">
      <c r="A1235">
        <v>1233</v>
      </c>
      <c r="B1235" t="s">
        <v>1403</v>
      </c>
      <c r="C1235" t="s">
        <v>4964</v>
      </c>
      <c r="D1235" t="s">
        <v>823</v>
      </c>
      <c r="E1235" t="s">
        <v>153</v>
      </c>
    </row>
    <row r="1236" spans="1:5">
      <c r="A1236">
        <v>1234</v>
      </c>
      <c r="B1236" t="s">
        <v>1404</v>
      </c>
      <c r="C1236" t="s">
        <v>4965</v>
      </c>
      <c r="D1236" t="s">
        <v>823</v>
      </c>
      <c r="E1236" t="s">
        <v>153</v>
      </c>
    </row>
    <row r="1237" spans="1:5">
      <c r="A1237">
        <v>1235</v>
      </c>
      <c r="B1237" t="s">
        <v>1405</v>
      </c>
      <c r="C1237" t="s">
        <v>4966</v>
      </c>
      <c r="D1237" t="s">
        <v>823</v>
      </c>
      <c r="E1237" t="s">
        <v>153</v>
      </c>
    </row>
    <row r="1238" spans="1:5">
      <c r="A1238">
        <v>1236</v>
      </c>
      <c r="B1238" t="s">
        <v>1406</v>
      </c>
      <c r="C1238" t="s">
        <v>4967</v>
      </c>
      <c r="D1238" t="s">
        <v>823</v>
      </c>
      <c r="E1238" t="s">
        <v>153</v>
      </c>
    </row>
    <row r="1239" spans="1:5">
      <c r="A1239">
        <v>1237</v>
      </c>
      <c r="B1239" t="s">
        <v>1407</v>
      </c>
      <c r="C1239" t="s">
        <v>4968</v>
      </c>
      <c r="D1239" t="s">
        <v>823</v>
      </c>
      <c r="E1239" t="s">
        <v>153</v>
      </c>
    </row>
    <row r="1240" spans="1:5">
      <c r="A1240">
        <v>1238</v>
      </c>
      <c r="B1240" t="s">
        <v>1408</v>
      </c>
      <c r="C1240" t="s">
        <v>4969</v>
      </c>
      <c r="D1240" t="s">
        <v>823</v>
      </c>
      <c r="E1240" t="s">
        <v>153</v>
      </c>
    </row>
    <row r="1241" spans="1:5">
      <c r="A1241">
        <v>1239</v>
      </c>
      <c r="B1241" t="s">
        <v>1409</v>
      </c>
      <c r="C1241" t="s">
        <v>4970</v>
      </c>
      <c r="D1241" t="s">
        <v>823</v>
      </c>
      <c r="E1241" t="s">
        <v>153</v>
      </c>
    </row>
    <row r="1242" spans="1:5">
      <c r="A1242">
        <v>1240</v>
      </c>
      <c r="B1242" t="s">
        <v>1410</v>
      </c>
      <c r="C1242" t="s">
        <v>4971</v>
      </c>
      <c r="D1242" t="s">
        <v>823</v>
      </c>
      <c r="E1242" t="s">
        <v>153</v>
      </c>
    </row>
    <row r="1243" spans="1:5">
      <c r="A1243">
        <v>1241</v>
      </c>
      <c r="B1243" t="s">
        <v>1411</v>
      </c>
      <c r="C1243" t="s">
        <v>4972</v>
      </c>
      <c r="D1243" t="s">
        <v>823</v>
      </c>
      <c r="E1243" t="s">
        <v>153</v>
      </c>
    </row>
    <row r="1244" spans="1:5">
      <c r="A1244">
        <v>1242</v>
      </c>
      <c r="B1244" t="s">
        <v>1412</v>
      </c>
      <c r="C1244" t="s">
        <v>4973</v>
      </c>
      <c r="D1244" t="s">
        <v>823</v>
      </c>
      <c r="E1244" t="s">
        <v>153</v>
      </c>
    </row>
    <row r="1245" spans="1:5">
      <c r="A1245">
        <v>1243</v>
      </c>
      <c r="B1245" t="s">
        <v>1413</v>
      </c>
      <c r="C1245" t="s">
        <v>4974</v>
      </c>
      <c r="D1245" t="s">
        <v>823</v>
      </c>
      <c r="E1245" t="s">
        <v>153</v>
      </c>
    </row>
    <row r="1246" spans="1:5">
      <c r="A1246">
        <v>1244</v>
      </c>
      <c r="B1246" t="s">
        <v>1414</v>
      </c>
      <c r="C1246" t="s">
        <v>4975</v>
      </c>
      <c r="D1246" t="s">
        <v>823</v>
      </c>
      <c r="E1246" t="s">
        <v>153</v>
      </c>
    </row>
    <row r="1247" spans="1:5">
      <c r="A1247">
        <v>1245</v>
      </c>
      <c r="B1247" t="s">
        <v>1415</v>
      </c>
      <c r="C1247" t="s">
        <v>4976</v>
      </c>
      <c r="D1247" t="s">
        <v>823</v>
      </c>
      <c r="E1247" t="s">
        <v>153</v>
      </c>
    </row>
    <row r="1248" spans="1:5">
      <c r="A1248">
        <v>1246</v>
      </c>
      <c r="B1248" t="s">
        <v>1416</v>
      </c>
      <c r="C1248" t="s">
        <v>4977</v>
      </c>
      <c r="D1248" t="s">
        <v>823</v>
      </c>
      <c r="E1248" t="s">
        <v>153</v>
      </c>
    </row>
    <row r="1249" spans="1:5">
      <c r="A1249">
        <v>1247</v>
      </c>
      <c r="B1249" t="s">
        <v>1417</v>
      </c>
      <c r="C1249" t="s">
        <v>4978</v>
      </c>
      <c r="D1249" t="s">
        <v>823</v>
      </c>
      <c r="E1249" t="s">
        <v>153</v>
      </c>
    </row>
    <row r="1250" spans="1:5">
      <c r="A1250">
        <v>1248</v>
      </c>
      <c r="B1250" t="s">
        <v>1418</v>
      </c>
      <c r="C1250" t="s">
        <v>4979</v>
      </c>
      <c r="D1250" t="s">
        <v>823</v>
      </c>
      <c r="E1250" t="s">
        <v>153</v>
      </c>
    </row>
    <row r="1251" spans="1:5">
      <c r="A1251">
        <v>1249</v>
      </c>
      <c r="B1251" t="s">
        <v>1419</v>
      </c>
      <c r="C1251" t="s">
        <v>4980</v>
      </c>
      <c r="D1251" t="s">
        <v>823</v>
      </c>
      <c r="E1251" t="s">
        <v>153</v>
      </c>
    </row>
    <row r="1252" spans="1:5">
      <c r="A1252">
        <v>1250</v>
      </c>
      <c r="B1252" t="s">
        <v>1420</v>
      </c>
      <c r="C1252" t="s">
        <v>4981</v>
      </c>
      <c r="D1252" t="s">
        <v>823</v>
      </c>
      <c r="E1252" t="s">
        <v>153</v>
      </c>
    </row>
    <row r="1253" spans="1:5">
      <c r="A1253">
        <v>1251</v>
      </c>
      <c r="B1253" t="s">
        <v>1421</v>
      </c>
      <c r="C1253" t="s">
        <v>4982</v>
      </c>
      <c r="D1253" t="s">
        <v>823</v>
      </c>
      <c r="E1253" t="s">
        <v>153</v>
      </c>
    </row>
    <row r="1254" spans="1:5">
      <c r="A1254">
        <v>1252</v>
      </c>
      <c r="B1254" t="s">
        <v>618</v>
      </c>
      <c r="C1254" t="s">
        <v>4191</v>
      </c>
      <c r="D1254" t="s">
        <v>823</v>
      </c>
      <c r="E1254" t="s">
        <v>153</v>
      </c>
    </row>
    <row r="1255" spans="1:5">
      <c r="A1255">
        <v>1253</v>
      </c>
      <c r="B1255" t="s">
        <v>1422</v>
      </c>
      <c r="C1255" t="s">
        <v>4983</v>
      </c>
      <c r="D1255" t="s">
        <v>823</v>
      </c>
      <c r="E1255" t="s">
        <v>153</v>
      </c>
    </row>
    <row r="1256" spans="1:5">
      <c r="A1256">
        <v>1254</v>
      </c>
      <c r="B1256" t="s">
        <v>1423</v>
      </c>
      <c r="C1256" t="s">
        <v>4984</v>
      </c>
      <c r="D1256" t="s">
        <v>823</v>
      </c>
      <c r="E1256" t="s">
        <v>153</v>
      </c>
    </row>
    <row r="1257" spans="1:5">
      <c r="A1257">
        <v>1255</v>
      </c>
      <c r="B1257" t="s">
        <v>1424</v>
      </c>
      <c r="C1257" t="s">
        <v>4985</v>
      </c>
      <c r="D1257" t="s">
        <v>823</v>
      </c>
      <c r="E1257" t="s">
        <v>153</v>
      </c>
    </row>
    <row r="1258" spans="1:5">
      <c r="A1258">
        <v>1256</v>
      </c>
      <c r="B1258" t="s">
        <v>620</v>
      </c>
      <c r="C1258" t="s">
        <v>4193</v>
      </c>
      <c r="D1258" t="s">
        <v>823</v>
      </c>
      <c r="E1258" t="s">
        <v>153</v>
      </c>
    </row>
    <row r="1259" spans="1:5">
      <c r="A1259">
        <v>1257</v>
      </c>
      <c r="B1259" t="s">
        <v>1425</v>
      </c>
      <c r="C1259" t="s">
        <v>4986</v>
      </c>
      <c r="D1259" t="s">
        <v>823</v>
      </c>
      <c r="E1259" t="s">
        <v>153</v>
      </c>
    </row>
    <row r="1260" spans="1:5">
      <c r="A1260">
        <v>1258</v>
      </c>
      <c r="B1260" t="s">
        <v>1426</v>
      </c>
      <c r="C1260" t="s">
        <v>4987</v>
      </c>
      <c r="D1260" t="s">
        <v>823</v>
      </c>
      <c r="E1260" t="s">
        <v>153</v>
      </c>
    </row>
    <row r="1261" spans="1:5">
      <c r="A1261">
        <v>1259</v>
      </c>
      <c r="B1261" t="s">
        <v>1427</v>
      </c>
      <c r="C1261" t="s">
        <v>4988</v>
      </c>
      <c r="D1261" t="s">
        <v>823</v>
      </c>
      <c r="E1261" t="s">
        <v>153</v>
      </c>
    </row>
    <row r="1262" spans="1:5">
      <c r="A1262">
        <v>1260</v>
      </c>
      <c r="B1262" t="s">
        <v>1428</v>
      </c>
      <c r="C1262" t="s">
        <v>4989</v>
      </c>
      <c r="D1262" t="s">
        <v>823</v>
      </c>
      <c r="E1262" t="s">
        <v>153</v>
      </c>
    </row>
    <row r="1263" spans="1:5">
      <c r="A1263">
        <v>1261</v>
      </c>
      <c r="B1263" t="s">
        <v>1429</v>
      </c>
      <c r="C1263" t="s">
        <v>4990</v>
      </c>
      <c r="D1263" t="s">
        <v>823</v>
      </c>
      <c r="E1263" t="s">
        <v>153</v>
      </c>
    </row>
    <row r="1264" spans="1:5">
      <c r="A1264">
        <v>1262</v>
      </c>
      <c r="B1264" t="s">
        <v>1430</v>
      </c>
      <c r="C1264" t="s">
        <v>4991</v>
      </c>
      <c r="D1264" t="s">
        <v>823</v>
      </c>
      <c r="E1264" t="s">
        <v>153</v>
      </c>
    </row>
    <row r="1265" spans="1:5">
      <c r="A1265">
        <v>1263</v>
      </c>
      <c r="B1265" t="s">
        <v>1431</v>
      </c>
      <c r="C1265" t="s">
        <v>4992</v>
      </c>
      <c r="D1265" t="s">
        <v>823</v>
      </c>
      <c r="E1265" t="s">
        <v>153</v>
      </c>
    </row>
    <row r="1266" spans="1:5">
      <c r="A1266">
        <v>1264</v>
      </c>
      <c r="B1266" t="s">
        <v>1432</v>
      </c>
      <c r="C1266" t="s">
        <v>4993</v>
      </c>
      <c r="D1266" t="s">
        <v>823</v>
      </c>
      <c r="E1266" t="s">
        <v>153</v>
      </c>
    </row>
    <row r="1267" spans="1:5">
      <c r="A1267">
        <v>1265</v>
      </c>
      <c r="B1267" t="s">
        <v>622</v>
      </c>
      <c r="C1267" t="s">
        <v>4195</v>
      </c>
      <c r="D1267" t="s">
        <v>823</v>
      </c>
      <c r="E1267" t="s">
        <v>153</v>
      </c>
    </row>
    <row r="1268" spans="1:5">
      <c r="A1268">
        <v>1266</v>
      </c>
      <c r="B1268" t="s">
        <v>1433</v>
      </c>
      <c r="C1268" t="s">
        <v>4994</v>
      </c>
      <c r="D1268" t="s">
        <v>823</v>
      </c>
      <c r="E1268" t="s">
        <v>153</v>
      </c>
    </row>
    <row r="1269" spans="1:5">
      <c r="A1269">
        <v>1267</v>
      </c>
      <c r="B1269" t="s">
        <v>1434</v>
      </c>
      <c r="C1269" t="s">
        <v>4995</v>
      </c>
      <c r="D1269" t="s">
        <v>823</v>
      </c>
      <c r="E1269" t="s">
        <v>153</v>
      </c>
    </row>
    <row r="1270" spans="1:5">
      <c r="A1270">
        <v>1268</v>
      </c>
      <c r="B1270" t="s">
        <v>1435</v>
      </c>
      <c r="C1270" t="s">
        <v>4996</v>
      </c>
      <c r="D1270" t="s">
        <v>823</v>
      </c>
      <c r="E1270" t="s">
        <v>153</v>
      </c>
    </row>
    <row r="1271" spans="1:5">
      <c r="A1271">
        <v>1269</v>
      </c>
      <c r="B1271" t="s">
        <v>1436</v>
      </c>
      <c r="C1271" t="s">
        <v>4997</v>
      </c>
      <c r="D1271" t="s">
        <v>823</v>
      </c>
      <c r="E1271" t="s">
        <v>153</v>
      </c>
    </row>
    <row r="1272" spans="1:5">
      <c r="A1272">
        <v>1270</v>
      </c>
      <c r="B1272" t="s">
        <v>1437</v>
      </c>
      <c r="C1272" t="s">
        <v>4998</v>
      </c>
      <c r="D1272" t="s">
        <v>823</v>
      </c>
      <c r="E1272" t="s">
        <v>153</v>
      </c>
    </row>
    <row r="1273" spans="1:5">
      <c r="A1273">
        <v>1271</v>
      </c>
      <c r="B1273" t="s">
        <v>1438</v>
      </c>
      <c r="C1273" t="s">
        <v>4999</v>
      </c>
      <c r="D1273" t="s">
        <v>823</v>
      </c>
      <c r="E1273" t="s">
        <v>153</v>
      </c>
    </row>
    <row r="1274" spans="1:5">
      <c r="A1274">
        <v>1272</v>
      </c>
      <c r="B1274" t="s">
        <v>1439</v>
      </c>
      <c r="C1274" t="s">
        <v>5000</v>
      </c>
      <c r="D1274" t="s">
        <v>823</v>
      </c>
      <c r="E1274" t="s">
        <v>153</v>
      </c>
    </row>
    <row r="1275" spans="1:5">
      <c r="A1275">
        <v>1273</v>
      </c>
      <c r="B1275" t="s">
        <v>1440</v>
      </c>
      <c r="C1275" t="s">
        <v>5001</v>
      </c>
      <c r="D1275" t="s">
        <v>823</v>
      </c>
      <c r="E1275" t="s">
        <v>153</v>
      </c>
    </row>
    <row r="1276" spans="1:5">
      <c r="A1276">
        <v>1274</v>
      </c>
      <c r="B1276" t="s">
        <v>1441</v>
      </c>
      <c r="C1276" t="s">
        <v>5002</v>
      </c>
      <c r="D1276" t="s">
        <v>823</v>
      </c>
      <c r="E1276" t="s">
        <v>153</v>
      </c>
    </row>
    <row r="1277" spans="1:5">
      <c r="A1277">
        <v>1275</v>
      </c>
      <c r="B1277" t="s">
        <v>1442</v>
      </c>
      <c r="C1277" t="s">
        <v>5003</v>
      </c>
      <c r="D1277" t="s">
        <v>823</v>
      </c>
      <c r="E1277" t="s">
        <v>153</v>
      </c>
    </row>
    <row r="1278" spans="1:5">
      <c r="A1278">
        <v>1276</v>
      </c>
      <c r="B1278" t="s">
        <v>1443</v>
      </c>
      <c r="C1278" t="s">
        <v>5004</v>
      </c>
      <c r="D1278" t="s">
        <v>823</v>
      </c>
      <c r="E1278" t="s">
        <v>153</v>
      </c>
    </row>
    <row r="1279" spans="1:5">
      <c r="A1279">
        <v>1277</v>
      </c>
      <c r="B1279" t="s">
        <v>1444</v>
      </c>
      <c r="C1279" t="s">
        <v>5005</v>
      </c>
      <c r="D1279" t="s">
        <v>823</v>
      </c>
      <c r="E1279" t="s">
        <v>153</v>
      </c>
    </row>
    <row r="1280" spans="1:5">
      <c r="A1280">
        <v>1278</v>
      </c>
      <c r="B1280" t="s">
        <v>1445</v>
      </c>
      <c r="C1280" t="s">
        <v>5006</v>
      </c>
      <c r="D1280" t="s">
        <v>823</v>
      </c>
      <c r="E1280" t="s">
        <v>153</v>
      </c>
    </row>
    <row r="1281" spans="1:5">
      <c r="A1281">
        <v>1279</v>
      </c>
      <c r="B1281" t="s">
        <v>1446</v>
      </c>
      <c r="C1281" t="s">
        <v>5007</v>
      </c>
      <c r="D1281" t="s">
        <v>823</v>
      </c>
      <c r="E1281" t="s">
        <v>153</v>
      </c>
    </row>
    <row r="1282" spans="1:5">
      <c r="A1282">
        <v>1280</v>
      </c>
      <c r="B1282" t="s">
        <v>1447</v>
      </c>
      <c r="C1282" t="s">
        <v>5008</v>
      </c>
      <c r="D1282" t="s">
        <v>823</v>
      </c>
      <c r="E1282" t="s">
        <v>153</v>
      </c>
    </row>
    <row r="1283" spans="1:5">
      <c r="A1283">
        <v>1281</v>
      </c>
      <c r="B1283" t="s">
        <v>1448</v>
      </c>
      <c r="C1283" t="s">
        <v>5009</v>
      </c>
      <c r="D1283" t="s">
        <v>823</v>
      </c>
      <c r="E1283" t="s">
        <v>153</v>
      </c>
    </row>
    <row r="1284" spans="1:5">
      <c r="A1284">
        <v>1282</v>
      </c>
      <c r="B1284" t="s">
        <v>1449</v>
      </c>
      <c r="C1284" t="s">
        <v>5010</v>
      </c>
      <c r="D1284" t="s">
        <v>823</v>
      </c>
      <c r="E1284" t="s">
        <v>153</v>
      </c>
    </row>
    <row r="1285" spans="1:5">
      <c r="A1285">
        <v>1283</v>
      </c>
      <c r="B1285" t="s">
        <v>1450</v>
      </c>
      <c r="C1285" t="s">
        <v>5011</v>
      </c>
      <c r="D1285" t="s">
        <v>823</v>
      </c>
      <c r="E1285" t="s">
        <v>153</v>
      </c>
    </row>
    <row r="1286" spans="1:5">
      <c r="A1286">
        <v>1284</v>
      </c>
      <c r="B1286" t="s">
        <v>1451</v>
      </c>
      <c r="C1286" t="s">
        <v>5012</v>
      </c>
      <c r="D1286" t="s">
        <v>823</v>
      </c>
      <c r="E1286" t="s">
        <v>153</v>
      </c>
    </row>
    <row r="1287" spans="1:5">
      <c r="A1287">
        <v>1285</v>
      </c>
      <c r="B1287" t="s">
        <v>1452</v>
      </c>
      <c r="C1287" t="s">
        <v>5013</v>
      </c>
      <c r="D1287" t="s">
        <v>823</v>
      </c>
      <c r="E1287" t="s">
        <v>153</v>
      </c>
    </row>
    <row r="1288" spans="1:5">
      <c r="A1288">
        <v>1286</v>
      </c>
      <c r="B1288" t="s">
        <v>1453</v>
      </c>
      <c r="C1288" t="s">
        <v>5014</v>
      </c>
      <c r="D1288" t="s">
        <v>823</v>
      </c>
      <c r="E1288" t="s">
        <v>153</v>
      </c>
    </row>
    <row r="1289" spans="1:5">
      <c r="A1289">
        <v>1287</v>
      </c>
      <c r="B1289" t="s">
        <v>1454</v>
      </c>
      <c r="C1289" t="s">
        <v>5015</v>
      </c>
      <c r="D1289" t="s">
        <v>823</v>
      </c>
      <c r="E1289" t="s">
        <v>153</v>
      </c>
    </row>
    <row r="1290" spans="1:5">
      <c r="A1290">
        <v>1288</v>
      </c>
      <c r="B1290" t="s">
        <v>1455</v>
      </c>
      <c r="C1290" t="s">
        <v>5016</v>
      </c>
      <c r="D1290" t="s">
        <v>823</v>
      </c>
      <c r="E1290" t="s">
        <v>153</v>
      </c>
    </row>
    <row r="1291" spans="1:5">
      <c r="A1291">
        <v>1289</v>
      </c>
      <c r="B1291" t="s">
        <v>1456</v>
      </c>
      <c r="C1291" t="s">
        <v>5017</v>
      </c>
      <c r="D1291" t="s">
        <v>823</v>
      </c>
      <c r="E1291" t="s">
        <v>153</v>
      </c>
    </row>
    <row r="1292" spans="1:5">
      <c r="A1292">
        <v>1290</v>
      </c>
      <c r="B1292" t="s">
        <v>1457</v>
      </c>
      <c r="C1292" t="s">
        <v>5018</v>
      </c>
      <c r="D1292" t="s">
        <v>823</v>
      </c>
      <c r="E1292" t="s">
        <v>153</v>
      </c>
    </row>
    <row r="1293" spans="1:5">
      <c r="A1293">
        <v>1291</v>
      </c>
      <c r="B1293" t="s">
        <v>1458</v>
      </c>
      <c r="C1293" t="s">
        <v>5019</v>
      </c>
      <c r="D1293" t="s">
        <v>823</v>
      </c>
      <c r="E1293" t="s">
        <v>153</v>
      </c>
    </row>
    <row r="1294" spans="1:5">
      <c r="A1294">
        <v>1292</v>
      </c>
      <c r="B1294" t="s">
        <v>1459</v>
      </c>
      <c r="C1294" t="s">
        <v>5020</v>
      </c>
      <c r="D1294" t="s">
        <v>823</v>
      </c>
      <c r="E1294" t="s">
        <v>153</v>
      </c>
    </row>
    <row r="1295" spans="1:5">
      <c r="A1295">
        <v>1293</v>
      </c>
      <c r="B1295" t="s">
        <v>1460</v>
      </c>
      <c r="C1295" t="s">
        <v>5021</v>
      </c>
      <c r="D1295" t="s">
        <v>823</v>
      </c>
      <c r="E1295" t="s">
        <v>153</v>
      </c>
    </row>
    <row r="1296" spans="1:5">
      <c r="A1296">
        <v>1294</v>
      </c>
      <c r="B1296" t="s">
        <v>1461</v>
      </c>
      <c r="C1296" t="s">
        <v>5022</v>
      </c>
      <c r="D1296" t="s">
        <v>823</v>
      </c>
      <c r="E1296" t="s">
        <v>153</v>
      </c>
    </row>
    <row r="1297" spans="1:5">
      <c r="A1297">
        <v>1295</v>
      </c>
      <c r="B1297" t="s">
        <v>1462</v>
      </c>
      <c r="C1297" t="s">
        <v>5023</v>
      </c>
      <c r="D1297" t="s">
        <v>823</v>
      </c>
      <c r="E1297" t="s">
        <v>153</v>
      </c>
    </row>
    <row r="1298" spans="1:5">
      <c r="A1298">
        <v>1296</v>
      </c>
      <c r="B1298" t="s">
        <v>1463</v>
      </c>
      <c r="C1298" t="s">
        <v>5024</v>
      </c>
      <c r="D1298" t="s">
        <v>823</v>
      </c>
      <c r="E1298" t="s">
        <v>153</v>
      </c>
    </row>
    <row r="1299" spans="1:5">
      <c r="A1299">
        <v>1297</v>
      </c>
      <c r="B1299" t="s">
        <v>1464</v>
      </c>
      <c r="C1299" t="s">
        <v>5025</v>
      </c>
      <c r="D1299" t="s">
        <v>823</v>
      </c>
      <c r="E1299" t="s">
        <v>153</v>
      </c>
    </row>
    <row r="1300" spans="1:5">
      <c r="A1300">
        <v>1298</v>
      </c>
      <c r="B1300" t="s">
        <v>1465</v>
      </c>
      <c r="C1300" t="s">
        <v>5026</v>
      </c>
      <c r="D1300" t="s">
        <v>823</v>
      </c>
      <c r="E1300" t="s">
        <v>153</v>
      </c>
    </row>
    <row r="1301" spans="1:5">
      <c r="A1301">
        <v>1299</v>
      </c>
      <c r="B1301" t="s">
        <v>1466</v>
      </c>
      <c r="C1301" t="s">
        <v>5027</v>
      </c>
      <c r="D1301" t="s">
        <v>823</v>
      </c>
      <c r="E1301" t="s">
        <v>153</v>
      </c>
    </row>
    <row r="1302" spans="1:5">
      <c r="A1302">
        <v>1300</v>
      </c>
      <c r="B1302" t="s">
        <v>1467</v>
      </c>
      <c r="C1302" t="s">
        <v>5028</v>
      </c>
      <c r="D1302" t="s">
        <v>823</v>
      </c>
      <c r="E1302" t="s">
        <v>153</v>
      </c>
    </row>
    <row r="1303" spans="1:5">
      <c r="A1303">
        <v>1301</v>
      </c>
      <c r="B1303" t="s">
        <v>1468</v>
      </c>
      <c r="C1303" t="s">
        <v>5029</v>
      </c>
      <c r="D1303" t="s">
        <v>823</v>
      </c>
      <c r="E1303" t="s">
        <v>153</v>
      </c>
    </row>
    <row r="1304" spans="1:5">
      <c r="A1304">
        <v>1302</v>
      </c>
      <c r="B1304" t="s">
        <v>1469</v>
      </c>
      <c r="C1304" t="s">
        <v>5030</v>
      </c>
      <c r="D1304" t="s">
        <v>823</v>
      </c>
      <c r="E1304" t="s">
        <v>153</v>
      </c>
    </row>
    <row r="1305" spans="1:5">
      <c r="A1305">
        <v>1303</v>
      </c>
      <c r="B1305" t="s">
        <v>1470</v>
      </c>
      <c r="C1305" t="s">
        <v>5031</v>
      </c>
      <c r="D1305" t="s">
        <v>823</v>
      </c>
      <c r="E1305" t="s">
        <v>153</v>
      </c>
    </row>
    <row r="1306" spans="1:5">
      <c r="A1306">
        <v>1304</v>
      </c>
      <c r="B1306" t="s">
        <v>1471</v>
      </c>
      <c r="C1306" t="s">
        <v>5032</v>
      </c>
      <c r="D1306" t="s">
        <v>823</v>
      </c>
      <c r="E1306" t="s">
        <v>153</v>
      </c>
    </row>
    <row r="1307" spans="1:5">
      <c r="A1307">
        <v>1305</v>
      </c>
      <c r="B1307" t="s">
        <v>1472</v>
      </c>
      <c r="C1307" t="s">
        <v>5033</v>
      </c>
      <c r="D1307" t="s">
        <v>823</v>
      </c>
      <c r="E1307" t="s">
        <v>153</v>
      </c>
    </row>
    <row r="1308" spans="1:5">
      <c r="A1308">
        <v>1306</v>
      </c>
      <c r="B1308" t="s">
        <v>1473</v>
      </c>
      <c r="C1308" t="s">
        <v>5034</v>
      </c>
      <c r="D1308" t="s">
        <v>823</v>
      </c>
      <c r="E1308" t="s">
        <v>153</v>
      </c>
    </row>
    <row r="1309" spans="1:5">
      <c r="A1309">
        <v>1307</v>
      </c>
      <c r="B1309" t="s">
        <v>1474</v>
      </c>
      <c r="C1309" t="s">
        <v>5035</v>
      </c>
      <c r="D1309" t="s">
        <v>823</v>
      </c>
      <c r="E1309" t="s">
        <v>153</v>
      </c>
    </row>
    <row r="1310" spans="1:5">
      <c r="A1310">
        <v>1308</v>
      </c>
      <c r="B1310" t="s">
        <v>1475</v>
      </c>
      <c r="C1310" t="s">
        <v>5036</v>
      </c>
      <c r="D1310" t="s">
        <v>823</v>
      </c>
      <c r="E1310" t="s">
        <v>153</v>
      </c>
    </row>
    <row r="1311" spans="1:5">
      <c r="A1311">
        <v>1309</v>
      </c>
      <c r="B1311" t="s">
        <v>1476</v>
      </c>
      <c r="C1311" t="s">
        <v>5037</v>
      </c>
      <c r="D1311" t="s">
        <v>823</v>
      </c>
      <c r="E1311" t="s">
        <v>153</v>
      </c>
    </row>
    <row r="1312" spans="1:5">
      <c r="A1312">
        <v>1310</v>
      </c>
      <c r="B1312" t="s">
        <v>1477</v>
      </c>
      <c r="C1312" t="s">
        <v>7342</v>
      </c>
      <c r="D1312" t="s">
        <v>823</v>
      </c>
      <c r="E1312" t="s">
        <v>153</v>
      </c>
    </row>
    <row r="1313" spans="1:5">
      <c r="A1313">
        <v>1311</v>
      </c>
      <c r="B1313" t="s">
        <v>1478</v>
      </c>
      <c r="C1313" t="s">
        <v>5038</v>
      </c>
      <c r="D1313" t="s">
        <v>823</v>
      </c>
      <c r="E1313" t="s">
        <v>153</v>
      </c>
    </row>
    <row r="1314" spans="1:5">
      <c r="A1314">
        <v>1312</v>
      </c>
      <c r="B1314" t="s">
        <v>1479</v>
      </c>
      <c r="C1314" t="s">
        <v>5039</v>
      </c>
      <c r="D1314" t="s">
        <v>823</v>
      </c>
      <c r="E1314" t="s">
        <v>153</v>
      </c>
    </row>
    <row r="1315" spans="1:5">
      <c r="A1315">
        <v>1313</v>
      </c>
      <c r="B1315" t="s">
        <v>1480</v>
      </c>
      <c r="C1315" t="s">
        <v>5040</v>
      </c>
      <c r="D1315" t="s">
        <v>823</v>
      </c>
      <c r="E1315" t="s">
        <v>153</v>
      </c>
    </row>
    <row r="1316" spans="1:5">
      <c r="A1316">
        <v>1314</v>
      </c>
      <c r="B1316" t="s">
        <v>1481</v>
      </c>
      <c r="C1316" t="s">
        <v>5041</v>
      </c>
      <c r="D1316" t="s">
        <v>823</v>
      </c>
      <c r="E1316" t="s">
        <v>153</v>
      </c>
    </row>
    <row r="1317" spans="1:5">
      <c r="A1317">
        <v>1315</v>
      </c>
      <c r="B1317" t="s">
        <v>1482</v>
      </c>
      <c r="C1317" t="s">
        <v>5042</v>
      </c>
      <c r="D1317" t="s">
        <v>823</v>
      </c>
      <c r="E1317" t="s">
        <v>153</v>
      </c>
    </row>
    <row r="1318" spans="1:5">
      <c r="A1318">
        <v>1316</v>
      </c>
      <c r="B1318" t="s">
        <v>1483</v>
      </c>
      <c r="C1318" t="s">
        <v>5043</v>
      </c>
      <c r="D1318" t="s">
        <v>823</v>
      </c>
      <c r="E1318" t="s">
        <v>153</v>
      </c>
    </row>
    <row r="1319" spans="1:5">
      <c r="A1319">
        <v>1317</v>
      </c>
      <c r="B1319" t="s">
        <v>1484</v>
      </c>
      <c r="C1319" t="s">
        <v>5044</v>
      </c>
      <c r="D1319" t="s">
        <v>823</v>
      </c>
      <c r="E1319" t="s">
        <v>153</v>
      </c>
    </row>
    <row r="1320" spans="1:5">
      <c r="A1320">
        <v>1318</v>
      </c>
      <c r="B1320" t="s">
        <v>1485</v>
      </c>
      <c r="C1320" t="s">
        <v>5045</v>
      </c>
      <c r="D1320" t="s">
        <v>823</v>
      </c>
      <c r="E1320" t="s">
        <v>153</v>
      </c>
    </row>
    <row r="1321" spans="1:5">
      <c r="A1321">
        <v>1319</v>
      </c>
      <c r="B1321" t="s">
        <v>1486</v>
      </c>
      <c r="C1321" t="s">
        <v>5046</v>
      </c>
      <c r="D1321" t="s">
        <v>823</v>
      </c>
      <c r="E1321" t="s">
        <v>153</v>
      </c>
    </row>
    <row r="1322" spans="1:5">
      <c r="A1322">
        <v>1320</v>
      </c>
      <c r="B1322" t="s">
        <v>1487</v>
      </c>
      <c r="C1322" t="s">
        <v>5047</v>
      </c>
      <c r="D1322" t="s">
        <v>823</v>
      </c>
      <c r="E1322" t="s">
        <v>153</v>
      </c>
    </row>
    <row r="1323" spans="1:5">
      <c r="A1323">
        <v>1321</v>
      </c>
      <c r="B1323" t="s">
        <v>1488</v>
      </c>
      <c r="C1323" t="s">
        <v>5048</v>
      </c>
      <c r="D1323" t="s">
        <v>823</v>
      </c>
      <c r="E1323" t="s">
        <v>153</v>
      </c>
    </row>
    <row r="1324" spans="1:5">
      <c r="A1324">
        <v>1322</v>
      </c>
      <c r="B1324" t="s">
        <v>1489</v>
      </c>
      <c r="C1324" t="s">
        <v>5049</v>
      </c>
      <c r="D1324" t="s">
        <v>823</v>
      </c>
      <c r="E1324" t="s">
        <v>153</v>
      </c>
    </row>
    <row r="1325" spans="1:5">
      <c r="A1325">
        <v>1323</v>
      </c>
      <c r="B1325" t="s">
        <v>1490</v>
      </c>
      <c r="C1325" t="s">
        <v>5050</v>
      </c>
      <c r="D1325" t="s">
        <v>823</v>
      </c>
      <c r="E1325" t="s">
        <v>153</v>
      </c>
    </row>
    <row r="1326" spans="1:5">
      <c r="A1326">
        <v>1324</v>
      </c>
      <c r="B1326" t="s">
        <v>1491</v>
      </c>
      <c r="C1326" t="s">
        <v>5051</v>
      </c>
      <c r="D1326" t="s">
        <v>823</v>
      </c>
      <c r="E1326" t="s">
        <v>153</v>
      </c>
    </row>
    <row r="1327" spans="1:5">
      <c r="A1327">
        <v>1325</v>
      </c>
      <c r="B1327" t="s">
        <v>1492</v>
      </c>
      <c r="C1327" t="s">
        <v>5052</v>
      </c>
      <c r="D1327" t="s">
        <v>823</v>
      </c>
      <c r="E1327" t="s">
        <v>153</v>
      </c>
    </row>
    <row r="1328" spans="1:5">
      <c r="A1328">
        <v>1326</v>
      </c>
      <c r="B1328" t="s">
        <v>1493</v>
      </c>
      <c r="C1328" t="s">
        <v>5053</v>
      </c>
      <c r="D1328" t="s">
        <v>823</v>
      </c>
      <c r="E1328" t="s">
        <v>153</v>
      </c>
    </row>
    <row r="1329" spans="1:5">
      <c r="A1329">
        <v>1327</v>
      </c>
      <c r="B1329" t="s">
        <v>1494</v>
      </c>
      <c r="C1329" t="s">
        <v>5054</v>
      </c>
      <c r="D1329" t="s">
        <v>823</v>
      </c>
      <c r="E1329" t="s">
        <v>153</v>
      </c>
    </row>
    <row r="1330" spans="1:5">
      <c r="A1330">
        <v>1328</v>
      </c>
      <c r="B1330" t="s">
        <v>1495</v>
      </c>
      <c r="C1330" t="s">
        <v>5055</v>
      </c>
      <c r="D1330" t="s">
        <v>823</v>
      </c>
      <c r="E1330" t="s">
        <v>153</v>
      </c>
    </row>
    <row r="1331" spans="1:5">
      <c r="A1331">
        <v>1329</v>
      </c>
      <c r="B1331" t="s">
        <v>1496</v>
      </c>
      <c r="C1331" t="s">
        <v>5056</v>
      </c>
      <c r="D1331" t="s">
        <v>823</v>
      </c>
      <c r="E1331" t="s">
        <v>153</v>
      </c>
    </row>
    <row r="1332" spans="1:5">
      <c r="A1332">
        <v>1330</v>
      </c>
      <c r="B1332" t="s">
        <v>1497</v>
      </c>
      <c r="C1332" t="s">
        <v>5057</v>
      </c>
      <c r="D1332" t="s">
        <v>823</v>
      </c>
      <c r="E1332" t="s">
        <v>153</v>
      </c>
    </row>
    <row r="1333" spans="1:5">
      <c r="A1333">
        <v>1331</v>
      </c>
      <c r="B1333" t="s">
        <v>1498</v>
      </c>
      <c r="C1333" t="s">
        <v>5058</v>
      </c>
      <c r="D1333" t="s">
        <v>823</v>
      </c>
      <c r="E1333" t="s">
        <v>153</v>
      </c>
    </row>
    <row r="1334" spans="1:5">
      <c r="A1334">
        <v>1332</v>
      </c>
      <c r="B1334" t="s">
        <v>1499</v>
      </c>
      <c r="C1334" t="s">
        <v>5059</v>
      </c>
      <c r="D1334" t="s">
        <v>823</v>
      </c>
      <c r="E1334" t="s">
        <v>153</v>
      </c>
    </row>
    <row r="1335" spans="1:5">
      <c r="A1335">
        <v>1333</v>
      </c>
      <c r="B1335" t="s">
        <v>1500</v>
      </c>
      <c r="C1335" t="s">
        <v>5060</v>
      </c>
      <c r="D1335" t="s">
        <v>823</v>
      </c>
      <c r="E1335" t="s">
        <v>153</v>
      </c>
    </row>
    <row r="1336" spans="1:5">
      <c r="A1336">
        <v>1334</v>
      </c>
      <c r="B1336" t="s">
        <v>1501</v>
      </c>
      <c r="C1336" t="s">
        <v>5061</v>
      </c>
      <c r="D1336" t="s">
        <v>823</v>
      </c>
      <c r="E1336" t="s">
        <v>153</v>
      </c>
    </row>
    <row r="1337" spans="1:5">
      <c r="A1337">
        <v>1335</v>
      </c>
      <c r="B1337" t="s">
        <v>1502</v>
      </c>
      <c r="C1337" t="s">
        <v>5062</v>
      </c>
      <c r="D1337" t="s">
        <v>823</v>
      </c>
      <c r="E1337" t="s">
        <v>153</v>
      </c>
    </row>
    <row r="1338" spans="1:5">
      <c r="A1338">
        <v>1336</v>
      </c>
      <c r="B1338" t="s">
        <v>1503</v>
      </c>
      <c r="C1338" t="s">
        <v>5063</v>
      </c>
      <c r="D1338" t="s">
        <v>823</v>
      </c>
      <c r="E1338" t="s">
        <v>153</v>
      </c>
    </row>
    <row r="1339" spans="1:5">
      <c r="A1339">
        <v>1337</v>
      </c>
      <c r="B1339" t="s">
        <v>1504</v>
      </c>
      <c r="C1339" t="s">
        <v>5064</v>
      </c>
      <c r="D1339" t="s">
        <v>823</v>
      </c>
      <c r="E1339" t="s">
        <v>153</v>
      </c>
    </row>
    <row r="1340" spans="1:5">
      <c r="A1340">
        <v>1338</v>
      </c>
      <c r="B1340" t="s">
        <v>1505</v>
      </c>
      <c r="C1340" t="s">
        <v>5065</v>
      </c>
      <c r="D1340" t="s">
        <v>823</v>
      </c>
      <c r="E1340" t="s">
        <v>153</v>
      </c>
    </row>
    <row r="1341" spans="1:5">
      <c r="A1341">
        <v>1339</v>
      </c>
      <c r="B1341" t="s">
        <v>1506</v>
      </c>
      <c r="C1341" t="s">
        <v>5066</v>
      </c>
      <c r="D1341" t="s">
        <v>823</v>
      </c>
      <c r="E1341" t="s">
        <v>153</v>
      </c>
    </row>
    <row r="1342" spans="1:5">
      <c r="A1342">
        <v>1340</v>
      </c>
      <c r="B1342" t="s">
        <v>1507</v>
      </c>
      <c r="C1342" t="s">
        <v>5067</v>
      </c>
      <c r="D1342" t="s">
        <v>823</v>
      </c>
      <c r="E1342" t="s">
        <v>153</v>
      </c>
    </row>
    <row r="1343" spans="1:5">
      <c r="A1343">
        <v>1341</v>
      </c>
      <c r="B1343" t="s">
        <v>1508</v>
      </c>
      <c r="C1343" t="s">
        <v>5068</v>
      </c>
      <c r="D1343" t="s">
        <v>823</v>
      </c>
      <c r="E1343" t="s">
        <v>153</v>
      </c>
    </row>
    <row r="1344" spans="1:5">
      <c r="A1344">
        <v>1342</v>
      </c>
      <c r="B1344" t="s">
        <v>1509</v>
      </c>
      <c r="C1344" t="s">
        <v>5069</v>
      </c>
      <c r="D1344" t="s">
        <v>823</v>
      </c>
      <c r="E1344" t="s">
        <v>153</v>
      </c>
    </row>
    <row r="1345" spans="1:5">
      <c r="A1345">
        <v>1343</v>
      </c>
      <c r="B1345" t="s">
        <v>1510</v>
      </c>
      <c r="C1345" t="s">
        <v>5070</v>
      </c>
      <c r="D1345" t="s">
        <v>823</v>
      </c>
      <c r="E1345" t="s">
        <v>153</v>
      </c>
    </row>
    <row r="1346" spans="1:5">
      <c r="A1346">
        <v>1344</v>
      </c>
      <c r="B1346" t="s">
        <v>1511</v>
      </c>
      <c r="C1346" t="s">
        <v>5071</v>
      </c>
      <c r="D1346" t="s">
        <v>823</v>
      </c>
      <c r="E1346" t="s">
        <v>153</v>
      </c>
    </row>
    <row r="1347" spans="1:5">
      <c r="A1347">
        <v>1345</v>
      </c>
      <c r="B1347" t="s">
        <v>1512</v>
      </c>
      <c r="C1347" t="s">
        <v>5072</v>
      </c>
      <c r="D1347" t="s">
        <v>823</v>
      </c>
      <c r="E1347" t="s">
        <v>153</v>
      </c>
    </row>
    <row r="1348" spans="1:5">
      <c r="A1348">
        <v>1346</v>
      </c>
      <c r="B1348" t="s">
        <v>1513</v>
      </c>
      <c r="C1348" t="s">
        <v>5073</v>
      </c>
      <c r="D1348" t="s">
        <v>823</v>
      </c>
      <c r="E1348" t="s">
        <v>153</v>
      </c>
    </row>
    <row r="1349" spans="1:5">
      <c r="A1349">
        <v>1347</v>
      </c>
      <c r="B1349" t="s">
        <v>1514</v>
      </c>
      <c r="C1349" t="s">
        <v>5074</v>
      </c>
      <c r="D1349" t="s">
        <v>823</v>
      </c>
      <c r="E1349" t="s">
        <v>153</v>
      </c>
    </row>
    <row r="1350" spans="1:5">
      <c r="A1350">
        <v>1348</v>
      </c>
      <c r="B1350" t="s">
        <v>1515</v>
      </c>
      <c r="C1350" t="s">
        <v>5075</v>
      </c>
      <c r="D1350" t="s">
        <v>823</v>
      </c>
      <c r="E1350" t="s">
        <v>153</v>
      </c>
    </row>
    <row r="1351" spans="1:5">
      <c r="A1351">
        <v>1349</v>
      </c>
      <c r="B1351" t="s">
        <v>1516</v>
      </c>
      <c r="C1351" t="s">
        <v>5076</v>
      </c>
      <c r="D1351" t="s">
        <v>823</v>
      </c>
      <c r="E1351" t="s">
        <v>153</v>
      </c>
    </row>
    <row r="1352" spans="1:5">
      <c r="A1352">
        <v>1350</v>
      </c>
      <c r="B1352" t="s">
        <v>1517</v>
      </c>
      <c r="C1352" t="s">
        <v>5077</v>
      </c>
      <c r="D1352" t="s">
        <v>823</v>
      </c>
      <c r="E1352" t="s">
        <v>153</v>
      </c>
    </row>
    <row r="1353" spans="1:5">
      <c r="A1353">
        <v>1351</v>
      </c>
      <c r="B1353" t="s">
        <v>1518</v>
      </c>
      <c r="C1353" t="s">
        <v>5078</v>
      </c>
      <c r="D1353" t="s">
        <v>823</v>
      </c>
      <c r="E1353" t="s">
        <v>153</v>
      </c>
    </row>
    <row r="1354" spans="1:5">
      <c r="A1354">
        <v>1352</v>
      </c>
      <c r="B1354" t="s">
        <v>1519</v>
      </c>
      <c r="C1354" t="s">
        <v>5079</v>
      </c>
      <c r="D1354" t="s">
        <v>823</v>
      </c>
      <c r="E1354" t="s">
        <v>153</v>
      </c>
    </row>
    <row r="1355" spans="1:5">
      <c r="A1355">
        <v>1353</v>
      </c>
      <c r="B1355" t="s">
        <v>1520</v>
      </c>
      <c r="C1355" t="s">
        <v>5080</v>
      </c>
      <c r="D1355" t="s">
        <v>823</v>
      </c>
      <c r="E1355" t="s">
        <v>153</v>
      </c>
    </row>
    <row r="1356" spans="1:5">
      <c r="A1356">
        <v>1354</v>
      </c>
      <c r="B1356" t="s">
        <v>1521</v>
      </c>
      <c r="C1356" t="s">
        <v>5081</v>
      </c>
      <c r="D1356" t="s">
        <v>823</v>
      </c>
      <c r="E1356" t="s">
        <v>153</v>
      </c>
    </row>
    <row r="1357" spans="1:5">
      <c r="A1357">
        <v>1355</v>
      </c>
      <c r="B1357" t="s">
        <v>1522</v>
      </c>
      <c r="C1357" t="s">
        <v>5082</v>
      </c>
      <c r="D1357" t="s">
        <v>823</v>
      </c>
      <c r="E1357" t="s">
        <v>153</v>
      </c>
    </row>
    <row r="1358" spans="1:5">
      <c r="A1358">
        <v>1356</v>
      </c>
      <c r="B1358" t="s">
        <v>1523</v>
      </c>
      <c r="C1358" t="s">
        <v>5083</v>
      </c>
      <c r="D1358" t="s">
        <v>823</v>
      </c>
      <c r="E1358" t="s">
        <v>153</v>
      </c>
    </row>
    <row r="1359" spans="1:5">
      <c r="A1359">
        <v>1357</v>
      </c>
      <c r="B1359" t="s">
        <v>1524</v>
      </c>
      <c r="C1359" t="s">
        <v>5084</v>
      </c>
      <c r="D1359" t="s">
        <v>823</v>
      </c>
      <c r="E1359" t="s">
        <v>153</v>
      </c>
    </row>
    <row r="1360" spans="1:5">
      <c r="A1360">
        <v>1358</v>
      </c>
      <c r="B1360" t="s">
        <v>1525</v>
      </c>
      <c r="C1360" t="s">
        <v>5085</v>
      </c>
      <c r="D1360" t="s">
        <v>823</v>
      </c>
      <c r="E1360" t="s">
        <v>153</v>
      </c>
    </row>
    <row r="1361" spans="1:5">
      <c r="A1361">
        <v>1359</v>
      </c>
      <c r="B1361" t="s">
        <v>1526</v>
      </c>
      <c r="C1361" t="s">
        <v>5086</v>
      </c>
      <c r="D1361" t="s">
        <v>823</v>
      </c>
      <c r="E1361" t="s">
        <v>153</v>
      </c>
    </row>
    <row r="1362" spans="1:5">
      <c r="A1362">
        <v>1360</v>
      </c>
      <c r="B1362" t="s">
        <v>1527</v>
      </c>
      <c r="C1362" t="s">
        <v>5087</v>
      </c>
      <c r="D1362" t="s">
        <v>823</v>
      </c>
      <c r="E1362" t="s">
        <v>153</v>
      </c>
    </row>
    <row r="1363" spans="1:5">
      <c r="A1363">
        <v>1361</v>
      </c>
      <c r="B1363" t="s">
        <v>1528</v>
      </c>
      <c r="C1363" t="s">
        <v>5088</v>
      </c>
      <c r="D1363" t="s">
        <v>823</v>
      </c>
      <c r="E1363" t="s">
        <v>153</v>
      </c>
    </row>
    <row r="1364" spans="1:5">
      <c r="A1364">
        <v>1362</v>
      </c>
      <c r="B1364" t="s">
        <v>1529</v>
      </c>
      <c r="C1364" t="s">
        <v>5089</v>
      </c>
      <c r="D1364" t="s">
        <v>823</v>
      </c>
      <c r="E1364" t="s">
        <v>153</v>
      </c>
    </row>
    <row r="1365" spans="1:5">
      <c r="A1365">
        <v>1363</v>
      </c>
      <c r="B1365" t="s">
        <v>1530</v>
      </c>
      <c r="C1365" t="s">
        <v>5090</v>
      </c>
      <c r="D1365" t="s">
        <v>823</v>
      </c>
      <c r="E1365" t="s">
        <v>153</v>
      </c>
    </row>
    <row r="1366" spans="1:5">
      <c r="A1366">
        <v>1364</v>
      </c>
      <c r="B1366" t="s">
        <v>1531</v>
      </c>
      <c r="C1366" t="s">
        <v>5091</v>
      </c>
      <c r="D1366" t="s">
        <v>823</v>
      </c>
      <c r="E1366" t="s">
        <v>153</v>
      </c>
    </row>
    <row r="1367" spans="1:5">
      <c r="A1367">
        <v>1365</v>
      </c>
      <c r="B1367" t="s">
        <v>1532</v>
      </c>
      <c r="C1367" t="s">
        <v>5092</v>
      </c>
      <c r="D1367" t="s">
        <v>823</v>
      </c>
      <c r="E1367" t="s">
        <v>153</v>
      </c>
    </row>
    <row r="1368" spans="1:5">
      <c r="A1368">
        <v>1366</v>
      </c>
      <c r="B1368" t="s">
        <v>1533</v>
      </c>
      <c r="C1368" t="s">
        <v>5093</v>
      </c>
      <c r="D1368" t="s">
        <v>823</v>
      </c>
      <c r="E1368" t="s">
        <v>153</v>
      </c>
    </row>
    <row r="1369" spans="1:5">
      <c r="A1369">
        <v>1367</v>
      </c>
      <c r="B1369" t="s">
        <v>1534</v>
      </c>
      <c r="C1369" t="s">
        <v>5094</v>
      </c>
      <c r="D1369" t="s">
        <v>823</v>
      </c>
      <c r="E1369" t="s">
        <v>153</v>
      </c>
    </row>
    <row r="1370" spans="1:5">
      <c r="A1370">
        <v>1368</v>
      </c>
      <c r="B1370" t="s">
        <v>1535</v>
      </c>
      <c r="C1370" t="s">
        <v>5095</v>
      </c>
      <c r="D1370" t="s">
        <v>823</v>
      </c>
      <c r="E1370" t="s">
        <v>153</v>
      </c>
    </row>
    <row r="1371" spans="1:5">
      <c r="A1371">
        <v>1369</v>
      </c>
      <c r="B1371" t="s">
        <v>1536</v>
      </c>
      <c r="C1371" t="s">
        <v>5096</v>
      </c>
      <c r="D1371" t="s">
        <v>823</v>
      </c>
      <c r="E1371" t="s">
        <v>153</v>
      </c>
    </row>
    <row r="1372" spans="1:5">
      <c r="A1372">
        <v>1370</v>
      </c>
      <c r="B1372" t="s">
        <v>1537</v>
      </c>
      <c r="C1372" t="s">
        <v>5097</v>
      </c>
      <c r="D1372" t="s">
        <v>823</v>
      </c>
      <c r="E1372" t="s">
        <v>153</v>
      </c>
    </row>
    <row r="1373" spans="1:5">
      <c r="A1373">
        <v>1371</v>
      </c>
      <c r="B1373" t="s">
        <v>1538</v>
      </c>
      <c r="C1373" t="s">
        <v>5098</v>
      </c>
      <c r="D1373" t="s">
        <v>823</v>
      </c>
      <c r="E1373" t="s">
        <v>153</v>
      </c>
    </row>
    <row r="1374" spans="1:5">
      <c r="A1374">
        <v>1372</v>
      </c>
      <c r="B1374" t="s">
        <v>1539</v>
      </c>
      <c r="C1374" t="s">
        <v>5099</v>
      </c>
      <c r="D1374" t="s">
        <v>823</v>
      </c>
      <c r="E1374" t="s">
        <v>153</v>
      </c>
    </row>
    <row r="1375" spans="1:5">
      <c r="A1375">
        <v>1373</v>
      </c>
      <c r="B1375" t="s">
        <v>1540</v>
      </c>
      <c r="C1375" t="s">
        <v>5100</v>
      </c>
      <c r="D1375" t="s">
        <v>823</v>
      </c>
      <c r="E1375" t="s">
        <v>153</v>
      </c>
    </row>
    <row r="1376" spans="1:5">
      <c r="A1376">
        <v>1374</v>
      </c>
      <c r="B1376" t="s">
        <v>1541</v>
      </c>
      <c r="C1376" t="s">
        <v>5101</v>
      </c>
      <c r="D1376" t="s">
        <v>823</v>
      </c>
      <c r="E1376" t="s">
        <v>153</v>
      </c>
    </row>
    <row r="1377" spans="1:5">
      <c r="A1377">
        <v>1375</v>
      </c>
      <c r="B1377" t="s">
        <v>1542</v>
      </c>
      <c r="C1377" t="s">
        <v>5102</v>
      </c>
      <c r="D1377" t="s">
        <v>823</v>
      </c>
      <c r="E1377" t="s">
        <v>153</v>
      </c>
    </row>
    <row r="1378" spans="1:5">
      <c r="A1378">
        <v>1376</v>
      </c>
      <c r="B1378" t="s">
        <v>1543</v>
      </c>
      <c r="C1378" t="s">
        <v>5103</v>
      </c>
      <c r="D1378" t="s">
        <v>823</v>
      </c>
      <c r="E1378" t="s">
        <v>153</v>
      </c>
    </row>
    <row r="1379" spans="1:5">
      <c r="A1379">
        <v>1377</v>
      </c>
      <c r="B1379" t="s">
        <v>1544</v>
      </c>
      <c r="C1379" t="s">
        <v>5104</v>
      </c>
      <c r="D1379" t="s">
        <v>823</v>
      </c>
      <c r="E1379" t="s">
        <v>153</v>
      </c>
    </row>
    <row r="1380" spans="1:5">
      <c r="A1380">
        <v>1378</v>
      </c>
      <c r="B1380" t="s">
        <v>1545</v>
      </c>
      <c r="C1380" t="s">
        <v>5105</v>
      </c>
      <c r="D1380" t="s">
        <v>823</v>
      </c>
      <c r="E1380" t="s">
        <v>153</v>
      </c>
    </row>
    <row r="1381" spans="1:5">
      <c r="A1381">
        <v>1379</v>
      </c>
      <c r="B1381" t="s">
        <v>1546</v>
      </c>
      <c r="C1381" t="s">
        <v>5106</v>
      </c>
      <c r="D1381" t="s">
        <v>823</v>
      </c>
      <c r="E1381" t="s">
        <v>153</v>
      </c>
    </row>
    <row r="1382" spans="1:5">
      <c r="A1382">
        <v>1380</v>
      </c>
      <c r="B1382" t="s">
        <v>1547</v>
      </c>
      <c r="C1382" t="s">
        <v>5107</v>
      </c>
      <c r="D1382" t="s">
        <v>823</v>
      </c>
      <c r="E1382" t="s">
        <v>153</v>
      </c>
    </row>
    <row r="1383" spans="1:5">
      <c r="A1383">
        <v>1381</v>
      </c>
      <c r="B1383" t="s">
        <v>1548</v>
      </c>
      <c r="C1383" t="s">
        <v>5108</v>
      </c>
      <c r="D1383" t="s">
        <v>823</v>
      </c>
      <c r="E1383" t="s">
        <v>153</v>
      </c>
    </row>
    <row r="1384" spans="1:5">
      <c r="A1384">
        <v>1382</v>
      </c>
      <c r="B1384" t="s">
        <v>1549</v>
      </c>
      <c r="C1384" t="s">
        <v>5109</v>
      </c>
      <c r="D1384" t="s">
        <v>823</v>
      </c>
      <c r="E1384" t="s">
        <v>153</v>
      </c>
    </row>
    <row r="1385" spans="1:5">
      <c r="A1385">
        <v>1383</v>
      </c>
      <c r="B1385" t="s">
        <v>1550</v>
      </c>
      <c r="C1385" t="s">
        <v>5110</v>
      </c>
      <c r="D1385" t="s">
        <v>823</v>
      </c>
      <c r="E1385" t="s">
        <v>153</v>
      </c>
    </row>
    <row r="1386" spans="1:5">
      <c r="A1386">
        <v>1384</v>
      </c>
      <c r="B1386" t="s">
        <v>1551</v>
      </c>
      <c r="C1386" t="s">
        <v>5111</v>
      </c>
      <c r="D1386" t="s">
        <v>823</v>
      </c>
      <c r="E1386" t="s">
        <v>153</v>
      </c>
    </row>
    <row r="1387" spans="1:5">
      <c r="A1387">
        <v>1385</v>
      </c>
      <c r="B1387" t="s">
        <v>1552</v>
      </c>
      <c r="C1387" t="s">
        <v>5112</v>
      </c>
      <c r="D1387" t="s">
        <v>823</v>
      </c>
      <c r="E1387" t="s">
        <v>153</v>
      </c>
    </row>
    <row r="1388" spans="1:5">
      <c r="A1388">
        <v>1386</v>
      </c>
      <c r="B1388" t="s">
        <v>1553</v>
      </c>
      <c r="C1388" t="s">
        <v>5113</v>
      </c>
      <c r="D1388" t="s">
        <v>823</v>
      </c>
      <c r="E1388" t="s">
        <v>153</v>
      </c>
    </row>
    <row r="1389" spans="1:5">
      <c r="A1389">
        <v>1387</v>
      </c>
      <c r="B1389" t="s">
        <v>1554</v>
      </c>
      <c r="C1389" t="s">
        <v>5114</v>
      </c>
      <c r="D1389" t="s">
        <v>823</v>
      </c>
      <c r="E1389" t="s">
        <v>153</v>
      </c>
    </row>
    <row r="1390" spans="1:5">
      <c r="A1390">
        <v>1388</v>
      </c>
      <c r="B1390" t="s">
        <v>1555</v>
      </c>
      <c r="C1390" t="s">
        <v>5115</v>
      </c>
      <c r="D1390" t="s">
        <v>823</v>
      </c>
      <c r="E1390" t="s">
        <v>153</v>
      </c>
    </row>
    <row r="1391" spans="1:5">
      <c r="A1391">
        <v>1389</v>
      </c>
      <c r="B1391" t="s">
        <v>1556</v>
      </c>
      <c r="C1391" t="s">
        <v>5116</v>
      </c>
      <c r="D1391" t="s">
        <v>823</v>
      </c>
      <c r="E1391" t="s">
        <v>153</v>
      </c>
    </row>
    <row r="1392" spans="1:5">
      <c r="A1392">
        <v>1390</v>
      </c>
      <c r="B1392" t="s">
        <v>1557</v>
      </c>
      <c r="C1392" t="s">
        <v>5117</v>
      </c>
      <c r="D1392" t="s">
        <v>823</v>
      </c>
      <c r="E1392" t="s">
        <v>153</v>
      </c>
    </row>
    <row r="1393" spans="1:5">
      <c r="A1393">
        <v>1391</v>
      </c>
      <c r="B1393" t="s">
        <v>1558</v>
      </c>
      <c r="C1393" t="s">
        <v>5118</v>
      </c>
      <c r="D1393" t="s">
        <v>823</v>
      </c>
      <c r="E1393" t="s">
        <v>153</v>
      </c>
    </row>
    <row r="1394" spans="1:5">
      <c r="A1394">
        <v>1392</v>
      </c>
      <c r="B1394" t="s">
        <v>1559</v>
      </c>
      <c r="C1394" t="s">
        <v>5119</v>
      </c>
      <c r="D1394" t="s">
        <v>823</v>
      </c>
      <c r="E1394" t="s">
        <v>153</v>
      </c>
    </row>
    <row r="1395" spans="1:5">
      <c r="A1395">
        <v>1393</v>
      </c>
      <c r="B1395" t="s">
        <v>1560</v>
      </c>
      <c r="C1395" t="s">
        <v>5120</v>
      </c>
      <c r="D1395" t="s">
        <v>823</v>
      </c>
      <c r="E1395" t="s">
        <v>153</v>
      </c>
    </row>
    <row r="1396" spans="1:5">
      <c r="A1396">
        <v>1394</v>
      </c>
      <c r="B1396" t="s">
        <v>1561</v>
      </c>
      <c r="C1396" t="s">
        <v>5121</v>
      </c>
      <c r="D1396" t="s">
        <v>823</v>
      </c>
      <c r="E1396" t="s">
        <v>153</v>
      </c>
    </row>
    <row r="1397" spans="1:5">
      <c r="A1397">
        <v>1395</v>
      </c>
      <c r="B1397" t="s">
        <v>1562</v>
      </c>
      <c r="C1397" t="s">
        <v>5122</v>
      </c>
      <c r="D1397" t="s">
        <v>823</v>
      </c>
      <c r="E1397" t="s">
        <v>153</v>
      </c>
    </row>
    <row r="1398" spans="1:5">
      <c r="A1398">
        <v>1396</v>
      </c>
      <c r="B1398" t="s">
        <v>1563</v>
      </c>
      <c r="C1398" t="s">
        <v>5123</v>
      </c>
      <c r="D1398" t="s">
        <v>823</v>
      </c>
      <c r="E1398" t="s">
        <v>153</v>
      </c>
    </row>
    <row r="1399" spans="1:5">
      <c r="A1399">
        <v>1397</v>
      </c>
      <c r="B1399" t="s">
        <v>1564</v>
      </c>
      <c r="C1399" t="s">
        <v>5124</v>
      </c>
      <c r="D1399" t="s">
        <v>823</v>
      </c>
      <c r="E1399" t="s">
        <v>153</v>
      </c>
    </row>
    <row r="1400" spans="1:5">
      <c r="A1400">
        <v>1398</v>
      </c>
      <c r="B1400" t="s">
        <v>1565</v>
      </c>
      <c r="C1400" t="s">
        <v>5125</v>
      </c>
      <c r="D1400" t="s">
        <v>823</v>
      </c>
      <c r="E1400" t="s">
        <v>153</v>
      </c>
    </row>
    <row r="1401" spans="1:5">
      <c r="A1401">
        <v>1399</v>
      </c>
      <c r="B1401" t="s">
        <v>1566</v>
      </c>
      <c r="C1401" t="s">
        <v>5126</v>
      </c>
      <c r="D1401" t="s">
        <v>823</v>
      </c>
      <c r="E1401" t="s">
        <v>153</v>
      </c>
    </row>
    <row r="1402" spans="1:5">
      <c r="A1402">
        <v>1400</v>
      </c>
      <c r="B1402" t="s">
        <v>1567</v>
      </c>
      <c r="C1402" t="s">
        <v>5127</v>
      </c>
      <c r="D1402" t="s">
        <v>823</v>
      </c>
      <c r="E1402" t="s">
        <v>153</v>
      </c>
    </row>
    <row r="1403" spans="1:5">
      <c r="A1403">
        <v>1401</v>
      </c>
      <c r="B1403" t="s">
        <v>1568</v>
      </c>
      <c r="C1403" t="s">
        <v>5128</v>
      </c>
      <c r="D1403" t="s">
        <v>823</v>
      </c>
      <c r="E1403" t="s">
        <v>153</v>
      </c>
    </row>
    <row r="1404" spans="1:5">
      <c r="A1404">
        <v>1402</v>
      </c>
      <c r="B1404" t="s">
        <v>1569</v>
      </c>
      <c r="C1404" t="s">
        <v>5129</v>
      </c>
      <c r="D1404" t="s">
        <v>823</v>
      </c>
      <c r="E1404" t="s">
        <v>153</v>
      </c>
    </row>
    <row r="1405" spans="1:5">
      <c r="A1405">
        <v>1403</v>
      </c>
      <c r="B1405" t="s">
        <v>1570</v>
      </c>
      <c r="C1405" t="s">
        <v>5130</v>
      </c>
      <c r="D1405" t="s">
        <v>823</v>
      </c>
      <c r="E1405" t="s">
        <v>153</v>
      </c>
    </row>
    <row r="1406" spans="1:5">
      <c r="A1406">
        <v>1404</v>
      </c>
      <c r="B1406" t="s">
        <v>1571</v>
      </c>
      <c r="C1406" t="s">
        <v>5131</v>
      </c>
      <c r="D1406" t="s">
        <v>823</v>
      </c>
      <c r="E1406" t="s">
        <v>153</v>
      </c>
    </row>
    <row r="1407" spans="1:5">
      <c r="A1407">
        <v>1405</v>
      </c>
      <c r="B1407" t="s">
        <v>1572</v>
      </c>
      <c r="C1407" t="s">
        <v>5132</v>
      </c>
      <c r="D1407" t="s">
        <v>823</v>
      </c>
      <c r="E1407" t="s">
        <v>153</v>
      </c>
    </row>
    <row r="1408" spans="1:5">
      <c r="A1408">
        <v>1406</v>
      </c>
      <c r="B1408" t="s">
        <v>1573</v>
      </c>
      <c r="C1408" t="s">
        <v>5133</v>
      </c>
      <c r="D1408" t="s">
        <v>823</v>
      </c>
      <c r="E1408" t="s">
        <v>153</v>
      </c>
    </row>
    <row r="1409" spans="1:5">
      <c r="A1409">
        <v>1407</v>
      </c>
      <c r="B1409" t="s">
        <v>1574</v>
      </c>
      <c r="C1409" t="s">
        <v>5134</v>
      </c>
      <c r="D1409" t="s">
        <v>823</v>
      </c>
      <c r="E1409" t="s">
        <v>153</v>
      </c>
    </row>
    <row r="1410" spans="1:5">
      <c r="A1410">
        <v>1408</v>
      </c>
      <c r="B1410" t="s">
        <v>1575</v>
      </c>
      <c r="C1410" t="s">
        <v>5135</v>
      </c>
      <c r="D1410" t="s">
        <v>823</v>
      </c>
      <c r="E1410" t="s">
        <v>153</v>
      </c>
    </row>
    <row r="1411" spans="1:5">
      <c r="A1411">
        <v>1409</v>
      </c>
      <c r="B1411" t="s">
        <v>1576</v>
      </c>
      <c r="C1411" t="s">
        <v>5136</v>
      </c>
      <c r="D1411" t="s">
        <v>823</v>
      </c>
      <c r="E1411" t="s">
        <v>153</v>
      </c>
    </row>
    <row r="1412" spans="1:5">
      <c r="A1412">
        <v>1410</v>
      </c>
      <c r="B1412" t="s">
        <v>1577</v>
      </c>
      <c r="C1412" t="s">
        <v>5137</v>
      </c>
      <c r="D1412" t="s">
        <v>823</v>
      </c>
      <c r="E1412" t="s">
        <v>153</v>
      </c>
    </row>
    <row r="1413" spans="1:5">
      <c r="A1413">
        <v>1411</v>
      </c>
      <c r="B1413" t="s">
        <v>1578</v>
      </c>
      <c r="C1413" t="s">
        <v>5138</v>
      </c>
      <c r="D1413" t="s">
        <v>823</v>
      </c>
      <c r="E1413" t="s">
        <v>153</v>
      </c>
    </row>
    <row r="1414" spans="1:5">
      <c r="A1414">
        <v>1412</v>
      </c>
      <c r="B1414" t="s">
        <v>1579</v>
      </c>
      <c r="C1414" t="s">
        <v>5139</v>
      </c>
      <c r="D1414" t="s">
        <v>823</v>
      </c>
      <c r="E1414" t="s">
        <v>153</v>
      </c>
    </row>
    <row r="1415" spans="1:5">
      <c r="A1415">
        <v>1413</v>
      </c>
      <c r="B1415" t="s">
        <v>1580</v>
      </c>
      <c r="C1415" t="s">
        <v>5140</v>
      </c>
      <c r="D1415" t="s">
        <v>823</v>
      </c>
      <c r="E1415" t="s">
        <v>153</v>
      </c>
    </row>
    <row r="1416" spans="1:5">
      <c r="A1416">
        <v>1414</v>
      </c>
      <c r="B1416" t="s">
        <v>1581</v>
      </c>
      <c r="C1416" t="s">
        <v>5141</v>
      </c>
      <c r="D1416" t="s">
        <v>823</v>
      </c>
      <c r="E1416" t="s">
        <v>153</v>
      </c>
    </row>
    <row r="1417" spans="1:5">
      <c r="A1417">
        <v>1415</v>
      </c>
      <c r="B1417" t="s">
        <v>1582</v>
      </c>
      <c r="C1417" t="s">
        <v>5142</v>
      </c>
      <c r="D1417" t="s">
        <v>823</v>
      </c>
      <c r="E1417" t="s">
        <v>153</v>
      </c>
    </row>
    <row r="1418" spans="1:5">
      <c r="A1418">
        <v>1416</v>
      </c>
      <c r="B1418" t="s">
        <v>1583</v>
      </c>
      <c r="C1418" t="s">
        <v>5143</v>
      </c>
      <c r="D1418" t="s">
        <v>823</v>
      </c>
      <c r="E1418" t="s">
        <v>153</v>
      </c>
    </row>
    <row r="1419" spans="1:5">
      <c r="A1419">
        <v>1417</v>
      </c>
      <c r="B1419" t="s">
        <v>1584</v>
      </c>
      <c r="C1419" t="s">
        <v>5144</v>
      </c>
      <c r="D1419" t="s">
        <v>823</v>
      </c>
      <c r="E1419" t="s">
        <v>153</v>
      </c>
    </row>
    <row r="1420" spans="1:5">
      <c r="A1420">
        <v>1418</v>
      </c>
      <c r="B1420" t="s">
        <v>1585</v>
      </c>
      <c r="C1420" t="s">
        <v>5145</v>
      </c>
      <c r="D1420" t="s">
        <v>823</v>
      </c>
      <c r="E1420" t="s">
        <v>153</v>
      </c>
    </row>
    <row r="1421" spans="1:5">
      <c r="A1421">
        <v>1419</v>
      </c>
      <c r="B1421" t="s">
        <v>1586</v>
      </c>
      <c r="C1421" t="s">
        <v>5146</v>
      </c>
      <c r="D1421" t="s">
        <v>823</v>
      </c>
      <c r="E1421" t="s">
        <v>153</v>
      </c>
    </row>
    <row r="1422" spans="1:5">
      <c r="A1422">
        <v>1420</v>
      </c>
      <c r="B1422" t="s">
        <v>1587</v>
      </c>
      <c r="C1422" t="s">
        <v>5147</v>
      </c>
      <c r="D1422" t="s">
        <v>823</v>
      </c>
      <c r="E1422" t="s">
        <v>153</v>
      </c>
    </row>
    <row r="1423" spans="1:5">
      <c r="A1423">
        <v>1421</v>
      </c>
      <c r="B1423" t="s">
        <v>1588</v>
      </c>
      <c r="C1423" t="s">
        <v>5148</v>
      </c>
      <c r="D1423" t="s">
        <v>823</v>
      </c>
      <c r="E1423" t="s">
        <v>153</v>
      </c>
    </row>
    <row r="1424" spans="1:5">
      <c r="A1424">
        <v>1422</v>
      </c>
      <c r="B1424" t="s">
        <v>1589</v>
      </c>
      <c r="C1424" t="s">
        <v>5149</v>
      </c>
      <c r="D1424" t="s">
        <v>823</v>
      </c>
      <c r="E1424" t="s">
        <v>153</v>
      </c>
    </row>
    <row r="1425" spans="1:5">
      <c r="A1425">
        <v>1423</v>
      </c>
      <c r="B1425" t="s">
        <v>1590</v>
      </c>
      <c r="C1425" t="s">
        <v>5150</v>
      </c>
      <c r="D1425" t="s">
        <v>823</v>
      </c>
      <c r="E1425" t="s">
        <v>153</v>
      </c>
    </row>
    <row r="1426" spans="1:5">
      <c r="A1426">
        <v>1424</v>
      </c>
      <c r="B1426" t="s">
        <v>1591</v>
      </c>
      <c r="C1426" t="s">
        <v>5151</v>
      </c>
      <c r="D1426" t="s">
        <v>823</v>
      </c>
      <c r="E1426" t="s">
        <v>153</v>
      </c>
    </row>
    <row r="1427" spans="1:5">
      <c r="A1427">
        <v>1425</v>
      </c>
      <c r="B1427" t="s">
        <v>1592</v>
      </c>
      <c r="C1427" t="s">
        <v>5152</v>
      </c>
      <c r="D1427" t="s">
        <v>823</v>
      </c>
      <c r="E1427" t="s">
        <v>153</v>
      </c>
    </row>
    <row r="1428" spans="1:5">
      <c r="A1428">
        <v>1426</v>
      </c>
      <c r="B1428" t="s">
        <v>1593</v>
      </c>
      <c r="C1428" t="s">
        <v>5153</v>
      </c>
      <c r="D1428" t="s">
        <v>823</v>
      </c>
      <c r="E1428" t="s">
        <v>153</v>
      </c>
    </row>
    <row r="1429" spans="1:5">
      <c r="A1429">
        <v>1427</v>
      </c>
      <c r="B1429" t="s">
        <v>1594</v>
      </c>
      <c r="C1429" t="s">
        <v>5154</v>
      </c>
      <c r="D1429" t="s">
        <v>823</v>
      </c>
      <c r="E1429" t="s">
        <v>153</v>
      </c>
    </row>
    <row r="1430" spans="1:5">
      <c r="A1430">
        <v>1428</v>
      </c>
      <c r="B1430" t="s">
        <v>1595</v>
      </c>
      <c r="C1430" t="s">
        <v>5155</v>
      </c>
      <c r="D1430" t="s">
        <v>823</v>
      </c>
      <c r="E1430" t="s">
        <v>153</v>
      </c>
    </row>
    <row r="1431" spans="1:5">
      <c r="A1431">
        <v>1429</v>
      </c>
      <c r="B1431" t="s">
        <v>1596</v>
      </c>
      <c r="C1431" t="s">
        <v>5156</v>
      </c>
      <c r="D1431" t="s">
        <v>823</v>
      </c>
      <c r="E1431" t="s">
        <v>153</v>
      </c>
    </row>
    <row r="1432" spans="1:5">
      <c r="A1432">
        <v>1430</v>
      </c>
      <c r="B1432" t="s">
        <v>7343</v>
      </c>
      <c r="C1432" t="s">
        <v>7344</v>
      </c>
      <c r="D1432" t="s">
        <v>823</v>
      </c>
      <c r="E1432" t="s">
        <v>153</v>
      </c>
    </row>
    <row r="1433" spans="1:5">
      <c r="A1433">
        <v>1431</v>
      </c>
      <c r="B1433" t="s">
        <v>1597</v>
      </c>
      <c r="C1433" t="s">
        <v>5157</v>
      </c>
      <c r="D1433" t="s">
        <v>823</v>
      </c>
      <c r="E1433" t="s">
        <v>153</v>
      </c>
    </row>
    <row r="1434" spans="1:5">
      <c r="A1434">
        <v>1432</v>
      </c>
      <c r="B1434" t="s">
        <v>1598</v>
      </c>
      <c r="C1434" t="s">
        <v>5158</v>
      </c>
      <c r="D1434" t="s">
        <v>823</v>
      </c>
      <c r="E1434" t="s">
        <v>153</v>
      </c>
    </row>
    <row r="1435" spans="1:5">
      <c r="A1435">
        <v>1433</v>
      </c>
      <c r="B1435" t="s">
        <v>1599</v>
      </c>
      <c r="C1435" t="s">
        <v>5159</v>
      </c>
      <c r="D1435" t="s">
        <v>823</v>
      </c>
      <c r="E1435" t="s">
        <v>153</v>
      </c>
    </row>
    <row r="1436" spans="1:5">
      <c r="A1436">
        <v>1434</v>
      </c>
      <c r="B1436" t="s">
        <v>1600</v>
      </c>
      <c r="C1436" t="s">
        <v>5160</v>
      </c>
      <c r="D1436" t="s">
        <v>823</v>
      </c>
      <c r="E1436" t="s">
        <v>153</v>
      </c>
    </row>
    <row r="1437" spans="1:5">
      <c r="A1437">
        <v>1435</v>
      </c>
      <c r="B1437" t="s">
        <v>1601</v>
      </c>
      <c r="C1437" t="s">
        <v>5161</v>
      </c>
      <c r="D1437" t="s">
        <v>823</v>
      </c>
      <c r="E1437" t="s">
        <v>153</v>
      </c>
    </row>
    <row r="1438" spans="1:5">
      <c r="A1438">
        <v>1436</v>
      </c>
      <c r="B1438" t="s">
        <v>1602</v>
      </c>
      <c r="C1438" t="s">
        <v>5162</v>
      </c>
      <c r="D1438" t="s">
        <v>823</v>
      </c>
      <c r="E1438" t="s">
        <v>153</v>
      </c>
    </row>
    <row r="1439" spans="1:5">
      <c r="A1439">
        <v>1437</v>
      </c>
      <c r="B1439" t="s">
        <v>1603</v>
      </c>
      <c r="C1439" t="s">
        <v>5163</v>
      </c>
      <c r="D1439" t="s">
        <v>823</v>
      </c>
      <c r="E1439" t="s">
        <v>153</v>
      </c>
    </row>
    <row r="1440" spans="1:5">
      <c r="A1440">
        <v>1438</v>
      </c>
      <c r="B1440" t="s">
        <v>1604</v>
      </c>
      <c r="C1440" t="s">
        <v>5164</v>
      </c>
      <c r="D1440" t="s">
        <v>823</v>
      </c>
      <c r="E1440" t="s">
        <v>153</v>
      </c>
    </row>
    <row r="1441" spans="1:5">
      <c r="A1441">
        <v>1439</v>
      </c>
      <c r="B1441" t="s">
        <v>1605</v>
      </c>
      <c r="C1441" t="s">
        <v>5165</v>
      </c>
      <c r="D1441" t="s">
        <v>823</v>
      </c>
      <c r="E1441" t="s">
        <v>153</v>
      </c>
    </row>
    <row r="1442" spans="1:5">
      <c r="A1442">
        <v>1440</v>
      </c>
      <c r="B1442" t="s">
        <v>1606</v>
      </c>
      <c r="C1442" t="s">
        <v>5166</v>
      </c>
      <c r="D1442" t="s">
        <v>823</v>
      </c>
      <c r="E1442" t="s">
        <v>153</v>
      </c>
    </row>
    <row r="1443" spans="1:5">
      <c r="A1443">
        <v>1441</v>
      </c>
      <c r="B1443" t="s">
        <v>7345</v>
      </c>
      <c r="C1443" t="s">
        <v>7346</v>
      </c>
      <c r="D1443" t="s">
        <v>823</v>
      </c>
      <c r="E1443" t="s">
        <v>153</v>
      </c>
    </row>
    <row r="1444" spans="1:5">
      <c r="A1444">
        <v>1442</v>
      </c>
      <c r="B1444" t="s">
        <v>1607</v>
      </c>
      <c r="C1444" t="s">
        <v>5167</v>
      </c>
      <c r="D1444" t="s">
        <v>823</v>
      </c>
      <c r="E1444" t="s">
        <v>153</v>
      </c>
    </row>
    <row r="1445" spans="1:5">
      <c r="A1445">
        <v>1443</v>
      </c>
      <c r="B1445" t="s">
        <v>1608</v>
      </c>
      <c r="C1445" t="s">
        <v>5168</v>
      </c>
      <c r="D1445" t="s">
        <v>823</v>
      </c>
      <c r="E1445" t="s">
        <v>153</v>
      </c>
    </row>
    <row r="1446" spans="1:5">
      <c r="A1446">
        <v>1444</v>
      </c>
      <c r="B1446" t="s">
        <v>1609</v>
      </c>
      <c r="C1446" t="s">
        <v>5169</v>
      </c>
      <c r="D1446" t="s">
        <v>823</v>
      </c>
      <c r="E1446" t="s">
        <v>153</v>
      </c>
    </row>
    <row r="1447" spans="1:5">
      <c r="A1447">
        <v>1445</v>
      </c>
      <c r="B1447" t="s">
        <v>1610</v>
      </c>
      <c r="C1447" t="s">
        <v>5170</v>
      </c>
      <c r="D1447" t="s">
        <v>823</v>
      </c>
      <c r="E1447" t="s">
        <v>153</v>
      </c>
    </row>
    <row r="1448" spans="1:5">
      <c r="A1448">
        <v>1446</v>
      </c>
      <c r="B1448" t="s">
        <v>1611</v>
      </c>
      <c r="C1448" t="s">
        <v>5171</v>
      </c>
      <c r="D1448" t="s">
        <v>823</v>
      </c>
      <c r="E1448" t="s">
        <v>153</v>
      </c>
    </row>
    <row r="1449" spans="1:5">
      <c r="A1449">
        <v>1447</v>
      </c>
      <c r="B1449" t="s">
        <v>1612</v>
      </c>
      <c r="C1449" t="s">
        <v>5172</v>
      </c>
      <c r="D1449" t="s">
        <v>823</v>
      </c>
      <c r="E1449" t="s">
        <v>153</v>
      </c>
    </row>
    <row r="1450" spans="1:5">
      <c r="A1450">
        <v>1448</v>
      </c>
      <c r="B1450" t="s">
        <v>1613</v>
      </c>
      <c r="C1450" t="s">
        <v>5173</v>
      </c>
      <c r="D1450" t="s">
        <v>823</v>
      </c>
      <c r="E1450" t="s">
        <v>153</v>
      </c>
    </row>
    <row r="1451" spans="1:5">
      <c r="A1451">
        <v>1449</v>
      </c>
      <c r="B1451" t="s">
        <v>1614</v>
      </c>
      <c r="C1451" t="s">
        <v>5174</v>
      </c>
      <c r="D1451" t="s">
        <v>823</v>
      </c>
      <c r="E1451" t="s">
        <v>153</v>
      </c>
    </row>
    <row r="1452" spans="1:5">
      <c r="A1452">
        <v>1450</v>
      </c>
      <c r="B1452" t="s">
        <v>1615</v>
      </c>
      <c r="C1452" t="s">
        <v>5175</v>
      </c>
      <c r="D1452" t="s">
        <v>823</v>
      </c>
      <c r="E1452" t="s">
        <v>153</v>
      </c>
    </row>
    <row r="1453" spans="1:5">
      <c r="A1453">
        <v>1451</v>
      </c>
      <c r="B1453" t="s">
        <v>1616</v>
      </c>
      <c r="C1453" t="s">
        <v>5176</v>
      </c>
      <c r="D1453" t="s">
        <v>823</v>
      </c>
      <c r="E1453" t="s">
        <v>153</v>
      </c>
    </row>
    <row r="1454" spans="1:5">
      <c r="A1454">
        <v>1452</v>
      </c>
      <c r="B1454" t="s">
        <v>1617</v>
      </c>
      <c r="C1454" t="s">
        <v>5177</v>
      </c>
      <c r="D1454" t="s">
        <v>823</v>
      </c>
      <c r="E1454" t="s">
        <v>153</v>
      </c>
    </row>
    <row r="1455" spans="1:5">
      <c r="A1455">
        <v>1453</v>
      </c>
      <c r="B1455" t="s">
        <v>1618</v>
      </c>
      <c r="C1455" t="s">
        <v>5178</v>
      </c>
      <c r="D1455" t="s">
        <v>823</v>
      </c>
      <c r="E1455" t="s">
        <v>153</v>
      </c>
    </row>
    <row r="1456" spans="1:5">
      <c r="A1456">
        <v>1454</v>
      </c>
      <c r="B1456" t="s">
        <v>1619</v>
      </c>
      <c r="C1456" t="s">
        <v>5179</v>
      </c>
      <c r="D1456" t="s">
        <v>823</v>
      </c>
      <c r="E1456" t="s">
        <v>153</v>
      </c>
    </row>
    <row r="1457" spans="1:5">
      <c r="A1457">
        <v>1455</v>
      </c>
      <c r="B1457" t="s">
        <v>1620</v>
      </c>
      <c r="C1457" t="s">
        <v>5180</v>
      </c>
      <c r="D1457" t="s">
        <v>823</v>
      </c>
      <c r="E1457" t="s">
        <v>153</v>
      </c>
    </row>
    <row r="1458" spans="1:5">
      <c r="A1458">
        <v>1456</v>
      </c>
      <c r="B1458" t="s">
        <v>1621</v>
      </c>
      <c r="C1458" t="s">
        <v>5181</v>
      </c>
      <c r="D1458" t="s">
        <v>823</v>
      </c>
      <c r="E1458" t="s">
        <v>153</v>
      </c>
    </row>
    <row r="1459" spans="1:5">
      <c r="A1459">
        <v>1457</v>
      </c>
      <c r="B1459" t="s">
        <v>1622</v>
      </c>
      <c r="C1459" t="s">
        <v>5182</v>
      </c>
      <c r="D1459" t="s">
        <v>823</v>
      </c>
      <c r="E1459" t="s">
        <v>153</v>
      </c>
    </row>
    <row r="1460" spans="1:5">
      <c r="A1460">
        <v>1458</v>
      </c>
      <c r="B1460" t="s">
        <v>1623</v>
      </c>
      <c r="C1460" t="s">
        <v>5183</v>
      </c>
      <c r="D1460" t="s">
        <v>823</v>
      </c>
      <c r="E1460" t="s">
        <v>153</v>
      </c>
    </row>
    <row r="1461" spans="1:5">
      <c r="A1461">
        <v>1459</v>
      </c>
      <c r="B1461" t="s">
        <v>1624</v>
      </c>
      <c r="C1461" t="s">
        <v>5184</v>
      </c>
      <c r="D1461" t="s">
        <v>823</v>
      </c>
      <c r="E1461" t="s">
        <v>153</v>
      </c>
    </row>
    <row r="1462" spans="1:5">
      <c r="A1462">
        <v>1460</v>
      </c>
      <c r="B1462" t="s">
        <v>1625</v>
      </c>
      <c r="C1462" t="s">
        <v>5185</v>
      </c>
      <c r="D1462" t="s">
        <v>823</v>
      </c>
      <c r="E1462" t="s">
        <v>153</v>
      </c>
    </row>
    <row r="1463" spans="1:5">
      <c r="A1463">
        <v>1461</v>
      </c>
      <c r="B1463" t="s">
        <v>1626</v>
      </c>
      <c r="C1463" t="s">
        <v>5186</v>
      </c>
      <c r="D1463" t="s">
        <v>823</v>
      </c>
      <c r="E1463" t="s">
        <v>153</v>
      </c>
    </row>
    <row r="1464" spans="1:5">
      <c r="A1464">
        <v>1462</v>
      </c>
      <c r="B1464" t="s">
        <v>1627</v>
      </c>
      <c r="C1464" t="s">
        <v>5187</v>
      </c>
      <c r="D1464" t="s">
        <v>823</v>
      </c>
      <c r="E1464" t="s">
        <v>153</v>
      </c>
    </row>
    <row r="1465" spans="1:5">
      <c r="A1465">
        <v>1463</v>
      </c>
      <c r="B1465" t="s">
        <v>7347</v>
      </c>
      <c r="C1465" t="s">
        <v>7348</v>
      </c>
      <c r="D1465" t="s">
        <v>823</v>
      </c>
      <c r="E1465" t="s">
        <v>153</v>
      </c>
    </row>
    <row r="1466" spans="1:5">
      <c r="A1466">
        <v>1464</v>
      </c>
      <c r="B1466" t="s">
        <v>1628</v>
      </c>
      <c r="C1466" t="s">
        <v>5188</v>
      </c>
      <c r="D1466" t="s">
        <v>823</v>
      </c>
      <c r="E1466" t="s">
        <v>153</v>
      </c>
    </row>
    <row r="1467" spans="1:5">
      <c r="A1467">
        <v>1465</v>
      </c>
      <c r="B1467" t="s">
        <v>1629</v>
      </c>
      <c r="C1467" t="s">
        <v>5189</v>
      </c>
      <c r="D1467" t="s">
        <v>823</v>
      </c>
      <c r="E1467" t="s">
        <v>153</v>
      </c>
    </row>
    <row r="1468" spans="1:5">
      <c r="A1468">
        <v>1466</v>
      </c>
      <c r="B1468" t="s">
        <v>1630</v>
      </c>
      <c r="C1468" t="s">
        <v>5190</v>
      </c>
      <c r="D1468" t="s">
        <v>823</v>
      </c>
      <c r="E1468" t="s">
        <v>153</v>
      </c>
    </row>
    <row r="1469" spans="1:5">
      <c r="A1469">
        <v>1467</v>
      </c>
      <c r="B1469" t="s">
        <v>1631</v>
      </c>
      <c r="C1469" t="s">
        <v>5191</v>
      </c>
      <c r="D1469" t="s">
        <v>823</v>
      </c>
      <c r="E1469" t="s">
        <v>153</v>
      </c>
    </row>
    <row r="1470" spans="1:5">
      <c r="A1470">
        <v>1468</v>
      </c>
      <c r="B1470" t="s">
        <v>1632</v>
      </c>
      <c r="C1470" t="s">
        <v>5192</v>
      </c>
      <c r="D1470" t="s">
        <v>823</v>
      </c>
      <c r="E1470" t="s">
        <v>153</v>
      </c>
    </row>
    <row r="1471" spans="1:5">
      <c r="A1471">
        <v>1469</v>
      </c>
      <c r="B1471" t="s">
        <v>1633</v>
      </c>
      <c r="C1471" t="s">
        <v>5193</v>
      </c>
      <c r="D1471" t="s">
        <v>823</v>
      </c>
      <c r="E1471" t="s">
        <v>153</v>
      </c>
    </row>
    <row r="1472" spans="1:5">
      <c r="A1472">
        <v>1470</v>
      </c>
      <c r="B1472" t="s">
        <v>1634</v>
      </c>
      <c r="C1472" t="s">
        <v>5194</v>
      </c>
      <c r="D1472" t="s">
        <v>823</v>
      </c>
      <c r="E1472" t="s">
        <v>153</v>
      </c>
    </row>
    <row r="1473" spans="1:5">
      <c r="A1473">
        <v>1471</v>
      </c>
      <c r="B1473" t="s">
        <v>1635</v>
      </c>
      <c r="C1473" t="s">
        <v>5195</v>
      </c>
      <c r="D1473" t="s">
        <v>823</v>
      </c>
      <c r="E1473" t="s">
        <v>153</v>
      </c>
    </row>
    <row r="1474" spans="1:5">
      <c r="A1474">
        <v>1472</v>
      </c>
      <c r="B1474" t="s">
        <v>1636</v>
      </c>
      <c r="C1474" t="s">
        <v>5196</v>
      </c>
      <c r="D1474" t="s">
        <v>823</v>
      </c>
      <c r="E1474" t="s">
        <v>153</v>
      </c>
    </row>
    <row r="1475" spans="1:5">
      <c r="A1475">
        <v>1473</v>
      </c>
      <c r="B1475" t="s">
        <v>1637</v>
      </c>
      <c r="C1475" t="s">
        <v>5197</v>
      </c>
      <c r="D1475" t="s">
        <v>823</v>
      </c>
      <c r="E1475" t="s">
        <v>153</v>
      </c>
    </row>
    <row r="1476" spans="1:5">
      <c r="A1476">
        <v>1474</v>
      </c>
      <c r="B1476" t="s">
        <v>1638</v>
      </c>
      <c r="C1476" t="s">
        <v>5198</v>
      </c>
      <c r="D1476" t="s">
        <v>823</v>
      </c>
      <c r="E1476" t="s">
        <v>153</v>
      </c>
    </row>
    <row r="1477" spans="1:5">
      <c r="A1477">
        <v>1475</v>
      </c>
      <c r="B1477" t="s">
        <v>1639</v>
      </c>
      <c r="C1477" t="s">
        <v>5199</v>
      </c>
      <c r="D1477" t="s">
        <v>823</v>
      </c>
      <c r="E1477" t="s">
        <v>153</v>
      </c>
    </row>
    <row r="1478" spans="1:5">
      <c r="A1478">
        <v>1476</v>
      </c>
      <c r="B1478" t="s">
        <v>1640</v>
      </c>
      <c r="C1478" t="s">
        <v>5200</v>
      </c>
      <c r="D1478" t="s">
        <v>823</v>
      </c>
      <c r="E1478" t="s">
        <v>153</v>
      </c>
    </row>
    <row r="1479" spans="1:5">
      <c r="A1479">
        <v>1477</v>
      </c>
      <c r="B1479" t="s">
        <v>1641</v>
      </c>
      <c r="C1479" t="s">
        <v>5201</v>
      </c>
      <c r="D1479" t="s">
        <v>823</v>
      </c>
      <c r="E1479" t="s">
        <v>153</v>
      </c>
    </row>
    <row r="1480" spans="1:5">
      <c r="A1480">
        <v>1478</v>
      </c>
      <c r="B1480" t="s">
        <v>1642</v>
      </c>
      <c r="C1480" t="s">
        <v>5202</v>
      </c>
      <c r="D1480" t="s">
        <v>823</v>
      </c>
      <c r="E1480" t="s">
        <v>153</v>
      </c>
    </row>
    <row r="1481" spans="1:5">
      <c r="A1481">
        <v>1479</v>
      </c>
      <c r="B1481" t="s">
        <v>1643</v>
      </c>
      <c r="C1481" t="s">
        <v>5203</v>
      </c>
      <c r="D1481" t="s">
        <v>823</v>
      </c>
      <c r="E1481" t="s">
        <v>153</v>
      </c>
    </row>
    <row r="1482" spans="1:5">
      <c r="A1482">
        <v>1480</v>
      </c>
      <c r="B1482" t="s">
        <v>1644</v>
      </c>
      <c r="C1482" t="s">
        <v>5204</v>
      </c>
      <c r="D1482" t="s">
        <v>823</v>
      </c>
      <c r="E1482" t="s">
        <v>153</v>
      </c>
    </row>
    <row r="1483" spans="1:5">
      <c r="A1483">
        <v>1481</v>
      </c>
      <c r="B1483" t="s">
        <v>1645</v>
      </c>
      <c r="C1483" t="s">
        <v>5205</v>
      </c>
      <c r="D1483" t="s">
        <v>823</v>
      </c>
      <c r="E1483" t="s">
        <v>153</v>
      </c>
    </row>
    <row r="1484" spans="1:5">
      <c r="A1484">
        <v>1482</v>
      </c>
      <c r="B1484" t="s">
        <v>1646</v>
      </c>
      <c r="C1484" t="s">
        <v>5206</v>
      </c>
      <c r="D1484" t="s">
        <v>823</v>
      </c>
      <c r="E1484" t="s">
        <v>153</v>
      </c>
    </row>
    <row r="1485" spans="1:5">
      <c r="A1485">
        <v>1483</v>
      </c>
      <c r="B1485" t="s">
        <v>1647</v>
      </c>
      <c r="C1485" t="s">
        <v>5207</v>
      </c>
      <c r="D1485" t="s">
        <v>823</v>
      </c>
      <c r="E1485" t="s">
        <v>153</v>
      </c>
    </row>
    <row r="1486" spans="1:5">
      <c r="A1486">
        <v>1484</v>
      </c>
      <c r="B1486" t="s">
        <v>1648</v>
      </c>
      <c r="C1486" t="s">
        <v>5208</v>
      </c>
      <c r="D1486" t="s">
        <v>823</v>
      </c>
      <c r="E1486" t="s">
        <v>153</v>
      </c>
    </row>
    <row r="1487" spans="1:5">
      <c r="A1487">
        <v>1485</v>
      </c>
      <c r="B1487" t="s">
        <v>1649</v>
      </c>
      <c r="C1487" t="s">
        <v>5209</v>
      </c>
      <c r="D1487" t="s">
        <v>823</v>
      </c>
      <c r="E1487" t="s">
        <v>153</v>
      </c>
    </row>
    <row r="1488" spans="1:5">
      <c r="A1488">
        <v>1486</v>
      </c>
      <c r="B1488" t="s">
        <v>1650</v>
      </c>
      <c r="C1488" t="s">
        <v>5210</v>
      </c>
      <c r="D1488" t="s">
        <v>823</v>
      </c>
      <c r="E1488" t="s">
        <v>153</v>
      </c>
    </row>
    <row r="1489" spans="1:5">
      <c r="A1489">
        <v>1487</v>
      </c>
      <c r="B1489" t="s">
        <v>1651</v>
      </c>
      <c r="C1489" t="s">
        <v>5211</v>
      </c>
      <c r="D1489" t="s">
        <v>823</v>
      </c>
      <c r="E1489" t="s">
        <v>153</v>
      </c>
    </row>
    <row r="1490" spans="1:5">
      <c r="A1490">
        <v>1488</v>
      </c>
      <c r="B1490" t="s">
        <v>1652</v>
      </c>
      <c r="C1490" t="s">
        <v>5212</v>
      </c>
      <c r="D1490" t="s">
        <v>823</v>
      </c>
      <c r="E1490" t="s">
        <v>153</v>
      </c>
    </row>
    <row r="1491" spans="1:5">
      <c r="A1491">
        <v>1489</v>
      </c>
      <c r="B1491" t="s">
        <v>1653</v>
      </c>
      <c r="C1491" t="s">
        <v>5213</v>
      </c>
      <c r="D1491" t="s">
        <v>823</v>
      </c>
      <c r="E1491" t="s">
        <v>153</v>
      </c>
    </row>
    <row r="1492" spans="1:5">
      <c r="A1492">
        <v>1490</v>
      </c>
      <c r="B1492" t="s">
        <v>1654</v>
      </c>
      <c r="C1492" t="s">
        <v>5214</v>
      </c>
      <c r="D1492" t="s">
        <v>823</v>
      </c>
      <c r="E1492" t="s">
        <v>153</v>
      </c>
    </row>
    <row r="1493" spans="1:5">
      <c r="A1493">
        <v>1491</v>
      </c>
      <c r="B1493" t="s">
        <v>1655</v>
      </c>
      <c r="C1493" t="s">
        <v>5215</v>
      </c>
      <c r="D1493" t="s">
        <v>823</v>
      </c>
      <c r="E1493" t="s">
        <v>153</v>
      </c>
    </row>
    <row r="1494" spans="1:5">
      <c r="A1494">
        <v>1492</v>
      </c>
      <c r="B1494" t="s">
        <v>1656</v>
      </c>
      <c r="C1494" t="s">
        <v>7349</v>
      </c>
      <c r="D1494" t="s">
        <v>823</v>
      </c>
      <c r="E1494" t="s">
        <v>153</v>
      </c>
    </row>
    <row r="1495" spans="1:5">
      <c r="A1495">
        <v>1493</v>
      </c>
      <c r="B1495" t="s">
        <v>1657</v>
      </c>
      <c r="C1495" t="s">
        <v>5216</v>
      </c>
      <c r="D1495" t="s">
        <v>823</v>
      </c>
      <c r="E1495" t="s">
        <v>153</v>
      </c>
    </row>
    <row r="1496" spans="1:5">
      <c r="A1496">
        <v>1494</v>
      </c>
      <c r="B1496" t="s">
        <v>1658</v>
      </c>
      <c r="C1496" t="s">
        <v>5217</v>
      </c>
      <c r="D1496" t="s">
        <v>823</v>
      </c>
      <c r="E1496" t="s">
        <v>153</v>
      </c>
    </row>
    <row r="1497" spans="1:5">
      <c r="A1497">
        <v>1495</v>
      </c>
      <c r="B1497" t="s">
        <v>1659</v>
      </c>
      <c r="C1497" t="s">
        <v>5218</v>
      </c>
      <c r="D1497" t="s">
        <v>823</v>
      </c>
      <c r="E1497" t="s">
        <v>153</v>
      </c>
    </row>
    <row r="1498" spans="1:5">
      <c r="A1498">
        <v>1496</v>
      </c>
      <c r="B1498" t="s">
        <v>1660</v>
      </c>
      <c r="C1498" t="s">
        <v>5219</v>
      </c>
      <c r="D1498" t="s">
        <v>823</v>
      </c>
      <c r="E1498" t="s">
        <v>153</v>
      </c>
    </row>
    <row r="1499" spans="1:5">
      <c r="A1499">
        <v>1497</v>
      </c>
      <c r="B1499" t="s">
        <v>1661</v>
      </c>
      <c r="C1499" t="s">
        <v>5220</v>
      </c>
      <c r="D1499" t="s">
        <v>823</v>
      </c>
      <c r="E1499" t="s">
        <v>153</v>
      </c>
    </row>
    <row r="1500" spans="1:5">
      <c r="A1500">
        <v>1498</v>
      </c>
      <c r="B1500" t="s">
        <v>1662</v>
      </c>
      <c r="C1500" t="s">
        <v>5221</v>
      </c>
      <c r="D1500" t="s">
        <v>823</v>
      </c>
      <c r="E1500" t="s">
        <v>153</v>
      </c>
    </row>
    <row r="1501" spans="1:5">
      <c r="A1501">
        <v>1499</v>
      </c>
      <c r="B1501" t="s">
        <v>1663</v>
      </c>
      <c r="C1501" t="s">
        <v>5222</v>
      </c>
      <c r="D1501" t="s">
        <v>823</v>
      </c>
      <c r="E1501" t="s">
        <v>153</v>
      </c>
    </row>
    <row r="1502" spans="1:5">
      <c r="A1502">
        <v>1500</v>
      </c>
      <c r="B1502" t="s">
        <v>1664</v>
      </c>
      <c r="C1502" t="s">
        <v>5223</v>
      </c>
      <c r="D1502" t="s">
        <v>823</v>
      </c>
      <c r="E1502" t="s">
        <v>153</v>
      </c>
    </row>
    <row r="1503" spans="1:5">
      <c r="A1503">
        <v>1501</v>
      </c>
      <c r="B1503" t="s">
        <v>7350</v>
      </c>
      <c r="C1503" t="s">
        <v>7351</v>
      </c>
      <c r="D1503" t="s">
        <v>823</v>
      </c>
      <c r="E1503" t="s">
        <v>153</v>
      </c>
    </row>
    <row r="1504" spans="1:5">
      <c r="A1504">
        <v>1502</v>
      </c>
      <c r="B1504" t="s">
        <v>7352</v>
      </c>
      <c r="C1504" t="s">
        <v>7353</v>
      </c>
      <c r="D1504" t="s">
        <v>823</v>
      </c>
      <c r="E1504" t="s">
        <v>153</v>
      </c>
    </row>
    <row r="1505" spans="1:5">
      <c r="A1505">
        <v>1503</v>
      </c>
      <c r="B1505" t="s">
        <v>1665</v>
      </c>
      <c r="C1505" t="s">
        <v>5224</v>
      </c>
      <c r="D1505" t="s">
        <v>823</v>
      </c>
      <c r="E1505" t="s">
        <v>153</v>
      </c>
    </row>
    <row r="1506" spans="1:5">
      <c r="A1506">
        <v>1504</v>
      </c>
      <c r="B1506" t="s">
        <v>1666</v>
      </c>
      <c r="C1506" t="s">
        <v>5225</v>
      </c>
      <c r="D1506" t="s">
        <v>823</v>
      </c>
      <c r="E1506" t="s">
        <v>153</v>
      </c>
    </row>
    <row r="1507" spans="1:5">
      <c r="A1507">
        <v>1505</v>
      </c>
      <c r="B1507" t="s">
        <v>1667</v>
      </c>
      <c r="C1507" t="s">
        <v>5226</v>
      </c>
      <c r="D1507" t="s">
        <v>823</v>
      </c>
      <c r="E1507" t="s">
        <v>153</v>
      </c>
    </row>
    <row r="1508" spans="1:5">
      <c r="A1508">
        <v>1506</v>
      </c>
      <c r="B1508" t="s">
        <v>1668</v>
      </c>
      <c r="C1508" t="s">
        <v>5227</v>
      </c>
      <c r="D1508" t="s">
        <v>823</v>
      </c>
      <c r="E1508" t="s">
        <v>153</v>
      </c>
    </row>
    <row r="1509" spans="1:5">
      <c r="A1509">
        <v>1507</v>
      </c>
      <c r="B1509" t="s">
        <v>1669</v>
      </c>
      <c r="C1509" t="s">
        <v>5228</v>
      </c>
      <c r="D1509" t="s">
        <v>823</v>
      </c>
      <c r="E1509" t="s">
        <v>153</v>
      </c>
    </row>
    <row r="1510" spans="1:5">
      <c r="A1510">
        <v>1508</v>
      </c>
      <c r="B1510" t="s">
        <v>1670</v>
      </c>
      <c r="C1510" t="s">
        <v>5229</v>
      </c>
      <c r="D1510" t="s">
        <v>823</v>
      </c>
      <c r="E1510" t="s">
        <v>153</v>
      </c>
    </row>
    <row r="1511" spans="1:5">
      <c r="A1511">
        <v>1509</v>
      </c>
      <c r="B1511" t="s">
        <v>1671</v>
      </c>
      <c r="C1511" t="s">
        <v>5230</v>
      </c>
      <c r="D1511" t="s">
        <v>823</v>
      </c>
      <c r="E1511" t="s">
        <v>153</v>
      </c>
    </row>
    <row r="1512" spans="1:5">
      <c r="A1512">
        <v>1510</v>
      </c>
      <c r="B1512" t="s">
        <v>1672</v>
      </c>
      <c r="C1512" t="s">
        <v>5231</v>
      </c>
      <c r="D1512" t="s">
        <v>823</v>
      </c>
      <c r="E1512" t="s">
        <v>153</v>
      </c>
    </row>
    <row r="1513" spans="1:5">
      <c r="A1513">
        <v>1511</v>
      </c>
      <c r="B1513" t="s">
        <v>1673</v>
      </c>
      <c r="C1513" t="s">
        <v>5232</v>
      </c>
      <c r="D1513" t="s">
        <v>823</v>
      </c>
      <c r="E1513" t="s">
        <v>153</v>
      </c>
    </row>
    <row r="1514" spans="1:5">
      <c r="A1514">
        <v>1512</v>
      </c>
      <c r="B1514" t="s">
        <v>1674</v>
      </c>
      <c r="C1514" t="s">
        <v>5233</v>
      </c>
      <c r="D1514" t="s">
        <v>823</v>
      </c>
      <c r="E1514" t="s">
        <v>153</v>
      </c>
    </row>
    <row r="1515" spans="1:5">
      <c r="A1515">
        <v>1513</v>
      </c>
      <c r="B1515" t="s">
        <v>1675</v>
      </c>
      <c r="C1515" t="s">
        <v>5234</v>
      </c>
      <c r="D1515" t="s">
        <v>823</v>
      </c>
      <c r="E1515" t="s">
        <v>153</v>
      </c>
    </row>
    <row r="1516" spans="1:5">
      <c r="A1516">
        <v>1514</v>
      </c>
      <c r="B1516" t="s">
        <v>1676</v>
      </c>
      <c r="C1516" t="s">
        <v>5235</v>
      </c>
      <c r="D1516" t="s">
        <v>823</v>
      </c>
      <c r="E1516" t="s">
        <v>153</v>
      </c>
    </row>
    <row r="1517" spans="1:5">
      <c r="A1517">
        <v>1515</v>
      </c>
      <c r="B1517" t="s">
        <v>1677</v>
      </c>
      <c r="C1517" t="s">
        <v>5236</v>
      </c>
      <c r="D1517" t="s">
        <v>823</v>
      </c>
      <c r="E1517" t="s">
        <v>153</v>
      </c>
    </row>
    <row r="1518" spans="1:5">
      <c r="A1518">
        <v>1516</v>
      </c>
      <c r="B1518" t="s">
        <v>1678</v>
      </c>
      <c r="C1518" t="s">
        <v>5237</v>
      </c>
      <c r="D1518" t="s">
        <v>823</v>
      </c>
      <c r="E1518" t="s">
        <v>153</v>
      </c>
    </row>
    <row r="1519" spans="1:5">
      <c r="A1519">
        <v>1517</v>
      </c>
      <c r="B1519" t="s">
        <v>1679</v>
      </c>
      <c r="C1519" t="s">
        <v>5238</v>
      </c>
      <c r="D1519" t="s">
        <v>823</v>
      </c>
      <c r="E1519" t="s">
        <v>153</v>
      </c>
    </row>
    <row r="1520" spans="1:5">
      <c r="A1520">
        <v>1518</v>
      </c>
      <c r="B1520" t="s">
        <v>1680</v>
      </c>
      <c r="C1520" t="s">
        <v>5239</v>
      </c>
      <c r="D1520" t="s">
        <v>823</v>
      </c>
      <c r="E1520" t="s">
        <v>153</v>
      </c>
    </row>
    <row r="1521" spans="1:5">
      <c r="A1521">
        <v>1519</v>
      </c>
      <c r="B1521" t="s">
        <v>1681</v>
      </c>
      <c r="C1521" t="s">
        <v>5240</v>
      </c>
      <c r="D1521" t="s">
        <v>823</v>
      </c>
      <c r="E1521" t="s">
        <v>153</v>
      </c>
    </row>
    <row r="1522" spans="1:5">
      <c r="A1522">
        <v>1520</v>
      </c>
      <c r="B1522" t="s">
        <v>1682</v>
      </c>
      <c r="C1522" t="s">
        <v>5241</v>
      </c>
      <c r="D1522" t="s">
        <v>823</v>
      </c>
      <c r="E1522" t="s">
        <v>153</v>
      </c>
    </row>
    <row r="1523" spans="1:5">
      <c r="A1523">
        <v>1521</v>
      </c>
      <c r="B1523" t="s">
        <v>1683</v>
      </c>
      <c r="C1523" t="s">
        <v>5242</v>
      </c>
      <c r="D1523" t="s">
        <v>823</v>
      </c>
      <c r="E1523" t="s">
        <v>153</v>
      </c>
    </row>
    <row r="1524" spans="1:5">
      <c r="A1524">
        <v>1522</v>
      </c>
      <c r="B1524" t="s">
        <v>1684</v>
      </c>
      <c r="C1524" t="s">
        <v>7354</v>
      </c>
      <c r="D1524" t="s">
        <v>823</v>
      </c>
      <c r="E1524" t="s">
        <v>153</v>
      </c>
    </row>
    <row r="1525" spans="1:5">
      <c r="A1525">
        <v>1523</v>
      </c>
      <c r="B1525" t="s">
        <v>1685</v>
      </c>
      <c r="C1525" t="s">
        <v>5243</v>
      </c>
      <c r="D1525" t="s">
        <v>823</v>
      </c>
      <c r="E1525" t="s">
        <v>153</v>
      </c>
    </row>
    <row r="1526" spans="1:5">
      <c r="A1526">
        <v>1524</v>
      </c>
      <c r="B1526" t="s">
        <v>1686</v>
      </c>
      <c r="C1526" t="s">
        <v>5244</v>
      </c>
      <c r="D1526" t="s">
        <v>823</v>
      </c>
      <c r="E1526" t="s">
        <v>153</v>
      </c>
    </row>
    <row r="1527" spans="1:5">
      <c r="A1527">
        <v>1525</v>
      </c>
      <c r="B1527" t="s">
        <v>1687</v>
      </c>
      <c r="C1527" t="s">
        <v>5245</v>
      </c>
      <c r="D1527" t="s">
        <v>823</v>
      </c>
      <c r="E1527" t="s">
        <v>153</v>
      </c>
    </row>
    <row r="1528" spans="1:5">
      <c r="A1528">
        <v>1526</v>
      </c>
      <c r="B1528" t="s">
        <v>1688</v>
      </c>
      <c r="C1528" t="s">
        <v>5246</v>
      </c>
      <c r="D1528" t="s">
        <v>823</v>
      </c>
      <c r="E1528" t="s">
        <v>153</v>
      </c>
    </row>
    <row r="1529" spans="1:5">
      <c r="A1529">
        <v>1527</v>
      </c>
      <c r="B1529" t="s">
        <v>1689</v>
      </c>
      <c r="C1529" t="s">
        <v>5247</v>
      </c>
      <c r="D1529" t="s">
        <v>823</v>
      </c>
      <c r="E1529" t="s">
        <v>153</v>
      </c>
    </row>
    <row r="1530" spans="1:5">
      <c r="A1530">
        <v>1528</v>
      </c>
      <c r="B1530" t="s">
        <v>1690</v>
      </c>
      <c r="C1530" t="s">
        <v>5248</v>
      </c>
      <c r="D1530" t="s">
        <v>823</v>
      </c>
      <c r="E1530" t="s">
        <v>153</v>
      </c>
    </row>
    <row r="1531" spans="1:5">
      <c r="A1531">
        <v>1529</v>
      </c>
      <c r="B1531" t="s">
        <v>1691</v>
      </c>
      <c r="C1531" t="s">
        <v>5249</v>
      </c>
      <c r="D1531" t="s">
        <v>823</v>
      </c>
      <c r="E1531" t="s">
        <v>153</v>
      </c>
    </row>
    <row r="1532" spans="1:5">
      <c r="A1532">
        <v>1530</v>
      </c>
      <c r="B1532" t="s">
        <v>1692</v>
      </c>
      <c r="C1532" t="s">
        <v>5250</v>
      </c>
      <c r="D1532" t="s">
        <v>823</v>
      </c>
      <c r="E1532" t="s">
        <v>153</v>
      </c>
    </row>
    <row r="1533" spans="1:5">
      <c r="A1533">
        <v>1531</v>
      </c>
      <c r="B1533" t="s">
        <v>1693</v>
      </c>
      <c r="C1533" t="s">
        <v>5251</v>
      </c>
      <c r="D1533" t="s">
        <v>823</v>
      </c>
      <c r="E1533" t="s">
        <v>153</v>
      </c>
    </row>
    <row r="1534" spans="1:5">
      <c r="A1534">
        <v>1532</v>
      </c>
      <c r="B1534" t="s">
        <v>1694</v>
      </c>
      <c r="C1534" t="s">
        <v>5252</v>
      </c>
      <c r="D1534" t="s">
        <v>823</v>
      </c>
      <c r="E1534" t="s">
        <v>153</v>
      </c>
    </row>
    <row r="1535" spans="1:5">
      <c r="A1535">
        <v>1533</v>
      </c>
      <c r="B1535" t="s">
        <v>1695</v>
      </c>
      <c r="C1535" t="s">
        <v>5253</v>
      </c>
      <c r="D1535" t="s">
        <v>823</v>
      </c>
      <c r="E1535" t="s">
        <v>153</v>
      </c>
    </row>
    <row r="1536" spans="1:5">
      <c r="A1536">
        <v>1534</v>
      </c>
      <c r="B1536" t="s">
        <v>1696</v>
      </c>
      <c r="C1536" t="s">
        <v>5254</v>
      </c>
      <c r="D1536" t="s">
        <v>823</v>
      </c>
      <c r="E1536" t="s">
        <v>153</v>
      </c>
    </row>
    <row r="1537" spans="1:5">
      <c r="A1537">
        <v>1535</v>
      </c>
      <c r="B1537" t="s">
        <v>1697</v>
      </c>
      <c r="C1537" t="s">
        <v>5255</v>
      </c>
      <c r="D1537" t="s">
        <v>823</v>
      </c>
      <c r="E1537" t="s">
        <v>153</v>
      </c>
    </row>
    <row r="1538" spans="1:5">
      <c r="A1538">
        <v>1536</v>
      </c>
      <c r="B1538" t="s">
        <v>1698</v>
      </c>
      <c r="C1538" t="s">
        <v>5256</v>
      </c>
      <c r="D1538" t="s">
        <v>823</v>
      </c>
      <c r="E1538" t="s">
        <v>153</v>
      </c>
    </row>
    <row r="1539" spans="1:5">
      <c r="A1539">
        <v>1537</v>
      </c>
      <c r="B1539" t="s">
        <v>1699</v>
      </c>
      <c r="C1539" t="s">
        <v>5257</v>
      </c>
      <c r="D1539" t="s">
        <v>823</v>
      </c>
      <c r="E1539" t="s">
        <v>153</v>
      </c>
    </row>
    <row r="1540" spans="1:5">
      <c r="A1540">
        <v>1538</v>
      </c>
      <c r="B1540" t="s">
        <v>1700</v>
      </c>
      <c r="C1540" t="s">
        <v>5258</v>
      </c>
      <c r="D1540" t="s">
        <v>823</v>
      </c>
      <c r="E1540" t="s">
        <v>153</v>
      </c>
    </row>
    <row r="1541" spans="1:5">
      <c r="A1541">
        <v>1539</v>
      </c>
      <c r="B1541" t="s">
        <v>1701</v>
      </c>
      <c r="C1541" t="s">
        <v>5259</v>
      </c>
      <c r="D1541" t="s">
        <v>823</v>
      </c>
      <c r="E1541" t="s">
        <v>153</v>
      </c>
    </row>
    <row r="1542" spans="1:5">
      <c r="A1542">
        <v>1540</v>
      </c>
      <c r="B1542" t="s">
        <v>1702</v>
      </c>
      <c r="C1542" t="s">
        <v>5260</v>
      </c>
      <c r="D1542" t="s">
        <v>823</v>
      </c>
      <c r="E1542" t="s">
        <v>153</v>
      </c>
    </row>
    <row r="1543" spans="1:5">
      <c r="A1543">
        <v>1541</v>
      </c>
      <c r="B1543" t="s">
        <v>1703</v>
      </c>
      <c r="C1543" t="s">
        <v>5261</v>
      </c>
      <c r="D1543" t="s">
        <v>823</v>
      </c>
      <c r="E1543" t="s">
        <v>153</v>
      </c>
    </row>
    <row r="1544" spans="1:5">
      <c r="A1544">
        <v>1542</v>
      </c>
      <c r="B1544" t="s">
        <v>1704</v>
      </c>
      <c r="C1544" t="s">
        <v>5262</v>
      </c>
      <c r="D1544" t="s">
        <v>823</v>
      </c>
      <c r="E1544" t="s">
        <v>153</v>
      </c>
    </row>
    <row r="1545" spans="1:5">
      <c r="A1545">
        <v>1543</v>
      </c>
      <c r="B1545" t="s">
        <v>1705</v>
      </c>
      <c r="C1545" t="s">
        <v>5263</v>
      </c>
      <c r="D1545" t="s">
        <v>823</v>
      </c>
      <c r="E1545" t="s">
        <v>153</v>
      </c>
    </row>
    <row r="1546" spans="1:5">
      <c r="A1546">
        <v>1544</v>
      </c>
      <c r="B1546" t="s">
        <v>1706</v>
      </c>
      <c r="C1546" t="s">
        <v>5264</v>
      </c>
      <c r="D1546" t="s">
        <v>823</v>
      </c>
      <c r="E1546" t="s">
        <v>153</v>
      </c>
    </row>
    <row r="1547" spans="1:5">
      <c r="A1547">
        <v>1545</v>
      </c>
      <c r="B1547" t="s">
        <v>1707</v>
      </c>
      <c r="C1547" t="s">
        <v>5265</v>
      </c>
      <c r="D1547" t="s">
        <v>823</v>
      </c>
      <c r="E1547" t="s">
        <v>153</v>
      </c>
    </row>
    <row r="1548" spans="1:5">
      <c r="A1548">
        <v>1546</v>
      </c>
      <c r="B1548" t="s">
        <v>1708</v>
      </c>
      <c r="C1548" t="s">
        <v>5266</v>
      </c>
      <c r="D1548" t="s">
        <v>823</v>
      </c>
      <c r="E1548" t="s">
        <v>153</v>
      </c>
    </row>
    <row r="1549" spans="1:5">
      <c r="A1549">
        <v>1547</v>
      </c>
      <c r="B1549" t="s">
        <v>1709</v>
      </c>
      <c r="C1549" t="s">
        <v>5267</v>
      </c>
      <c r="D1549" t="s">
        <v>823</v>
      </c>
      <c r="E1549" t="s">
        <v>153</v>
      </c>
    </row>
    <row r="1550" spans="1:5">
      <c r="A1550">
        <v>1548</v>
      </c>
      <c r="B1550" t="s">
        <v>1710</v>
      </c>
      <c r="C1550" t="s">
        <v>5268</v>
      </c>
      <c r="D1550" t="s">
        <v>823</v>
      </c>
      <c r="E1550" t="s">
        <v>153</v>
      </c>
    </row>
    <row r="1551" spans="1:5">
      <c r="A1551">
        <v>1549</v>
      </c>
      <c r="B1551" t="s">
        <v>789</v>
      </c>
      <c r="C1551" t="s">
        <v>4360</v>
      </c>
      <c r="D1551" t="s">
        <v>823</v>
      </c>
      <c r="E1551" t="s">
        <v>153</v>
      </c>
    </row>
    <row r="1552" spans="1:5">
      <c r="A1552">
        <v>1550</v>
      </c>
      <c r="B1552" t="s">
        <v>1711</v>
      </c>
      <c r="C1552" t="s">
        <v>5269</v>
      </c>
      <c r="D1552" t="s">
        <v>823</v>
      </c>
      <c r="E1552" t="s">
        <v>153</v>
      </c>
    </row>
    <row r="1553" spans="1:5">
      <c r="A1553">
        <v>1551</v>
      </c>
      <c r="B1553" t="s">
        <v>1712</v>
      </c>
      <c r="C1553" t="s">
        <v>5270</v>
      </c>
      <c r="D1553" t="s">
        <v>823</v>
      </c>
      <c r="E1553" t="s">
        <v>153</v>
      </c>
    </row>
    <row r="1554" spans="1:5">
      <c r="A1554">
        <v>1552</v>
      </c>
      <c r="B1554" t="s">
        <v>1713</v>
      </c>
      <c r="C1554" t="s">
        <v>5271</v>
      </c>
      <c r="D1554" t="s">
        <v>823</v>
      </c>
      <c r="E1554" t="s">
        <v>153</v>
      </c>
    </row>
    <row r="1555" spans="1:5">
      <c r="A1555">
        <v>1553</v>
      </c>
      <c r="B1555" t="s">
        <v>1714</v>
      </c>
      <c r="C1555" t="s">
        <v>5272</v>
      </c>
      <c r="D1555" t="s">
        <v>823</v>
      </c>
      <c r="E1555" t="s">
        <v>153</v>
      </c>
    </row>
    <row r="1556" spans="1:5">
      <c r="A1556">
        <v>1554</v>
      </c>
      <c r="B1556" t="s">
        <v>1715</v>
      </c>
      <c r="C1556" t="s">
        <v>5273</v>
      </c>
      <c r="D1556" t="s">
        <v>823</v>
      </c>
      <c r="E1556" t="s">
        <v>153</v>
      </c>
    </row>
    <row r="1557" spans="1:5">
      <c r="A1557">
        <v>1555</v>
      </c>
      <c r="B1557" t="s">
        <v>1716</v>
      </c>
      <c r="C1557" t="s">
        <v>5274</v>
      </c>
      <c r="D1557" t="s">
        <v>823</v>
      </c>
      <c r="E1557" t="s">
        <v>153</v>
      </c>
    </row>
    <row r="1558" spans="1:5">
      <c r="A1558">
        <v>1556</v>
      </c>
      <c r="B1558" t="s">
        <v>1717</v>
      </c>
      <c r="C1558" t="s">
        <v>5275</v>
      </c>
      <c r="D1558" t="s">
        <v>823</v>
      </c>
      <c r="E1558" t="s">
        <v>153</v>
      </c>
    </row>
    <row r="1559" spans="1:5">
      <c r="A1559">
        <v>1557</v>
      </c>
      <c r="B1559" t="s">
        <v>1718</v>
      </c>
      <c r="C1559" t="s">
        <v>5276</v>
      </c>
      <c r="D1559" t="s">
        <v>823</v>
      </c>
      <c r="E1559" t="s">
        <v>153</v>
      </c>
    </row>
    <row r="1560" spans="1:5">
      <c r="A1560">
        <v>1558</v>
      </c>
      <c r="B1560" t="s">
        <v>1719</v>
      </c>
      <c r="C1560" t="s">
        <v>5277</v>
      </c>
      <c r="D1560" t="s">
        <v>823</v>
      </c>
      <c r="E1560" t="s">
        <v>153</v>
      </c>
    </row>
    <row r="1561" spans="1:5">
      <c r="A1561">
        <v>1559</v>
      </c>
      <c r="B1561" t="s">
        <v>1720</v>
      </c>
      <c r="C1561" t="s">
        <v>5278</v>
      </c>
      <c r="D1561" t="s">
        <v>823</v>
      </c>
      <c r="E1561" t="s">
        <v>153</v>
      </c>
    </row>
    <row r="1562" spans="1:5">
      <c r="A1562">
        <v>1560</v>
      </c>
      <c r="B1562" t="s">
        <v>1721</v>
      </c>
      <c r="C1562" t="s">
        <v>5279</v>
      </c>
      <c r="D1562" t="s">
        <v>823</v>
      </c>
      <c r="E1562" t="s">
        <v>153</v>
      </c>
    </row>
    <row r="1563" spans="1:5">
      <c r="A1563">
        <v>1561</v>
      </c>
      <c r="B1563" t="s">
        <v>1722</v>
      </c>
      <c r="C1563" t="s">
        <v>5280</v>
      </c>
      <c r="D1563" t="s">
        <v>823</v>
      </c>
      <c r="E1563" t="s">
        <v>153</v>
      </c>
    </row>
    <row r="1564" spans="1:5">
      <c r="A1564">
        <v>1562</v>
      </c>
      <c r="B1564" t="s">
        <v>1723</v>
      </c>
      <c r="C1564" t="s">
        <v>5281</v>
      </c>
      <c r="D1564" t="s">
        <v>823</v>
      </c>
      <c r="E1564" t="s">
        <v>153</v>
      </c>
    </row>
    <row r="1565" spans="1:5">
      <c r="A1565">
        <v>1563</v>
      </c>
      <c r="B1565" t="s">
        <v>1724</v>
      </c>
      <c r="C1565" t="s">
        <v>5282</v>
      </c>
      <c r="D1565" t="s">
        <v>823</v>
      </c>
      <c r="E1565" t="s">
        <v>153</v>
      </c>
    </row>
    <row r="1566" spans="1:5">
      <c r="A1566">
        <v>1564</v>
      </c>
      <c r="B1566" t="s">
        <v>1725</v>
      </c>
      <c r="C1566" t="s">
        <v>5283</v>
      </c>
      <c r="D1566" t="s">
        <v>823</v>
      </c>
      <c r="E1566" t="s">
        <v>153</v>
      </c>
    </row>
    <row r="1567" spans="1:5">
      <c r="A1567">
        <v>1565</v>
      </c>
      <c r="B1567" t="s">
        <v>1726</v>
      </c>
      <c r="C1567" t="s">
        <v>5284</v>
      </c>
      <c r="D1567" t="s">
        <v>823</v>
      </c>
      <c r="E1567" t="s">
        <v>153</v>
      </c>
    </row>
    <row r="1568" spans="1:5">
      <c r="A1568">
        <v>1566</v>
      </c>
      <c r="B1568" t="s">
        <v>1727</v>
      </c>
      <c r="C1568" t="s">
        <v>5285</v>
      </c>
      <c r="D1568" t="s">
        <v>823</v>
      </c>
      <c r="E1568" t="s">
        <v>153</v>
      </c>
    </row>
    <row r="1569" spans="1:5">
      <c r="A1569">
        <v>1567</v>
      </c>
      <c r="B1569" t="s">
        <v>1728</v>
      </c>
      <c r="C1569" t="s">
        <v>5286</v>
      </c>
      <c r="D1569" t="s">
        <v>823</v>
      </c>
      <c r="E1569" t="s">
        <v>153</v>
      </c>
    </row>
    <row r="1570" spans="1:5">
      <c r="A1570">
        <v>1568</v>
      </c>
      <c r="B1570" t="s">
        <v>1729</v>
      </c>
      <c r="C1570" t="s">
        <v>5287</v>
      </c>
      <c r="D1570" t="s">
        <v>823</v>
      </c>
      <c r="E1570" t="s">
        <v>153</v>
      </c>
    </row>
    <row r="1571" spans="1:5">
      <c r="A1571">
        <v>1569</v>
      </c>
      <c r="B1571" t="s">
        <v>797</v>
      </c>
      <c r="C1571" t="s">
        <v>4368</v>
      </c>
      <c r="D1571" t="s">
        <v>823</v>
      </c>
      <c r="E1571" t="s">
        <v>153</v>
      </c>
    </row>
    <row r="1572" spans="1:5">
      <c r="A1572">
        <v>1570</v>
      </c>
      <c r="B1572" t="s">
        <v>1730</v>
      </c>
      <c r="C1572" t="s">
        <v>5288</v>
      </c>
      <c r="D1572" t="s">
        <v>823</v>
      </c>
      <c r="E1572" t="s">
        <v>153</v>
      </c>
    </row>
    <row r="1573" spans="1:5">
      <c r="A1573">
        <v>1571</v>
      </c>
      <c r="B1573" t="s">
        <v>1731</v>
      </c>
      <c r="C1573" t="s">
        <v>5289</v>
      </c>
      <c r="D1573" t="s">
        <v>823</v>
      </c>
      <c r="E1573" t="s">
        <v>153</v>
      </c>
    </row>
    <row r="1574" spans="1:5">
      <c r="A1574">
        <v>1572</v>
      </c>
      <c r="B1574" t="s">
        <v>1732</v>
      </c>
      <c r="C1574" t="s">
        <v>5290</v>
      </c>
      <c r="D1574" t="s">
        <v>823</v>
      </c>
      <c r="E1574" t="s">
        <v>153</v>
      </c>
    </row>
    <row r="1575" spans="1:5">
      <c r="A1575">
        <v>1573</v>
      </c>
      <c r="B1575" t="s">
        <v>1733</v>
      </c>
      <c r="C1575" t="s">
        <v>5291</v>
      </c>
      <c r="D1575" t="s">
        <v>823</v>
      </c>
      <c r="E1575" t="s">
        <v>153</v>
      </c>
    </row>
    <row r="1576" spans="1:5">
      <c r="A1576">
        <v>1574</v>
      </c>
      <c r="B1576" t="s">
        <v>1734</v>
      </c>
      <c r="C1576" t="s">
        <v>5292</v>
      </c>
      <c r="D1576" t="s">
        <v>823</v>
      </c>
      <c r="E1576" t="s">
        <v>153</v>
      </c>
    </row>
    <row r="1577" spans="1:5">
      <c r="A1577">
        <v>1575</v>
      </c>
      <c r="B1577" t="s">
        <v>1735</v>
      </c>
      <c r="C1577" t="s">
        <v>5293</v>
      </c>
      <c r="D1577" t="s">
        <v>823</v>
      </c>
      <c r="E1577" t="s">
        <v>153</v>
      </c>
    </row>
    <row r="1578" spans="1:5">
      <c r="A1578">
        <v>1576</v>
      </c>
      <c r="B1578" t="s">
        <v>1736</v>
      </c>
      <c r="C1578" t="s">
        <v>5294</v>
      </c>
      <c r="D1578" t="s">
        <v>823</v>
      </c>
      <c r="E1578" t="s">
        <v>153</v>
      </c>
    </row>
    <row r="1579" spans="1:5">
      <c r="A1579">
        <v>1577</v>
      </c>
      <c r="B1579" t="s">
        <v>1737</v>
      </c>
      <c r="C1579" t="s">
        <v>5295</v>
      </c>
      <c r="D1579" t="s">
        <v>823</v>
      </c>
      <c r="E1579" t="s">
        <v>153</v>
      </c>
    </row>
    <row r="1580" spans="1:5">
      <c r="A1580">
        <v>1578</v>
      </c>
      <c r="B1580" t="s">
        <v>1738</v>
      </c>
      <c r="C1580" t="s">
        <v>5296</v>
      </c>
      <c r="D1580" t="s">
        <v>823</v>
      </c>
      <c r="E1580" t="s">
        <v>153</v>
      </c>
    </row>
    <row r="1581" spans="1:5">
      <c r="A1581">
        <v>1579</v>
      </c>
      <c r="B1581" t="s">
        <v>1739</v>
      </c>
      <c r="C1581" t="s">
        <v>5297</v>
      </c>
      <c r="D1581" t="s">
        <v>823</v>
      </c>
      <c r="E1581" t="s">
        <v>153</v>
      </c>
    </row>
    <row r="1582" spans="1:5">
      <c r="A1582">
        <v>1580</v>
      </c>
      <c r="B1582" t="s">
        <v>1740</v>
      </c>
      <c r="C1582" t="s">
        <v>5298</v>
      </c>
      <c r="D1582" t="s">
        <v>823</v>
      </c>
      <c r="E1582" t="s">
        <v>153</v>
      </c>
    </row>
    <row r="1583" spans="1:5">
      <c r="A1583">
        <v>1581</v>
      </c>
      <c r="B1583" t="s">
        <v>1741</v>
      </c>
      <c r="C1583" t="s">
        <v>5299</v>
      </c>
      <c r="D1583" t="s">
        <v>823</v>
      </c>
      <c r="E1583" t="s">
        <v>153</v>
      </c>
    </row>
    <row r="1584" spans="1:5">
      <c r="A1584">
        <v>1582</v>
      </c>
      <c r="B1584" t="s">
        <v>1742</v>
      </c>
      <c r="C1584" t="s">
        <v>5300</v>
      </c>
      <c r="D1584" t="s">
        <v>823</v>
      </c>
      <c r="E1584" t="s">
        <v>153</v>
      </c>
    </row>
    <row r="1585" spans="1:5">
      <c r="A1585">
        <v>1583</v>
      </c>
      <c r="B1585" t="s">
        <v>1743</v>
      </c>
      <c r="C1585" t="s">
        <v>5301</v>
      </c>
      <c r="D1585" t="s">
        <v>823</v>
      </c>
      <c r="E1585" t="s">
        <v>153</v>
      </c>
    </row>
    <row r="1586" spans="1:5">
      <c r="A1586">
        <v>1584</v>
      </c>
      <c r="B1586" t="s">
        <v>1744</v>
      </c>
      <c r="C1586" t="s">
        <v>5302</v>
      </c>
      <c r="D1586" t="s">
        <v>823</v>
      </c>
      <c r="E1586" t="s">
        <v>153</v>
      </c>
    </row>
    <row r="1587" spans="1:5">
      <c r="A1587">
        <v>1585</v>
      </c>
      <c r="B1587" t="s">
        <v>1745</v>
      </c>
      <c r="C1587" t="s">
        <v>5303</v>
      </c>
      <c r="D1587" t="s">
        <v>823</v>
      </c>
      <c r="E1587" t="s">
        <v>153</v>
      </c>
    </row>
    <row r="1588" spans="1:5">
      <c r="A1588">
        <v>1586</v>
      </c>
      <c r="B1588" t="s">
        <v>1746</v>
      </c>
      <c r="C1588" t="s">
        <v>5304</v>
      </c>
      <c r="D1588" t="s">
        <v>823</v>
      </c>
      <c r="E1588" t="s">
        <v>153</v>
      </c>
    </row>
    <row r="1589" spans="1:5">
      <c r="A1589">
        <v>1587</v>
      </c>
      <c r="B1589" t="s">
        <v>1747</v>
      </c>
      <c r="C1589" t="s">
        <v>5305</v>
      </c>
      <c r="D1589" t="s">
        <v>823</v>
      </c>
      <c r="E1589" t="s">
        <v>153</v>
      </c>
    </row>
    <row r="1590" spans="1:5">
      <c r="A1590">
        <v>1588</v>
      </c>
      <c r="B1590" t="s">
        <v>1748</v>
      </c>
      <c r="C1590" t="s">
        <v>5306</v>
      </c>
      <c r="D1590" t="s">
        <v>823</v>
      </c>
      <c r="E1590" t="s">
        <v>153</v>
      </c>
    </row>
    <row r="1591" spans="1:5">
      <c r="A1591">
        <v>1589</v>
      </c>
      <c r="B1591" t="s">
        <v>1749</v>
      </c>
      <c r="C1591" t="s">
        <v>5307</v>
      </c>
      <c r="D1591" t="s">
        <v>823</v>
      </c>
      <c r="E1591" t="s">
        <v>153</v>
      </c>
    </row>
    <row r="1592" spans="1:5">
      <c r="A1592">
        <v>1590</v>
      </c>
      <c r="B1592" t="s">
        <v>1750</v>
      </c>
      <c r="C1592" t="s">
        <v>5308</v>
      </c>
      <c r="D1592" t="s">
        <v>823</v>
      </c>
      <c r="E1592" t="s">
        <v>153</v>
      </c>
    </row>
    <row r="1593" spans="1:5">
      <c r="A1593">
        <v>1591</v>
      </c>
      <c r="B1593" t="s">
        <v>1751</v>
      </c>
      <c r="C1593" t="s">
        <v>5309</v>
      </c>
      <c r="D1593" t="s">
        <v>823</v>
      </c>
      <c r="E1593" t="s">
        <v>153</v>
      </c>
    </row>
    <row r="1594" spans="1:5">
      <c r="A1594">
        <v>1592</v>
      </c>
      <c r="B1594" t="s">
        <v>1752</v>
      </c>
      <c r="C1594" t="s">
        <v>5310</v>
      </c>
      <c r="D1594" t="s">
        <v>823</v>
      </c>
      <c r="E1594" t="s">
        <v>153</v>
      </c>
    </row>
    <row r="1595" spans="1:5">
      <c r="A1595">
        <v>1593</v>
      </c>
      <c r="B1595" t="s">
        <v>1753</v>
      </c>
      <c r="C1595" t="s">
        <v>5311</v>
      </c>
      <c r="D1595" t="s">
        <v>823</v>
      </c>
      <c r="E1595" t="s">
        <v>153</v>
      </c>
    </row>
    <row r="1596" spans="1:5">
      <c r="A1596">
        <v>1594</v>
      </c>
      <c r="B1596" t="s">
        <v>1754</v>
      </c>
      <c r="C1596" t="s">
        <v>5312</v>
      </c>
      <c r="D1596" t="s">
        <v>823</v>
      </c>
      <c r="E1596" t="s">
        <v>153</v>
      </c>
    </row>
    <row r="1597" spans="1:5">
      <c r="A1597">
        <v>1595</v>
      </c>
      <c r="B1597" t="s">
        <v>1755</v>
      </c>
      <c r="C1597" t="s">
        <v>5313</v>
      </c>
      <c r="D1597" t="s">
        <v>823</v>
      </c>
      <c r="E1597" t="s">
        <v>153</v>
      </c>
    </row>
    <row r="1598" spans="1:5">
      <c r="A1598">
        <v>1596</v>
      </c>
      <c r="B1598" t="s">
        <v>1756</v>
      </c>
      <c r="C1598" t="s">
        <v>5314</v>
      </c>
      <c r="D1598" t="s">
        <v>823</v>
      </c>
      <c r="E1598" t="s">
        <v>153</v>
      </c>
    </row>
    <row r="1599" spans="1:5">
      <c r="A1599">
        <v>1597</v>
      </c>
      <c r="B1599" t="s">
        <v>1757</v>
      </c>
      <c r="C1599" t="s">
        <v>5315</v>
      </c>
      <c r="D1599" t="s">
        <v>823</v>
      </c>
      <c r="E1599" t="s">
        <v>153</v>
      </c>
    </row>
    <row r="1600" spans="1:5">
      <c r="A1600">
        <v>1598</v>
      </c>
      <c r="B1600" t="s">
        <v>1758</v>
      </c>
      <c r="C1600" t="s">
        <v>5316</v>
      </c>
      <c r="D1600" t="s">
        <v>823</v>
      </c>
      <c r="E1600" t="s">
        <v>153</v>
      </c>
    </row>
    <row r="1601" spans="1:5">
      <c r="A1601">
        <v>1599</v>
      </c>
      <c r="B1601" t="s">
        <v>1759</v>
      </c>
      <c r="C1601" t="s">
        <v>5317</v>
      </c>
      <c r="D1601" t="s">
        <v>823</v>
      </c>
      <c r="E1601" t="s">
        <v>153</v>
      </c>
    </row>
    <row r="1602" spans="1:5">
      <c r="A1602">
        <v>1600</v>
      </c>
      <c r="B1602" t="s">
        <v>1760</v>
      </c>
      <c r="C1602" t="s">
        <v>5318</v>
      </c>
      <c r="D1602" t="s">
        <v>823</v>
      </c>
      <c r="E1602" t="s">
        <v>153</v>
      </c>
    </row>
    <row r="1603" spans="1:5">
      <c r="A1603">
        <v>1601</v>
      </c>
      <c r="B1603" t="s">
        <v>1761</v>
      </c>
      <c r="C1603" t="s">
        <v>5319</v>
      </c>
      <c r="D1603" t="s">
        <v>823</v>
      </c>
      <c r="E1603" t="s">
        <v>153</v>
      </c>
    </row>
    <row r="1604" spans="1:5">
      <c r="A1604">
        <v>1602</v>
      </c>
      <c r="B1604" t="s">
        <v>1762</v>
      </c>
      <c r="C1604" t="s">
        <v>5320</v>
      </c>
      <c r="D1604" t="s">
        <v>823</v>
      </c>
      <c r="E1604" t="s">
        <v>153</v>
      </c>
    </row>
    <row r="1605" spans="1:5">
      <c r="A1605">
        <v>1603</v>
      </c>
      <c r="B1605" t="s">
        <v>1763</v>
      </c>
      <c r="C1605" t="s">
        <v>5321</v>
      </c>
      <c r="D1605" t="s">
        <v>823</v>
      </c>
      <c r="E1605" t="s">
        <v>153</v>
      </c>
    </row>
    <row r="1606" spans="1:5">
      <c r="A1606">
        <v>1604</v>
      </c>
      <c r="B1606" t="s">
        <v>815</v>
      </c>
      <c r="C1606" t="s">
        <v>4386</v>
      </c>
      <c r="D1606" t="s">
        <v>823</v>
      </c>
      <c r="E1606" t="s">
        <v>153</v>
      </c>
    </row>
    <row r="1607" spans="1:5">
      <c r="A1607">
        <v>1605</v>
      </c>
      <c r="B1607" t="s">
        <v>1764</v>
      </c>
      <c r="C1607" t="s">
        <v>5322</v>
      </c>
      <c r="D1607" t="s">
        <v>823</v>
      </c>
      <c r="E1607" t="s">
        <v>153</v>
      </c>
    </row>
    <row r="1608" spans="1:5">
      <c r="A1608">
        <v>1606</v>
      </c>
      <c r="B1608" t="s">
        <v>1765</v>
      </c>
      <c r="C1608" t="s">
        <v>5323</v>
      </c>
      <c r="D1608" t="s">
        <v>823</v>
      </c>
      <c r="E1608" t="s">
        <v>153</v>
      </c>
    </row>
    <row r="1609" spans="1:5">
      <c r="A1609">
        <v>1607</v>
      </c>
      <c r="B1609" t="s">
        <v>1766</v>
      </c>
      <c r="C1609" t="s">
        <v>5324</v>
      </c>
      <c r="D1609" t="s">
        <v>823</v>
      </c>
      <c r="E1609" t="s">
        <v>153</v>
      </c>
    </row>
    <row r="1610" spans="1:5">
      <c r="A1610">
        <v>1608</v>
      </c>
      <c r="B1610" t="s">
        <v>1767</v>
      </c>
      <c r="C1610" t="s">
        <v>5325</v>
      </c>
      <c r="D1610" t="s">
        <v>1768</v>
      </c>
      <c r="E1610" t="s">
        <v>154</v>
      </c>
    </row>
    <row r="1611" spans="1:5">
      <c r="A1611">
        <v>1609</v>
      </c>
      <c r="B1611" t="s">
        <v>1769</v>
      </c>
      <c r="C1611" t="s">
        <v>5326</v>
      </c>
      <c r="D1611" t="s">
        <v>1768</v>
      </c>
      <c r="E1611" t="s">
        <v>154</v>
      </c>
    </row>
    <row r="1612" spans="1:5">
      <c r="A1612">
        <v>1610</v>
      </c>
      <c r="B1612" t="s">
        <v>1770</v>
      </c>
      <c r="C1612" t="s">
        <v>5327</v>
      </c>
      <c r="D1612" t="s">
        <v>1768</v>
      </c>
      <c r="E1612" t="s">
        <v>154</v>
      </c>
    </row>
    <row r="1613" spans="1:5">
      <c r="A1613">
        <v>1611</v>
      </c>
      <c r="B1613" t="s">
        <v>1771</v>
      </c>
      <c r="C1613" t="s">
        <v>5328</v>
      </c>
      <c r="D1613" t="s">
        <v>1768</v>
      </c>
      <c r="E1613" t="s">
        <v>154</v>
      </c>
    </row>
    <row r="1614" spans="1:5">
      <c r="A1614">
        <v>1612</v>
      </c>
      <c r="B1614" t="s">
        <v>1772</v>
      </c>
      <c r="C1614" t="s">
        <v>5329</v>
      </c>
      <c r="D1614" t="s">
        <v>1768</v>
      </c>
      <c r="E1614" t="s">
        <v>154</v>
      </c>
    </row>
    <row r="1615" spans="1:5">
      <c r="A1615">
        <v>1613</v>
      </c>
      <c r="B1615" t="s">
        <v>1773</v>
      </c>
      <c r="C1615" t="s">
        <v>5330</v>
      </c>
      <c r="D1615" t="s">
        <v>1768</v>
      </c>
      <c r="E1615" t="s">
        <v>154</v>
      </c>
    </row>
    <row r="1616" spans="1:5">
      <c r="A1616">
        <v>1614</v>
      </c>
      <c r="B1616" t="s">
        <v>1774</v>
      </c>
      <c r="C1616" t="s">
        <v>5331</v>
      </c>
      <c r="D1616" t="s">
        <v>1768</v>
      </c>
      <c r="E1616" t="s">
        <v>154</v>
      </c>
    </row>
    <row r="1617" spans="1:5">
      <c r="A1617">
        <v>1615</v>
      </c>
      <c r="B1617" t="s">
        <v>1775</v>
      </c>
      <c r="C1617" t="s">
        <v>5332</v>
      </c>
      <c r="D1617" t="s">
        <v>1768</v>
      </c>
      <c r="E1617" t="s">
        <v>154</v>
      </c>
    </row>
    <row r="1618" spans="1:5">
      <c r="A1618">
        <v>1616</v>
      </c>
      <c r="B1618" t="s">
        <v>1776</v>
      </c>
      <c r="C1618" t="s">
        <v>5333</v>
      </c>
      <c r="D1618" t="s">
        <v>1768</v>
      </c>
      <c r="E1618" t="s">
        <v>154</v>
      </c>
    </row>
    <row r="1619" spans="1:5">
      <c r="A1619">
        <v>1617</v>
      </c>
      <c r="B1619" t="s">
        <v>1777</v>
      </c>
      <c r="C1619" t="s">
        <v>5334</v>
      </c>
      <c r="D1619" t="s">
        <v>1768</v>
      </c>
      <c r="E1619" t="s">
        <v>154</v>
      </c>
    </row>
    <row r="1620" spans="1:5">
      <c r="A1620">
        <v>1618</v>
      </c>
      <c r="B1620" t="s">
        <v>1778</v>
      </c>
      <c r="C1620" t="s">
        <v>5335</v>
      </c>
      <c r="D1620" t="s">
        <v>1768</v>
      </c>
      <c r="E1620" t="s">
        <v>154</v>
      </c>
    </row>
    <row r="1621" spans="1:5">
      <c r="A1621">
        <v>1619</v>
      </c>
      <c r="B1621" t="s">
        <v>1779</v>
      </c>
      <c r="C1621" t="s">
        <v>5336</v>
      </c>
      <c r="D1621" t="s">
        <v>1768</v>
      </c>
      <c r="E1621" t="s">
        <v>154</v>
      </c>
    </row>
    <row r="1622" spans="1:5">
      <c r="A1622">
        <v>1620</v>
      </c>
      <c r="B1622" t="s">
        <v>1780</v>
      </c>
      <c r="C1622" t="s">
        <v>5337</v>
      </c>
      <c r="D1622" t="s">
        <v>1768</v>
      </c>
      <c r="E1622" t="s">
        <v>154</v>
      </c>
    </row>
    <row r="1623" spans="1:5">
      <c r="A1623">
        <v>1621</v>
      </c>
      <c r="B1623" t="s">
        <v>1781</v>
      </c>
      <c r="C1623" t="s">
        <v>5338</v>
      </c>
      <c r="D1623" t="s">
        <v>1768</v>
      </c>
      <c r="E1623" t="s">
        <v>154</v>
      </c>
    </row>
    <row r="1624" spans="1:5">
      <c r="A1624">
        <v>1622</v>
      </c>
      <c r="B1624" t="s">
        <v>1782</v>
      </c>
      <c r="C1624" t="s">
        <v>5339</v>
      </c>
      <c r="D1624" t="s">
        <v>1768</v>
      </c>
      <c r="E1624" t="s">
        <v>154</v>
      </c>
    </row>
    <row r="1625" spans="1:5">
      <c r="A1625">
        <v>1623</v>
      </c>
      <c r="B1625" t="s">
        <v>1783</v>
      </c>
      <c r="C1625" t="s">
        <v>5340</v>
      </c>
      <c r="D1625" t="s">
        <v>1768</v>
      </c>
      <c r="E1625" t="s">
        <v>154</v>
      </c>
    </row>
    <row r="1626" spans="1:5">
      <c r="A1626">
        <v>1624</v>
      </c>
      <c r="B1626" t="s">
        <v>1784</v>
      </c>
      <c r="C1626" t="s">
        <v>5341</v>
      </c>
      <c r="D1626" t="s">
        <v>1768</v>
      </c>
      <c r="E1626" t="s">
        <v>154</v>
      </c>
    </row>
    <row r="1627" spans="1:5">
      <c r="A1627">
        <v>1625</v>
      </c>
      <c r="B1627" t="s">
        <v>1785</v>
      </c>
      <c r="C1627" t="s">
        <v>5342</v>
      </c>
      <c r="D1627" t="s">
        <v>1768</v>
      </c>
      <c r="E1627" t="s">
        <v>154</v>
      </c>
    </row>
    <row r="1628" spans="1:5">
      <c r="A1628">
        <v>1626</v>
      </c>
      <c r="B1628" t="s">
        <v>1786</v>
      </c>
      <c r="C1628" t="s">
        <v>5343</v>
      </c>
      <c r="D1628" t="s">
        <v>1768</v>
      </c>
      <c r="E1628" t="s">
        <v>154</v>
      </c>
    </row>
    <row r="1629" spans="1:5">
      <c r="A1629">
        <v>1627</v>
      </c>
      <c r="B1629" t="s">
        <v>1787</v>
      </c>
      <c r="C1629" t="s">
        <v>5344</v>
      </c>
      <c r="D1629" t="s">
        <v>1768</v>
      </c>
      <c r="E1629" t="s">
        <v>154</v>
      </c>
    </row>
    <row r="1630" spans="1:5">
      <c r="A1630">
        <v>1628</v>
      </c>
      <c r="B1630" t="s">
        <v>1788</v>
      </c>
      <c r="C1630" t="s">
        <v>5345</v>
      </c>
      <c r="D1630" t="s">
        <v>1768</v>
      </c>
      <c r="E1630" t="s">
        <v>154</v>
      </c>
    </row>
    <row r="1631" spans="1:5">
      <c r="A1631">
        <v>1629</v>
      </c>
      <c r="B1631" t="s">
        <v>1789</v>
      </c>
      <c r="C1631" t="s">
        <v>5346</v>
      </c>
      <c r="D1631" t="s">
        <v>1768</v>
      </c>
      <c r="E1631" t="s">
        <v>154</v>
      </c>
    </row>
    <row r="1632" spans="1:5">
      <c r="A1632">
        <v>1630</v>
      </c>
      <c r="B1632" t="s">
        <v>1790</v>
      </c>
      <c r="C1632" t="s">
        <v>5347</v>
      </c>
      <c r="D1632" t="s">
        <v>1768</v>
      </c>
      <c r="E1632" t="s">
        <v>154</v>
      </c>
    </row>
    <row r="1633" spans="1:5">
      <c r="A1633">
        <v>1631</v>
      </c>
      <c r="B1633" t="s">
        <v>1791</v>
      </c>
      <c r="C1633" t="s">
        <v>5348</v>
      </c>
      <c r="D1633" t="s">
        <v>1768</v>
      </c>
      <c r="E1633" t="s">
        <v>154</v>
      </c>
    </row>
    <row r="1634" spans="1:5">
      <c r="A1634">
        <v>1632</v>
      </c>
      <c r="B1634" t="s">
        <v>1792</v>
      </c>
      <c r="C1634" t="s">
        <v>5349</v>
      </c>
      <c r="D1634" t="s">
        <v>1768</v>
      </c>
      <c r="E1634" t="s">
        <v>154</v>
      </c>
    </row>
    <row r="1635" spans="1:5">
      <c r="A1635">
        <v>1633</v>
      </c>
      <c r="B1635" t="s">
        <v>1793</v>
      </c>
      <c r="C1635" t="s">
        <v>5350</v>
      </c>
      <c r="D1635" t="s">
        <v>1768</v>
      </c>
      <c r="E1635" t="s">
        <v>154</v>
      </c>
    </row>
    <row r="1636" spans="1:5">
      <c r="A1636">
        <v>1634</v>
      </c>
      <c r="B1636" t="s">
        <v>1794</v>
      </c>
      <c r="C1636" t="s">
        <v>5351</v>
      </c>
      <c r="D1636" t="s">
        <v>1768</v>
      </c>
      <c r="E1636" t="s">
        <v>154</v>
      </c>
    </row>
    <row r="1637" spans="1:5">
      <c r="A1637">
        <v>1635</v>
      </c>
      <c r="B1637" t="s">
        <v>1795</v>
      </c>
      <c r="C1637" t="s">
        <v>5352</v>
      </c>
      <c r="D1637" t="s">
        <v>1768</v>
      </c>
      <c r="E1637" t="s">
        <v>154</v>
      </c>
    </row>
    <row r="1638" spans="1:5">
      <c r="A1638">
        <v>1636</v>
      </c>
      <c r="B1638" t="s">
        <v>1796</v>
      </c>
      <c r="C1638" t="s">
        <v>5353</v>
      </c>
      <c r="D1638" t="s">
        <v>1768</v>
      </c>
      <c r="E1638" t="s">
        <v>154</v>
      </c>
    </row>
    <row r="1639" spans="1:5">
      <c r="A1639">
        <v>1637</v>
      </c>
      <c r="B1639" t="s">
        <v>1797</v>
      </c>
      <c r="C1639" t="s">
        <v>5354</v>
      </c>
      <c r="D1639" t="s">
        <v>1768</v>
      </c>
      <c r="E1639" t="s">
        <v>154</v>
      </c>
    </row>
    <row r="1640" spans="1:5">
      <c r="A1640">
        <v>1638</v>
      </c>
      <c r="B1640" t="s">
        <v>1798</v>
      </c>
      <c r="C1640" t="s">
        <v>5355</v>
      </c>
      <c r="D1640" t="s">
        <v>1768</v>
      </c>
      <c r="E1640" t="s">
        <v>154</v>
      </c>
    </row>
    <row r="1641" spans="1:5">
      <c r="A1641">
        <v>1639</v>
      </c>
      <c r="B1641" t="s">
        <v>1799</v>
      </c>
      <c r="C1641" t="s">
        <v>5356</v>
      </c>
      <c r="D1641" t="s">
        <v>1768</v>
      </c>
      <c r="E1641" t="s">
        <v>154</v>
      </c>
    </row>
    <row r="1642" spans="1:5">
      <c r="A1642">
        <v>1640</v>
      </c>
      <c r="B1642" t="s">
        <v>1800</v>
      </c>
      <c r="C1642" t="s">
        <v>5357</v>
      </c>
      <c r="D1642" t="s">
        <v>1768</v>
      </c>
      <c r="E1642" t="s">
        <v>154</v>
      </c>
    </row>
    <row r="1643" spans="1:5">
      <c r="A1643">
        <v>1641</v>
      </c>
      <c r="B1643" t="s">
        <v>1801</v>
      </c>
      <c r="C1643" t="s">
        <v>5358</v>
      </c>
      <c r="D1643" t="s">
        <v>1768</v>
      </c>
      <c r="E1643" t="s">
        <v>154</v>
      </c>
    </row>
    <row r="1644" spans="1:5">
      <c r="A1644">
        <v>1642</v>
      </c>
      <c r="B1644" t="s">
        <v>1802</v>
      </c>
      <c r="C1644" t="s">
        <v>5359</v>
      </c>
      <c r="D1644" t="s">
        <v>1768</v>
      </c>
      <c r="E1644" t="s">
        <v>154</v>
      </c>
    </row>
    <row r="1645" spans="1:5">
      <c r="A1645">
        <v>1643</v>
      </c>
      <c r="B1645" t="s">
        <v>1803</v>
      </c>
      <c r="C1645" t="s">
        <v>5360</v>
      </c>
      <c r="D1645" t="s">
        <v>1768</v>
      </c>
      <c r="E1645" t="s">
        <v>154</v>
      </c>
    </row>
    <row r="1646" spans="1:5">
      <c r="A1646">
        <v>1644</v>
      </c>
      <c r="B1646" t="s">
        <v>1804</v>
      </c>
      <c r="C1646" t="s">
        <v>5361</v>
      </c>
      <c r="D1646" t="s">
        <v>1768</v>
      </c>
      <c r="E1646" t="s">
        <v>154</v>
      </c>
    </row>
    <row r="1647" spans="1:5">
      <c r="A1647">
        <v>1645</v>
      </c>
      <c r="B1647" t="s">
        <v>1805</v>
      </c>
      <c r="C1647" t="s">
        <v>5362</v>
      </c>
      <c r="D1647" t="s">
        <v>1768</v>
      </c>
      <c r="E1647" t="s">
        <v>154</v>
      </c>
    </row>
    <row r="1648" spans="1:5">
      <c r="A1648">
        <v>1646</v>
      </c>
      <c r="B1648" t="s">
        <v>1806</v>
      </c>
      <c r="C1648" t="s">
        <v>5363</v>
      </c>
      <c r="D1648" t="s">
        <v>1768</v>
      </c>
      <c r="E1648" t="s">
        <v>154</v>
      </c>
    </row>
    <row r="1649" spans="1:5">
      <c r="A1649">
        <v>1647</v>
      </c>
      <c r="B1649" t="s">
        <v>1807</v>
      </c>
      <c r="C1649" t="s">
        <v>5364</v>
      </c>
      <c r="D1649" t="s">
        <v>1768</v>
      </c>
      <c r="E1649" t="s">
        <v>154</v>
      </c>
    </row>
    <row r="1650" spans="1:5">
      <c r="A1650">
        <v>1648</v>
      </c>
      <c r="B1650" t="s">
        <v>1808</v>
      </c>
      <c r="C1650" t="s">
        <v>5365</v>
      </c>
      <c r="D1650" t="s">
        <v>1768</v>
      </c>
      <c r="E1650" t="s">
        <v>154</v>
      </c>
    </row>
    <row r="1651" spans="1:5">
      <c r="A1651">
        <v>1649</v>
      </c>
      <c r="B1651" t="s">
        <v>1809</v>
      </c>
      <c r="C1651" t="s">
        <v>5366</v>
      </c>
      <c r="D1651" t="s">
        <v>1768</v>
      </c>
      <c r="E1651" t="s">
        <v>154</v>
      </c>
    </row>
    <row r="1652" spans="1:5">
      <c r="A1652">
        <v>1650</v>
      </c>
      <c r="B1652" t="s">
        <v>1810</v>
      </c>
      <c r="C1652" t="s">
        <v>5367</v>
      </c>
      <c r="D1652" t="s">
        <v>1768</v>
      </c>
      <c r="E1652" t="s">
        <v>154</v>
      </c>
    </row>
    <row r="1653" spans="1:5">
      <c r="A1653">
        <v>1651</v>
      </c>
      <c r="B1653" t="s">
        <v>1811</v>
      </c>
      <c r="C1653" t="s">
        <v>5368</v>
      </c>
      <c r="D1653" t="s">
        <v>1768</v>
      </c>
      <c r="E1653" t="s">
        <v>154</v>
      </c>
    </row>
    <row r="1654" spans="1:5">
      <c r="A1654">
        <v>1652</v>
      </c>
      <c r="B1654" t="s">
        <v>873</v>
      </c>
      <c r="C1654" t="s">
        <v>4442</v>
      </c>
      <c r="D1654" t="s">
        <v>1768</v>
      </c>
      <c r="E1654" t="s">
        <v>154</v>
      </c>
    </row>
    <row r="1655" spans="1:5">
      <c r="A1655">
        <v>1653</v>
      </c>
      <c r="B1655" t="s">
        <v>1812</v>
      </c>
      <c r="C1655" t="s">
        <v>5369</v>
      </c>
      <c r="D1655" t="s">
        <v>1768</v>
      </c>
      <c r="E1655" t="s">
        <v>154</v>
      </c>
    </row>
    <row r="1656" spans="1:5">
      <c r="A1656">
        <v>1654</v>
      </c>
      <c r="B1656" t="s">
        <v>1813</v>
      </c>
      <c r="C1656" t="s">
        <v>5370</v>
      </c>
      <c r="D1656" t="s">
        <v>1768</v>
      </c>
      <c r="E1656" t="s">
        <v>154</v>
      </c>
    </row>
    <row r="1657" spans="1:5">
      <c r="A1657">
        <v>1655</v>
      </c>
      <c r="B1657" t="s">
        <v>1814</v>
      </c>
      <c r="C1657" t="s">
        <v>5371</v>
      </c>
      <c r="D1657" t="s">
        <v>1768</v>
      </c>
      <c r="E1657" t="s">
        <v>154</v>
      </c>
    </row>
    <row r="1658" spans="1:5">
      <c r="A1658">
        <v>1656</v>
      </c>
      <c r="B1658" t="s">
        <v>878</v>
      </c>
      <c r="C1658" t="s">
        <v>4446</v>
      </c>
      <c r="D1658" t="s">
        <v>1768</v>
      </c>
      <c r="E1658" t="s">
        <v>154</v>
      </c>
    </row>
    <row r="1659" spans="1:5">
      <c r="A1659">
        <v>1657</v>
      </c>
      <c r="B1659" t="s">
        <v>1815</v>
      </c>
      <c r="C1659" t="s">
        <v>5372</v>
      </c>
      <c r="D1659" t="s">
        <v>1768</v>
      </c>
      <c r="E1659" t="s">
        <v>154</v>
      </c>
    </row>
    <row r="1660" spans="1:5">
      <c r="A1660">
        <v>1658</v>
      </c>
      <c r="B1660" t="s">
        <v>1816</v>
      </c>
      <c r="C1660" t="s">
        <v>5373</v>
      </c>
      <c r="D1660" t="s">
        <v>1768</v>
      </c>
      <c r="E1660" t="s">
        <v>154</v>
      </c>
    </row>
    <row r="1661" spans="1:5">
      <c r="A1661">
        <v>1659</v>
      </c>
      <c r="B1661" t="s">
        <v>1817</v>
      </c>
      <c r="C1661" t="s">
        <v>5374</v>
      </c>
      <c r="D1661" t="s">
        <v>1768</v>
      </c>
      <c r="E1661" t="s">
        <v>154</v>
      </c>
    </row>
    <row r="1662" spans="1:5">
      <c r="A1662">
        <v>1660</v>
      </c>
      <c r="B1662" t="s">
        <v>1818</v>
      </c>
      <c r="C1662" t="s">
        <v>5375</v>
      </c>
      <c r="D1662" t="s">
        <v>1768</v>
      </c>
      <c r="E1662" t="s">
        <v>154</v>
      </c>
    </row>
    <row r="1663" spans="1:5">
      <c r="A1663">
        <v>1661</v>
      </c>
      <c r="B1663" t="s">
        <v>1819</v>
      </c>
      <c r="C1663" t="s">
        <v>5376</v>
      </c>
      <c r="D1663" t="s">
        <v>1768</v>
      </c>
      <c r="E1663" t="s">
        <v>154</v>
      </c>
    </row>
    <row r="1664" spans="1:5">
      <c r="A1664">
        <v>1662</v>
      </c>
      <c r="B1664" t="s">
        <v>1820</v>
      </c>
      <c r="C1664" t="s">
        <v>5377</v>
      </c>
      <c r="D1664" t="s">
        <v>1768</v>
      </c>
      <c r="E1664" t="s">
        <v>154</v>
      </c>
    </row>
    <row r="1665" spans="1:5">
      <c r="A1665">
        <v>1663</v>
      </c>
      <c r="B1665" t="s">
        <v>1821</v>
      </c>
      <c r="C1665" t="s">
        <v>5378</v>
      </c>
      <c r="D1665" t="s">
        <v>1768</v>
      </c>
      <c r="E1665" t="s">
        <v>154</v>
      </c>
    </row>
    <row r="1666" spans="1:5">
      <c r="A1666">
        <v>1664</v>
      </c>
      <c r="B1666" t="s">
        <v>1822</v>
      </c>
      <c r="C1666" t="s">
        <v>5379</v>
      </c>
      <c r="D1666" t="s">
        <v>1768</v>
      </c>
      <c r="E1666" t="s">
        <v>154</v>
      </c>
    </row>
    <row r="1667" spans="1:5">
      <c r="A1667">
        <v>1665</v>
      </c>
      <c r="B1667" t="s">
        <v>1823</v>
      </c>
      <c r="C1667" t="s">
        <v>5380</v>
      </c>
      <c r="D1667" t="s">
        <v>1768</v>
      </c>
      <c r="E1667" t="s">
        <v>154</v>
      </c>
    </row>
    <row r="1668" spans="1:5">
      <c r="A1668">
        <v>1666</v>
      </c>
      <c r="B1668" t="s">
        <v>1824</v>
      </c>
      <c r="C1668" t="s">
        <v>5381</v>
      </c>
      <c r="D1668" t="s">
        <v>1768</v>
      </c>
      <c r="E1668" t="s">
        <v>154</v>
      </c>
    </row>
    <row r="1669" spans="1:5">
      <c r="A1669">
        <v>1667</v>
      </c>
      <c r="B1669" t="s">
        <v>1825</v>
      </c>
      <c r="C1669" t="s">
        <v>5382</v>
      </c>
      <c r="D1669" t="s">
        <v>1768</v>
      </c>
      <c r="E1669" t="s">
        <v>154</v>
      </c>
    </row>
    <row r="1670" spans="1:5">
      <c r="A1670">
        <v>1668</v>
      </c>
      <c r="B1670" t="s">
        <v>1826</v>
      </c>
      <c r="C1670" t="s">
        <v>5383</v>
      </c>
      <c r="D1670" t="s">
        <v>1768</v>
      </c>
      <c r="E1670" t="s">
        <v>154</v>
      </c>
    </row>
    <row r="1671" spans="1:5">
      <c r="A1671">
        <v>1669</v>
      </c>
      <c r="B1671" t="s">
        <v>1827</v>
      </c>
      <c r="C1671" t="s">
        <v>5384</v>
      </c>
      <c r="D1671" t="s">
        <v>1768</v>
      </c>
      <c r="E1671" t="s">
        <v>154</v>
      </c>
    </row>
    <row r="1672" spans="1:5">
      <c r="A1672">
        <v>1670</v>
      </c>
      <c r="B1672" t="s">
        <v>1828</v>
      </c>
      <c r="C1672" t="s">
        <v>5385</v>
      </c>
      <c r="D1672" t="s">
        <v>1768</v>
      </c>
      <c r="E1672" t="s">
        <v>154</v>
      </c>
    </row>
    <row r="1673" spans="1:5">
      <c r="A1673">
        <v>1671</v>
      </c>
      <c r="B1673" t="s">
        <v>1829</v>
      </c>
      <c r="C1673" t="s">
        <v>5386</v>
      </c>
      <c r="D1673" t="s">
        <v>1768</v>
      </c>
      <c r="E1673" t="s">
        <v>154</v>
      </c>
    </row>
    <row r="1674" spans="1:5">
      <c r="A1674">
        <v>1672</v>
      </c>
      <c r="B1674" t="s">
        <v>1830</v>
      </c>
      <c r="C1674" t="s">
        <v>5387</v>
      </c>
      <c r="D1674" t="s">
        <v>1768</v>
      </c>
      <c r="E1674" t="s">
        <v>154</v>
      </c>
    </row>
    <row r="1675" spans="1:5">
      <c r="A1675">
        <v>1673</v>
      </c>
      <c r="B1675" t="s">
        <v>1831</v>
      </c>
      <c r="C1675" t="s">
        <v>5388</v>
      </c>
      <c r="D1675" t="s">
        <v>1768</v>
      </c>
      <c r="E1675" t="s">
        <v>154</v>
      </c>
    </row>
    <row r="1676" spans="1:5">
      <c r="A1676">
        <v>1674</v>
      </c>
      <c r="B1676" t="s">
        <v>1832</v>
      </c>
      <c r="C1676" t="s">
        <v>5389</v>
      </c>
      <c r="D1676" t="s">
        <v>1768</v>
      </c>
      <c r="E1676" t="s">
        <v>154</v>
      </c>
    </row>
    <row r="1677" spans="1:5">
      <c r="A1677">
        <v>1675</v>
      </c>
      <c r="B1677" t="s">
        <v>1833</v>
      </c>
      <c r="C1677" t="s">
        <v>5390</v>
      </c>
      <c r="D1677" t="s">
        <v>1768</v>
      </c>
      <c r="E1677" t="s">
        <v>154</v>
      </c>
    </row>
    <row r="1678" spans="1:5">
      <c r="A1678">
        <v>1676</v>
      </c>
      <c r="B1678" t="s">
        <v>1834</v>
      </c>
      <c r="C1678" t="s">
        <v>5391</v>
      </c>
      <c r="D1678" t="s">
        <v>1768</v>
      </c>
      <c r="E1678" t="s">
        <v>154</v>
      </c>
    </row>
    <row r="1679" spans="1:5">
      <c r="A1679">
        <v>1677</v>
      </c>
      <c r="B1679" t="s">
        <v>1835</v>
      </c>
      <c r="C1679" t="s">
        <v>5392</v>
      </c>
      <c r="D1679" t="s">
        <v>1768</v>
      </c>
      <c r="E1679" t="s">
        <v>154</v>
      </c>
    </row>
    <row r="1680" spans="1:5">
      <c r="A1680">
        <v>1678</v>
      </c>
      <c r="B1680" t="s">
        <v>1836</v>
      </c>
      <c r="C1680" t="s">
        <v>5393</v>
      </c>
      <c r="D1680" t="s">
        <v>1768</v>
      </c>
      <c r="E1680" t="s">
        <v>154</v>
      </c>
    </row>
    <row r="1681" spans="1:5">
      <c r="A1681">
        <v>1679</v>
      </c>
      <c r="B1681" t="s">
        <v>1837</v>
      </c>
      <c r="C1681" t="s">
        <v>5394</v>
      </c>
      <c r="D1681" t="s">
        <v>1768</v>
      </c>
      <c r="E1681" t="s">
        <v>154</v>
      </c>
    </row>
    <row r="1682" spans="1:5">
      <c r="A1682">
        <v>1680</v>
      </c>
      <c r="B1682" t="s">
        <v>1838</v>
      </c>
      <c r="C1682" t="s">
        <v>5395</v>
      </c>
      <c r="D1682" t="s">
        <v>1768</v>
      </c>
      <c r="E1682" t="s">
        <v>154</v>
      </c>
    </row>
    <row r="1683" spans="1:5">
      <c r="A1683">
        <v>1681</v>
      </c>
      <c r="B1683" t="s">
        <v>1839</v>
      </c>
      <c r="C1683" t="s">
        <v>5396</v>
      </c>
      <c r="D1683" t="s">
        <v>1768</v>
      </c>
      <c r="E1683" t="s">
        <v>154</v>
      </c>
    </row>
    <row r="1684" spans="1:5">
      <c r="A1684">
        <v>1682</v>
      </c>
      <c r="B1684" t="s">
        <v>1840</v>
      </c>
      <c r="C1684" t="s">
        <v>5397</v>
      </c>
      <c r="D1684" t="s">
        <v>1768</v>
      </c>
      <c r="E1684" t="s">
        <v>154</v>
      </c>
    </row>
    <row r="1685" spans="1:5">
      <c r="A1685">
        <v>1683</v>
      </c>
      <c r="B1685" t="s">
        <v>1841</v>
      </c>
      <c r="C1685" t="s">
        <v>5398</v>
      </c>
      <c r="D1685" t="s">
        <v>1768</v>
      </c>
      <c r="E1685" t="s">
        <v>154</v>
      </c>
    </row>
    <row r="1686" spans="1:5">
      <c r="A1686">
        <v>1684</v>
      </c>
      <c r="B1686" t="s">
        <v>1842</v>
      </c>
      <c r="C1686" t="s">
        <v>7355</v>
      </c>
      <c r="D1686" t="s">
        <v>1768</v>
      </c>
      <c r="E1686" t="s">
        <v>154</v>
      </c>
    </row>
    <row r="1687" spans="1:5">
      <c r="A1687">
        <v>1685</v>
      </c>
      <c r="B1687" t="s">
        <v>1843</v>
      </c>
      <c r="C1687" t="s">
        <v>5399</v>
      </c>
      <c r="D1687" t="s">
        <v>1768</v>
      </c>
      <c r="E1687" t="s">
        <v>154</v>
      </c>
    </row>
    <row r="1688" spans="1:5">
      <c r="A1688">
        <v>1686</v>
      </c>
      <c r="B1688" t="s">
        <v>1844</v>
      </c>
      <c r="C1688" t="s">
        <v>5400</v>
      </c>
      <c r="D1688" t="s">
        <v>1768</v>
      </c>
      <c r="E1688" t="s">
        <v>154</v>
      </c>
    </row>
    <row r="1689" spans="1:5">
      <c r="A1689">
        <v>1687</v>
      </c>
      <c r="B1689" t="s">
        <v>1845</v>
      </c>
      <c r="C1689" t="s">
        <v>5401</v>
      </c>
      <c r="D1689" t="s">
        <v>1768</v>
      </c>
      <c r="E1689" t="s">
        <v>154</v>
      </c>
    </row>
    <row r="1690" spans="1:5">
      <c r="A1690">
        <v>1688</v>
      </c>
      <c r="B1690" t="s">
        <v>1846</v>
      </c>
      <c r="C1690" t="s">
        <v>5402</v>
      </c>
      <c r="D1690" t="s">
        <v>1768</v>
      </c>
      <c r="E1690" t="s">
        <v>154</v>
      </c>
    </row>
    <row r="1691" spans="1:5">
      <c r="A1691">
        <v>1689</v>
      </c>
      <c r="B1691" t="s">
        <v>1847</v>
      </c>
      <c r="C1691" t="s">
        <v>5403</v>
      </c>
      <c r="D1691" t="s">
        <v>1768</v>
      </c>
      <c r="E1691" t="s">
        <v>154</v>
      </c>
    </row>
    <row r="1692" spans="1:5">
      <c r="A1692">
        <v>1690</v>
      </c>
      <c r="B1692" t="s">
        <v>1848</v>
      </c>
      <c r="C1692" t="s">
        <v>5404</v>
      </c>
      <c r="D1692" t="s">
        <v>1768</v>
      </c>
      <c r="E1692" t="s">
        <v>154</v>
      </c>
    </row>
    <row r="1693" spans="1:5">
      <c r="A1693">
        <v>1691</v>
      </c>
      <c r="B1693" t="s">
        <v>1849</v>
      </c>
      <c r="C1693" t="s">
        <v>5405</v>
      </c>
      <c r="D1693" t="s">
        <v>1768</v>
      </c>
      <c r="E1693" t="s">
        <v>154</v>
      </c>
    </row>
    <row r="1694" spans="1:5">
      <c r="A1694">
        <v>1692</v>
      </c>
      <c r="B1694" t="s">
        <v>1850</v>
      </c>
      <c r="C1694" t="s">
        <v>5406</v>
      </c>
      <c r="D1694" t="s">
        <v>1768</v>
      </c>
      <c r="E1694" t="s">
        <v>154</v>
      </c>
    </row>
    <row r="1695" spans="1:5">
      <c r="A1695">
        <v>1693</v>
      </c>
      <c r="B1695" t="s">
        <v>1851</v>
      </c>
      <c r="C1695" t="s">
        <v>5407</v>
      </c>
      <c r="D1695" t="s">
        <v>1768</v>
      </c>
      <c r="E1695" t="s">
        <v>154</v>
      </c>
    </row>
    <row r="1696" spans="1:5">
      <c r="A1696">
        <v>1694</v>
      </c>
      <c r="B1696" t="s">
        <v>1852</v>
      </c>
      <c r="C1696" t="s">
        <v>5408</v>
      </c>
      <c r="D1696" t="s">
        <v>1768</v>
      </c>
      <c r="E1696" t="s">
        <v>154</v>
      </c>
    </row>
    <row r="1697" spans="1:5">
      <c r="A1697">
        <v>1695</v>
      </c>
      <c r="B1697" t="s">
        <v>1853</v>
      </c>
      <c r="C1697" t="s">
        <v>5409</v>
      </c>
      <c r="D1697" t="s">
        <v>1768</v>
      </c>
      <c r="E1697" t="s">
        <v>154</v>
      </c>
    </row>
    <row r="1698" spans="1:5">
      <c r="A1698">
        <v>1696</v>
      </c>
      <c r="B1698" t="s">
        <v>1854</v>
      </c>
      <c r="C1698" t="s">
        <v>5410</v>
      </c>
      <c r="D1698" t="s">
        <v>1768</v>
      </c>
      <c r="E1698" t="s">
        <v>154</v>
      </c>
    </row>
    <row r="1699" spans="1:5">
      <c r="A1699">
        <v>1697</v>
      </c>
      <c r="B1699" t="s">
        <v>1855</v>
      </c>
      <c r="C1699" t="s">
        <v>5411</v>
      </c>
      <c r="D1699" t="s">
        <v>1768</v>
      </c>
      <c r="E1699" t="s">
        <v>154</v>
      </c>
    </row>
    <row r="1700" spans="1:5">
      <c r="A1700">
        <v>1698</v>
      </c>
      <c r="B1700" t="s">
        <v>1856</v>
      </c>
      <c r="C1700" t="s">
        <v>5412</v>
      </c>
      <c r="D1700" t="s">
        <v>1768</v>
      </c>
      <c r="E1700" t="s">
        <v>154</v>
      </c>
    </row>
    <row r="1701" spans="1:5">
      <c r="A1701">
        <v>1699</v>
      </c>
      <c r="B1701" t="s">
        <v>1857</v>
      </c>
      <c r="C1701" t="s">
        <v>5413</v>
      </c>
      <c r="D1701" t="s">
        <v>1768</v>
      </c>
      <c r="E1701" t="s">
        <v>154</v>
      </c>
    </row>
    <row r="1702" spans="1:5">
      <c r="A1702">
        <v>1700</v>
      </c>
      <c r="B1702" t="s">
        <v>1858</v>
      </c>
      <c r="C1702" t="s">
        <v>5414</v>
      </c>
      <c r="D1702" t="s">
        <v>1768</v>
      </c>
      <c r="E1702" t="s">
        <v>154</v>
      </c>
    </row>
    <row r="1703" spans="1:5">
      <c r="A1703">
        <v>1701</v>
      </c>
      <c r="B1703" t="s">
        <v>1859</v>
      </c>
      <c r="C1703" t="s">
        <v>5415</v>
      </c>
      <c r="D1703" t="s">
        <v>1768</v>
      </c>
      <c r="E1703" t="s">
        <v>154</v>
      </c>
    </row>
    <row r="1704" spans="1:5">
      <c r="A1704">
        <v>1702</v>
      </c>
      <c r="B1704" t="s">
        <v>1860</v>
      </c>
      <c r="C1704" t="s">
        <v>5416</v>
      </c>
      <c r="D1704" t="s">
        <v>1768</v>
      </c>
      <c r="E1704" t="s">
        <v>154</v>
      </c>
    </row>
    <row r="1705" spans="1:5">
      <c r="A1705">
        <v>1703</v>
      </c>
      <c r="B1705" t="s">
        <v>1861</v>
      </c>
      <c r="C1705" t="s">
        <v>5417</v>
      </c>
      <c r="D1705" t="s">
        <v>1768</v>
      </c>
      <c r="E1705" t="s">
        <v>154</v>
      </c>
    </row>
    <row r="1706" spans="1:5">
      <c r="A1706">
        <v>1704</v>
      </c>
      <c r="B1706" t="s">
        <v>1862</v>
      </c>
      <c r="C1706" t="s">
        <v>5418</v>
      </c>
      <c r="D1706" t="s">
        <v>1768</v>
      </c>
      <c r="E1706" t="s">
        <v>154</v>
      </c>
    </row>
    <row r="1707" spans="1:5">
      <c r="A1707">
        <v>1705</v>
      </c>
      <c r="B1707" t="s">
        <v>1863</v>
      </c>
      <c r="C1707" t="s">
        <v>5419</v>
      </c>
      <c r="D1707" t="s">
        <v>1768</v>
      </c>
      <c r="E1707" t="s">
        <v>154</v>
      </c>
    </row>
    <row r="1708" spans="1:5">
      <c r="A1708">
        <v>1706</v>
      </c>
      <c r="B1708" t="s">
        <v>1864</v>
      </c>
      <c r="C1708" t="s">
        <v>5420</v>
      </c>
      <c r="D1708" t="s">
        <v>1768</v>
      </c>
      <c r="E1708" t="s">
        <v>154</v>
      </c>
    </row>
    <row r="1709" spans="1:5">
      <c r="A1709">
        <v>1707</v>
      </c>
      <c r="B1709" t="s">
        <v>1865</v>
      </c>
      <c r="C1709" t="s">
        <v>5421</v>
      </c>
      <c r="D1709" t="s">
        <v>1768</v>
      </c>
      <c r="E1709" t="s">
        <v>154</v>
      </c>
    </row>
    <row r="1710" spans="1:5">
      <c r="A1710">
        <v>1708</v>
      </c>
      <c r="B1710" t="s">
        <v>1866</v>
      </c>
      <c r="C1710" t="s">
        <v>5422</v>
      </c>
      <c r="D1710" t="s">
        <v>1768</v>
      </c>
      <c r="E1710" t="s">
        <v>154</v>
      </c>
    </row>
    <row r="1711" spans="1:5">
      <c r="A1711">
        <v>1709</v>
      </c>
      <c r="B1711" t="s">
        <v>1867</v>
      </c>
      <c r="C1711" t="s">
        <v>5423</v>
      </c>
      <c r="D1711" t="s">
        <v>1768</v>
      </c>
      <c r="E1711" t="s">
        <v>154</v>
      </c>
    </row>
    <row r="1712" spans="1:5">
      <c r="A1712">
        <v>1710</v>
      </c>
      <c r="B1712" t="s">
        <v>1868</v>
      </c>
      <c r="C1712" t="s">
        <v>5424</v>
      </c>
      <c r="D1712" t="s">
        <v>1768</v>
      </c>
      <c r="E1712" t="s">
        <v>154</v>
      </c>
    </row>
    <row r="1713" spans="1:5">
      <c r="A1713">
        <v>1711</v>
      </c>
      <c r="B1713" t="s">
        <v>1869</v>
      </c>
      <c r="C1713" t="s">
        <v>5425</v>
      </c>
      <c r="D1713" t="s">
        <v>1768</v>
      </c>
      <c r="E1713" t="s">
        <v>154</v>
      </c>
    </row>
    <row r="1714" spans="1:5">
      <c r="A1714">
        <v>1712</v>
      </c>
      <c r="B1714" t="s">
        <v>1870</v>
      </c>
      <c r="C1714" t="s">
        <v>5426</v>
      </c>
      <c r="D1714" t="s">
        <v>1768</v>
      </c>
      <c r="E1714" t="s">
        <v>154</v>
      </c>
    </row>
    <row r="1715" spans="1:5">
      <c r="A1715">
        <v>1713</v>
      </c>
      <c r="B1715" t="s">
        <v>1871</v>
      </c>
      <c r="C1715" t="s">
        <v>5427</v>
      </c>
      <c r="D1715" t="s">
        <v>1768</v>
      </c>
      <c r="E1715" t="s">
        <v>154</v>
      </c>
    </row>
    <row r="1716" spans="1:5">
      <c r="A1716">
        <v>1714</v>
      </c>
      <c r="B1716" t="s">
        <v>1872</v>
      </c>
      <c r="C1716" t="s">
        <v>5428</v>
      </c>
      <c r="D1716" t="s">
        <v>1768</v>
      </c>
      <c r="E1716" t="s">
        <v>154</v>
      </c>
    </row>
    <row r="1717" spans="1:5">
      <c r="A1717">
        <v>1715</v>
      </c>
      <c r="B1717" t="s">
        <v>1873</v>
      </c>
      <c r="C1717" t="s">
        <v>5429</v>
      </c>
      <c r="D1717" t="s">
        <v>1768</v>
      </c>
      <c r="E1717" t="s">
        <v>154</v>
      </c>
    </row>
    <row r="1718" spans="1:5">
      <c r="A1718">
        <v>1716</v>
      </c>
      <c r="B1718" t="s">
        <v>1874</v>
      </c>
      <c r="C1718" t="s">
        <v>5430</v>
      </c>
      <c r="D1718" t="s">
        <v>1768</v>
      </c>
      <c r="E1718" t="s">
        <v>154</v>
      </c>
    </row>
    <row r="1719" spans="1:5">
      <c r="A1719">
        <v>1717</v>
      </c>
      <c r="B1719" t="s">
        <v>1875</v>
      </c>
      <c r="C1719" t="s">
        <v>5431</v>
      </c>
      <c r="D1719" t="s">
        <v>1768</v>
      </c>
      <c r="E1719" t="s">
        <v>154</v>
      </c>
    </row>
    <row r="1720" spans="1:5">
      <c r="A1720">
        <v>1718</v>
      </c>
      <c r="B1720" t="s">
        <v>1876</v>
      </c>
      <c r="C1720" t="s">
        <v>5432</v>
      </c>
      <c r="D1720" t="s">
        <v>1768</v>
      </c>
      <c r="E1720" t="s">
        <v>154</v>
      </c>
    </row>
    <row r="1721" spans="1:5">
      <c r="A1721">
        <v>1719</v>
      </c>
      <c r="B1721" t="s">
        <v>1877</v>
      </c>
      <c r="C1721" t="s">
        <v>5433</v>
      </c>
      <c r="D1721" t="s">
        <v>1768</v>
      </c>
      <c r="E1721" t="s">
        <v>154</v>
      </c>
    </row>
    <row r="1722" spans="1:5">
      <c r="A1722">
        <v>1720</v>
      </c>
      <c r="B1722" t="s">
        <v>1878</v>
      </c>
      <c r="C1722" t="s">
        <v>5434</v>
      </c>
      <c r="D1722" t="s">
        <v>1768</v>
      </c>
      <c r="E1722" t="s">
        <v>154</v>
      </c>
    </row>
    <row r="1723" spans="1:5">
      <c r="A1723">
        <v>1721</v>
      </c>
      <c r="B1723" t="s">
        <v>1879</v>
      </c>
      <c r="C1723" t="s">
        <v>5435</v>
      </c>
      <c r="D1723" t="s">
        <v>1768</v>
      </c>
      <c r="E1723" t="s">
        <v>154</v>
      </c>
    </row>
    <row r="1724" spans="1:5">
      <c r="A1724">
        <v>1722</v>
      </c>
      <c r="B1724" t="s">
        <v>1880</v>
      </c>
      <c r="C1724" t="s">
        <v>5436</v>
      </c>
      <c r="D1724" t="s">
        <v>1768</v>
      </c>
      <c r="E1724" t="s">
        <v>154</v>
      </c>
    </row>
    <row r="1725" spans="1:5">
      <c r="A1725">
        <v>1723</v>
      </c>
      <c r="B1725" t="s">
        <v>1881</v>
      </c>
      <c r="C1725" t="s">
        <v>5437</v>
      </c>
      <c r="D1725" t="s">
        <v>1768</v>
      </c>
      <c r="E1725" t="s">
        <v>154</v>
      </c>
    </row>
    <row r="1726" spans="1:5">
      <c r="A1726">
        <v>1724</v>
      </c>
      <c r="B1726" t="s">
        <v>1882</v>
      </c>
      <c r="C1726" t="s">
        <v>5438</v>
      </c>
      <c r="D1726" t="s">
        <v>1768</v>
      </c>
      <c r="E1726" t="s">
        <v>154</v>
      </c>
    </row>
    <row r="1727" spans="1:5">
      <c r="A1727">
        <v>1725</v>
      </c>
      <c r="B1727" t="s">
        <v>1883</v>
      </c>
      <c r="C1727" t="s">
        <v>5439</v>
      </c>
      <c r="D1727" t="s">
        <v>1768</v>
      </c>
      <c r="E1727" t="s">
        <v>154</v>
      </c>
    </row>
    <row r="1728" spans="1:5">
      <c r="A1728">
        <v>1726</v>
      </c>
      <c r="B1728" t="s">
        <v>1884</v>
      </c>
      <c r="C1728" t="s">
        <v>5440</v>
      </c>
      <c r="D1728" t="s">
        <v>1768</v>
      </c>
      <c r="E1728" t="s">
        <v>154</v>
      </c>
    </row>
    <row r="1729" spans="1:5">
      <c r="A1729">
        <v>1727</v>
      </c>
      <c r="B1729" t="s">
        <v>1885</v>
      </c>
      <c r="C1729" t="s">
        <v>5441</v>
      </c>
      <c r="D1729" t="s">
        <v>1768</v>
      </c>
      <c r="E1729" t="s">
        <v>154</v>
      </c>
    </row>
    <row r="1730" spans="1:5">
      <c r="A1730">
        <v>1728</v>
      </c>
      <c r="B1730" t="s">
        <v>1886</v>
      </c>
      <c r="C1730" t="s">
        <v>5442</v>
      </c>
      <c r="D1730" t="s">
        <v>1768</v>
      </c>
      <c r="E1730" t="s">
        <v>154</v>
      </c>
    </row>
    <row r="1731" spans="1:5">
      <c r="A1731">
        <v>1729</v>
      </c>
      <c r="B1731" t="s">
        <v>1887</v>
      </c>
      <c r="C1731" t="s">
        <v>5443</v>
      </c>
      <c r="D1731" t="s">
        <v>1768</v>
      </c>
      <c r="E1731" t="s">
        <v>154</v>
      </c>
    </row>
    <row r="1732" spans="1:5">
      <c r="A1732">
        <v>1730</v>
      </c>
      <c r="B1732" t="s">
        <v>1888</v>
      </c>
      <c r="C1732" t="s">
        <v>5444</v>
      </c>
      <c r="D1732" t="s">
        <v>1768</v>
      </c>
      <c r="E1732" t="s">
        <v>154</v>
      </c>
    </row>
    <row r="1733" spans="1:5">
      <c r="A1733">
        <v>1731</v>
      </c>
      <c r="B1733" t="s">
        <v>1889</v>
      </c>
      <c r="C1733" t="s">
        <v>5445</v>
      </c>
      <c r="D1733" t="s">
        <v>1768</v>
      </c>
      <c r="E1733" t="s">
        <v>154</v>
      </c>
    </row>
    <row r="1734" spans="1:5">
      <c r="A1734">
        <v>1732</v>
      </c>
      <c r="B1734" t="s">
        <v>1890</v>
      </c>
      <c r="C1734" t="s">
        <v>5446</v>
      </c>
      <c r="D1734" t="s">
        <v>1768</v>
      </c>
      <c r="E1734" t="s">
        <v>154</v>
      </c>
    </row>
    <row r="1735" spans="1:5">
      <c r="A1735">
        <v>1733</v>
      </c>
      <c r="B1735" t="s">
        <v>1891</v>
      </c>
      <c r="C1735" t="s">
        <v>5447</v>
      </c>
      <c r="D1735" t="s">
        <v>1768</v>
      </c>
      <c r="E1735" t="s">
        <v>154</v>
      </c>
    </row>
    <row r="1736" spans="1:5">
      <c r="A1736">
        <v>1734</v>
      </c>
      <c r="B1736" t="s">
        <v>1892</v>
      </c>
      <c r="C1736" t="s">
        <v>5448</v>
      </c>
      <c r="D1736" t="s">
        <v>1768</v>
      </c>
      <c r="E1736" t="s">
        <v>154</v>
      </c>
    </row>
    <row r="1737" spans="1:5">
      <c r="A1737">
        <v>1735</v>
      </c>
      <c r="B1737" t="s">
        <v>1893</v>
      </c>
      <c r="C1737" t="s">
        <v>5449</v>
      </c>
      <c r="D1737" t="s">
        <v>1768</v>
      </c>
      <c r="E1737" t="s">
        <v>154</v>
      </c>
    </row>
    <row r="1738" spans="1:5">
      <c r="A1738">
        <v>1736</v>
      </c>
      <c r="B1738" t="s">
        <v>1894</v>
      </c>
      <c r="C1738" t="s">
        <v>5450</v>
      </c>
      <c r="D1738" t="s">
        <v>1768</v>
      </c>
      <c r="E1738" t="s">
        <v>154</v>
      </c>
    </row>
    <row r="1739" spans="1:5">
      <c r="A1739">
        <v>1737</v>
      </c>
      <c r="B1739" t="s">
        <v>1895</v>
      </c>
      <c r="C1739" t="s">
        <v>5451</v>
      </c>
      <c r="D1739" t="s">
        <v>1768</v>
      </c>
      <c r="E1739" t="s">
        <v>154</v>
      </c>
    </row>
    <row r="1740" spans="1:5">
      <c r="A1740">
        <v>1738</v>
      </c>
      <c r="B1740" t="s">
        <v>1896</v>
      </c>
      <c r="C1740" t="s">
        <v>5452</v>
      </c>
      <c r="D1740" t="s">
        <v>1768</v>
      </c>
      <c r="E1740" t="s">
        <v>154</v>
      </c>
    </row>
    <row r="1741" spans="1:5">
      <c r="A1741">
        <v>1739</v>
      </c>
      <c r="B1741" t="s">
        <v>1897</v>
      </c>
      <c r="C1741" t="s">
        <v>5453</v>
      </c>
      <c r="D1741" t="s">
        <v>1768</v>
      </c>
      <c r="E1741" t="s">
        <v>154</v>
      </c>
    </row>
    <row r="1742" spans="1:5">
      <c r="A1742">
        <v>1740</v>
      </c>
      <c r="B1742" t="s">
        <v>1898</v>
      </c>
      <c r="C1742" t="s">
        <v>5454</v>
      </c>
      <c r="D1742" t="s">
        <v>1768</v>
      </c>
      <c r="E1742" t="s">
        <v>154</v>
      </c>
    </row>
    <row r="1743" spans="1:5">
      <c r="A1743">
        <v>1741</v>
      </c>
      <c r="B1743" t="s">
        <v>1899</v>
      </c>
      <c r="C1743" t="s">
        <v>5455</v>
      </c>
      <c r="D1743" t="s">
        <v>1768</v>
      </c>
      <c r="E1743" t="s">
        <v>154</v>
      </c>
    </row>
    <row r="1744" spans="1:5">
      <c r="A1744">
        <v>1742</v>
      </c>
      <c r="B1744" t="s">
        <v>1900</v>
      </c>
      <c r="C1744" t="s">
        <v>5456</v>
      </c>
      <c r="D1744" t="s">
        <v>1768</v>
      </c>
      <c r="E1744" t="s">
        <v>154</v>
      </c>
    </row>
    <row r="1745" spans="1:5">
      <c r="A1745">
        <v>1743</v>
      </c>
      <c r="B1745" t="s">
        <v>1901</v>
      </c>
      <c r="C1745" t="s">
        <v>5457</v>
      </c>
      <c r="D1745" t="s">
        <v>1768</v>
      </c>
      <c r="E1745" t="s">
        <v>154</v>
      </c>
    </row>
    <row r="1746" spans="1:5">
      <c r="A1746">
        <v>1744</v>
      </c>
      <c r="B1746" t="s">
        <v>1902</v>
      </c>
      <c r="C1746" t="s">
        <v>5458</v>
      </c>
      <c r="D1746" t="s">
        <v>1768</v>
      </c>
      <c r="E1746" t="s">
        <v>154</v>
      </c>
    </row>
    <row r="1747" spans="1:5">
      <c r="A1747">
        <v>1745</v>
      </c>
      <c r="B1747" t="s">
        <v>1903</v>
      </c>
      <c r="C1747" t="s">
        <v>5459</v>
      </c>
      <c r="D1747" t="s">
        <v>1768</v>
      </c>
      <c r="E1747" t="s">
        <v>154</v>
      </c>
    </row>
    <row r="1748" spans="1:5">
      <c r="A1748">
        <v>1746</v>
      </c>
      <c r="B1748" t="s">
        <v>1904</v>
      </c>
      <c r="C1748" t="s">
        <v>5460</v>
      </c>
      <c r="D1748" t="s">
        <v>1768</v>
      </c>
      <c r="E1748" t="s">
        <v>154</v>
      </c>
    </row>
    <row r="1749" spans="1:5">
      <c r="A1749">
        <v>1747</v>
      </c>
      <c r="B1749" t="s">
        <v>1905</v>
      </c>
      <c r="C1749" t="s">
        <v>5461</v>
      </c>
      <c r="D1749" t="s">
        <v>1768</v>
      </c>
      <c r="E1749" t="s">
        <v>154</v>
      </c>
    </row>
    <row r="1750" spans="1:5">
      <c r="A1750">
        <v>1748</v>
      </c>
      <c r="B1750" t="s">
        <v>1906</v>
      </c>
      <c r="C1750" t="s">
        <v>5462</v>
      </c>
      <c r="D1750" t="s">
        <v>1768</v>
      </c>
      <c r="E1750" t="s">
        <v>154</v>
      </c>
    </row>
    <row r="1751" spans="1:5">
      <c r="A1751">
        <v>1749</v>
      </c>
      <c r="B1751" t="s">
        <v>1907</v>
      </c>
      <c r="C1751" t="s">
        <v>5463</v>
      </c>
      <c r="D1751" t="s">
        <v>1768</v>
      </c>
      <c r="E1751" t="s">
        <v>154</v>
      </c>
    </row>
    <row r="1752" spans="1:5">
      <c r="A1752">
        <v>1750</v>
      </c>
      <c r="B1752" t="s">
        <v>1908</v>
      </c>
      <c r="C1752" t="s">
        <v>5464</v>
      </c>
      <c r="D1752" t="s">
        <v>1768</v>
      </c>
      <c r="E1752" t="s">
        <v>154</v>
      </c>
    </row>
    <row r="1753" spans="1:5">
      <c r="A1753">
        <v>1751</v>
      </c>
      <c r="B1753" t="s">
        <v>1909</v>
      </c>
      <c r="C1753" t="s">
        <v>5465</v>
      </c>
      <c r="D1753" t="s">
        <v>1768</v>
      </c>
      <c r="E1753" t="s">
        <v>154</v>
      </c>
    </row>
    <row r="1754" spans="1:5">
      <c r="A1754">
        <v>1752</v>
      </c>
      <c r="B1754" t="s">
        <v>1910</v>
      </c>
      <c r="C1754" t="s">
        <v>5466</v>
      </c>
      <c r="D1754" t="s">
        <v>1768</v>
      </c>
      <c r="E1754" t="s">
        <v>154</v>
      </c>
    </row>
    <row r="1755" spans="1:5">
      <c r="A1755">
        <v>1753</v>
      </c>
      <c r="B1755" t="s">
        <v>1911</v>
      </c>
      <c r="C1755" t="s">
        <v>5467</v>
      </c>
      <c r="D1755" t="s">
        <v>1768</v>
      </c>
      <c r="E1755" t="s">
        <v>154</v>
      </c>
    </row>
    <row r="1756" spans="1:5">
      <c r="A1756">
        <v>1754</v>
      </c>
      <c r="B1756" t="s">
        <v>1912</v>
      </c>
      <c r="C1756" t="s">
        <v>5468</v>
      </c>
      <c r="D1756" t="s">
        <v>1768</v>
      </c>
      <c r="E1756" t="s">
        <v>154</v>
      </c>
    </row>
    <row r="1757" spans="1:5">
      <c r="A1757">
        <v>1755</v>
      </c>
      <c r="B1757" t="s">
        <v>1913</v>
      </c>
      <c r="C1757" t="s">
        <v>5469</v>
      </c>
      <c r="D1757" t="s">
        <v>1768</v>
      </c>
      <c r="E1757" t="s">
        <v>154</v>
      </c>
    </row>
    <row r="1758" spans="1:5">
      <c r="A1758">
        <v>1756</v>
      </c>
      <c r="B1758" t="s">
        <v>1914</v>
      </c>
      <c r="C1758" t="s">
        <v>5470</v>
      </c>
      <c r="D1758" t="s">
        <v>1768</v>
      </c>
      <c r="E1758" t="s">
        <v>154</v>
      </c>
    </row>
    <row r="1759" spans="1:5">
      <c r="A1759">
        <v>1757</v>
      </c>
      <c r="B1759" t="s">
        <v>1915</v>
      </c>
      <c r="C1759" t="s">
        <v>5471</v>
      </c>
      <c r="D1759" t="s">
        <v>1768</v>
      </c>
      <c r="E1759" t="s">
        <v>154</v>
      </c>
    </row>
    <row r="1760" spans="1:5">
      <c r="A1760">
        <v>1758</v>
      </c>
      <c r="B1760" t="s">
        <v>1916</v>
      </c>
      <c r="C1760" t="s">
        <v>5472</v>
      </c>
      <c r="D1760" t="s">
        <v>1768</v>
      </c>
      <c r="E1760" t="s">
        <v>154</v>
      </c>
    </row>
    <row r="1761" spans="1:5">
      <c r="A1761">
        <v>1759</v>
      </c>
      <c r="B1761" t="s">
        <v>1917</v>
      </c>
      <c r="C1761" t="s">
        <v>5473</v>
      </c>
      <c r="D1761" t="s">
        <v>1768</v>
      </c>
      <c r="E1761" t="s">
        <v>154</v>
      </c>
    </row>
    <row r="1762" spans="1:5">
      <c r="A1762">
        <v>1760</v>
      </c>
      <c r="B1762" t="s">
        <v>1014</v>
      </c>
      <c r="C1762" t="s">
        <v>4579</v>
      </c>
      <c r="D1762" t="s">
        <v>1768</v>
      </c>
      <c r="E1762" t="s">
        <v>154</v>
      </c>
    </row>
    <row r="1763" spans="1:5">
      <c r="A1763">
        <v>1761</v>
      </c>
      <c r="B1763" t="s">
        <v>1918</v>
      </c>
      <c r="C1763" t="s">
        <v>5474</v>
      </c>
      <c r="D1763" t="s">
        <v>1768</v>
      </c>
      <c r="E1763" t="s">
        <v>154</v>
      </c>
    </row>
    <row r="1764" spans="1:5">
      <c r="A1764">
        <v>1762</v>
      </c>
      <c r="B1764" t="s">
        <v>1919</v>
      </c>
      <c r="C1764" t="s">
        <v>5475</v>
      </c>
      <c r="D1764" t="s">
        <v>1768</v>
      </c>
      <c r="E1764" t="s">
        <v>154</v>
      </c>
    </row>
    <row r="1765" spans="1:5">
      <c r="A1765">
        <v>1763</v>
      </c>
      <c r="B1765" t="s">
        <v>1920</v>
      </c>
      <c r="C1765" t="s">
        <v>5476</v>
      </c>
      <c r="D1765" t="s">
        <v>1768</v>
      </c>
      <c r="E1765" t="s">
        <v>154</v>
      </c>
    </row>
    <row r="1766" spans="1:5">
      <c r="A1766">
        <v>1764</v>
      </c>
      <c r="B1766" t="s">
        <v>1921</v>
      </c>
      <c r="C1766" t="s">
        <v>5477</v>
      </c>
      <c r="D1766" t="s">
        <v>1768</v>
      </c>
      <c r="E1766" t="s">
        <v>154</v>
      </c>
    </row>
    <row r="1767" spans="1:5">
      <c r="A1767">
        <v>1765</v>
      </c>
      <c r="B1767" t="s">
        <v>1922</v>
      </c>
      <c r="C1767" t="s">
        <v>7356</v>
      </c>
      <c r="D1767" t="s">
        <v>1768</v>
      </c>
      <c r="E1767" t="s">
        <v>154</v>
      </c>
    </row>
    <row r="1768" spans="1:5">
      <c r="A1768">
        <v>1766</v>
      </c>
      <c r="B1768" t="s">
        <v>1923</v>
      </c>
      <c r="C1768" t="s">
        <v>5478</v>
      </c>
      <c r="D1768" t="s">
        <v>1768</v>
      </c>
      <c r="E1768" t="s">
        <v>154</v>
      </c>
    </row>
    <row r="1769" spans="1:5">
      <c r="A1769">
        <v>1767</v>
      </c>
      <c r="B1769" t="s">
        <v>1924</v>
      </c>
      <c r="C1769" t="s">
        <v>5479</v>
      </c>
      <c r="D1769" t="s">
        <v>1768</v>
      </c>
      <c r="E1769" t="s">
        <v>154</v>
      </c>
    </row>
    <row r="1770" spans="1:5">
      <c r="A1770">
        <v>1768</v>
      </c>
      <c r="B1770" t="s">
        <v>1925</v>
      </c>
      <c r="C1770" t="s">
        <v>5480</v>
      </c>
      <c r="D1770" t="s">
        <v>1768</v>
      </c>
      <c r="E1770" t="s">
        <v>154</v>
      </c>
    </row>
    <row r="1771" spans="1:5">
      <c r="A1771">
        <v>1769</v>
      </c>
      <c r="B1771" t="s">
        <v>1926</v>
      </c>
      <c r="C1771" t="s">
        <v>5481</v>
      </c>
      <c r="D1771" t="s">
        <v>1768</v>
      </c>
      <c r="E1771" t="s">
        <v>154</v>
      </c>
    </row>
    <row r="1772" spans="1:5">
      <c r="A1772">
        <v>1770</v>
      </c>
      <c r="B1772" t="s">
        <v>1927</v>
      </c>
      <c r="C1772" t="s">
        <v>5482</v>
      </c>
      <c r="D1772" t="s">
        <v>1768</v>
      </c>
      <c r="E1772" t="s">
        <v>154</v>
      </c>
    </row>
    <row r="1773" spans="1:5">
      <c r="A1773">
        <v>1771</v>
      </c>
      <c r="B1773" t="s">
        <v>1928</v>
      </c>
      <c r="C1773" t="s">
        <v>5483</v>
      </c>
      <c r="D1773" t="s">
        <v>1768</v>
      </c>
      <c r="E1773" t="s">
        <v>154</v>
      </c>
    </row>
    <row r="1774" spans="1:5">
      <c r="A1774">
        <v>1772</v>
      </c>
      <c r="B1774" t="s">
        <v>1929</v>
      </c>
      <c r="C1774" t="s">
        <v>5484</v>
      </c>
      <c r="D1774" t="s">
        <v>1768</v>
      </c>
      <c r="E1774" t="s">
        <v>154</v>
      </c>
    </row>
    <row r="1775" spans="1:5">
      <c r="A1775">
        <v>1773</v>
      </c>
      <c r="B1775" t="s">
        <v>1930</v>
      </c>
      <c r="C1775" t="s">
        <v>5485</v>
      </c>
      <c r="D1775" t="s">
        <v>1768</v>
      </c>
      <c r="E1775" t="s">
        <v>154</v>
      </c>
    </row>
    <row r="1776" spans="1:5">
      <c r="A1776">
        <v>1774</v>
      </c>
      <c r="B1776" t="s">
        <v>1931</v>
      </c>
      <c r="C1776" t="s">
        <v>5486</v>
      </c>
      <c r="D1776" t="s">
        <v>1768</v>
      </c>
      <c r="E1776" t="s">
        <v>154</v>
      </c>
    </row>
    <row r="1777" spans="1:5">
      <c r="A1777">
        <v>1775</v>
      </c>
      <c r="B1777" t="s">
        <v>1932</v>
      </c>
      <c r="C1777" t="s">
        <v>5487</v>
      </c>
      <c r="D1777" t="s">
        <v>1768</v>
      </c>
      <c r="E1777" t="s">
        <v>154</v>
      </c>
    </row>
    <row r="1778" spans="1:5">
      <c r="A1778">
        <v>1776</v>
      </c>
      <c r="B1778" t="s">
        <v>1933</v>
      </c>
      <c r="C1778" t="s">
        <v>5488</v>
      </c>
      <c r="D1778" t="s">
        <v>1768</v>
      </c>
      <c r="E1778" t="s">
        <v>154</v>
      </c>
    </row>
    <row r="1779" spans="1:5">
      <c r="A1779">
        <v>1777</v>
      </c>
      <c r="B1779" t="s">
        <v>1934</v>
      </c>
      <c r="C1779" t="s">
        <v>5489</v>
      </c>
      <c r="D1779" t="s">
        <v>1768</v>
      </c>
      <c r="E1779" t="s">
        <v>154</v>
      </c>
    </row>
    <row r="1780" spans="1:5">
      <c r="A1780">
        <v>1778</v>
      </c>
      <c r="B1780" t="s">
        <v>1935</v>
      </c>
      <c r="C1780" t="s">
        <v>5490</v>
      </c>
      <c r="D1780" t="s">
        <v>1768</v>
      </c>
      <c r="E1780" t="s">
        <v>154</v>
      </c>
    </row>
    <row r="1781" spans="1:5">
      <c r="A1781">
        <v>1779</v>
      </c>
      <c r="B1781" t="s">
        <v>1936</v>
      </c>
      <c r="C1781" t="s">
        <v>5491</v>
      </c>
      <c r="D1781" t="s">
        <v>1768</v>
      </c>
      <c r="E1781" t="s">
        <v>154</v>
      </c>
    </row>
    <row r="1782" spans="1:5">
      <c r="A1782">
        <v>1780</v>
      </c>
      <c r="B1782" t="s">
        <v>1937</v>
      </c>
      <c r="C1782" t="s">
        <v>5492</v>
      </c>
      <c r="D1782" t="s">
        <v>1768</v>
      </c>
      <c r="E1782" t="s">
        <v>154</v>
      </c>
    </row>
    <row r="1783" spans="1:5">
      <c r="A1783">
        <v>1781</v>
      </c>
      <c r="B1783" t="s">
        <v>1938</v>
      </c>
      <c r="C1783" t="s">
        <v>5493</v>
      </c>
      <c r="D1783" t="s">
        <v>1768</v>
      </c>
      <c r="E1783" t="s">
        <v>154</v>
      </c>
    </row>
    <row r="1784" spans="1:5">
      <c r="A1784">
        <v>1782</v>
      </c>
      <c r="B1784" t="s">
        <v>1939</v>
      </c>
      <c r="C1784" t="s">
        <v>5494</v>
      </c>
      <c r="D1784" t="s">
        <v>1768</v>
      </c>
      <c r="E1784" t="s">
        <v>154</v>
      </c>
    </row>
    <row r="1785" spans="1:5">
      <c r="A1785">
        <v>1783</v>
      </c>
      <c r="B1785" t="s">
        <v>1940</v>
      </c>
      <c r="C1785" t="s">
        <v>5495</v>
      </c>
      <c r="D1785" t="s">
        <v>1768</v>
      </c>
      <c r="E1785" t="s">
        <v>154</v>
      </c>
    </row>
    <row r="1786" spans="1:5">
      <c r="A1786">
        <v>1784</v>
      </c>
      <c r="B1786" t="s">
        <v>1941</v>
      </c>
      <c r="C1786" t="s">
        <v>5496</v>
      </c>
      <c r="D1786" t="s">
        <v>1768</v>
      </c>
      <c r="E1786" t="s">
        <v>154</v>
      </c>
    </row>
    <row r="1787" spans="1:5">
      <c r="A1787">
        <v>1785</v>
      </c>
      <c r="B1787" t="s">
        <v>1053</v>
      </c>
      <c r="C1787" t="s">
        <v>4618</v>
      </c>
      <c r="D1787" t="s">
        <v>1768</v>
      </c>
      <c r="E1787" t="s">
        <v>154</v>
      </c>
    </row>
    <row r="1788" spans="1:5">
      <c r="A1788">
        <v>1786</v>
      </c>
      <c r="B1788" t="s">
        <v>1942</v>
      </c>
      <c r="C1788" t="s">
        <v>5497</v>
      </c>
      <c r="D1788" t="s">
        <v>1768</v>
      </c>
      <c r="E1788" t="s">
        <v>154</v>
      </c>
    </row>
    <row r="1789" spans="1:5">
      <c r="A1789">
        <v>1787</v>
      </c>
      <c r="B1789" t="s">
        <v>1943</v>
      </c>
      <c r="C1789" t="s">
        <v>5498</v>
      </c>
      <c r="D1789" t="s">
        <v>1768</v>
      </c>
      <c r="E1789" t="s">
        <v>154</v>
      </c>
    </row>
    <row r="1790" spans="1:5">
      <c r="A1790">
        <v>1788</v>
      </c>
      <c r="B1790" t="s">
        <v>1944</v>
      </c>
      <c r="C1790" t="s">
        <v>5499</v>
      </c>
      <c r="D1790" t="s">
        <v>1768</v>
      </c>
      <c r="E1790" t="s">
        <v>154</v>
      </c>
    </row>
    <row r="1791" spans="1:5">
      <c r="A1791">
        <v>1789</v>
      </c>
      <c r="B1791" t="s">
        <v>1945</v>
      </c>
      <c r="C1791" t="s">
        <v>5500</v>
      </c>
      <c r="D1791" t="s">
        <v>1768</v>
      </c>
      <c r="E1791" t="s">
        <v>154</v>
      </c>
    </row>
    <row r="1792" spans="1:5">
      <c r="A1792">
        <v>1790</v>
      </c>
      <c r="B1792" t="s">
        <v>1946</v>
      </c>
      <c r="C1792" t="s">
        <v>5501</v>
      </c>
      <c r="D1792" t="s">
        <v>1768</v>
      </c>
      <c r="E1792" t="s">
        <v>154</v>
      </c>
    </row>
    <row r="1793" spans="1:5">
      <c r="A1793">
        <v>1791</v>
      </c>
      <c r="B1793" t="s">
        <v>1947</v>
      </c>
      <c r="C1793" t="s">
        <v>5502</v>
      </c>
      <c r="D1793" t="s">
        <v>1768</v>
      </c>
      <c r="E1793" t="s">
        <v>154</v>
      </c>
    </row>
    <row r="1794" spans="1:5">
      <c r="A1794">
        <v>1792</v>
      </c>
      <c r="B1794" t="s">
        <v>1948</v>
      </c>
      <c r="C1794" t="s">
        <v>5503</v>
      </c>
      <c r="D1794" t="s">
        <v>1768</v>
      </c>
      <c r="E1794" t="s">
        <v>154</v>
      </c>
    </row>
    <row r="1795" spans="1:5">
      <c r="A1795">
        <v>1793</v>
      </c>
      <c r="B1795" t="s">
        <v>1949</v>
      </c>
      <c r="C1795" t="s">
        <v>5504</v>
      </c>
      <c r="D1795" t="s">
        <v>1768</v>
      </c>
      <c r="E1795" t="s">
        <v>154</v>
      </c>
    </row>
    <row r="1796" spans="1:5">
      <c r="A1796">
        <v>1794</v>
      </c>
      <c r="B1796" t="s">
        <v>1950</v>
      </c>
      <c r="C1796" t="s">
        <v>5505</v>
      </c>
      <c r="D1796" t="s">
        <v>1768</v>
      </c>
      <c r="E1796" t="s">
        <v>154</v>
      </c>
    </row>
    <row r="1797" spans="1:5">
      <c r="A1797">
        <v>1795</v>
      </c>
      <c r="B1797" t="s">
        <v>1951</v>
      </c>
      <c r="C1797" t="s">
        <v>5506</v>
      </c>
      <c r="D1797" t="s">
        <v>1768</v>
      </c>
      <c r="E1797" t="s">
        <v>154</v>
      </c>
    </row>
    <row r="1798" spans="1:5">
      <c r="A1798">
        <v>1796</v>
      </c>
      <c r="B1798" t="s">
        <v>1952</v>
      </c>
      <c r="C1798" t="s">
        <v>5507</v>
      </c>
      <c r="D1798" t="s">
        <v>1768</v>
      </c>
      <c r="E1798" t="s">
        <v>154</v>
      </c>
    </row>
    <row r="1799" spans="1:5">
      <c r="A1799">
        <v>1797</v>
      </c>
      <c r="B1799" t="s">
        <v>1953</v>
      </c>
      <c r="C1799" t="s">
        <v>5508</v>
      </c>
      <c r="D1799" t="s">
        <v>1768</v>
      </c>
      <c r="E1799" t="s">
        <v>154</v>
      </c>
    </row>
    <row r="1800" spans="1:5">
      <c r="A1800">
        <v>1798</v>
      </c>
      <c r="B1800" t="s">
        <v>1954</v>
      </c>
      <c r="C1800" t="s">
        <v>5509</v>
      </c>
      <c r="D1800" t="s">
        <v>1768</v>
      </c>
      <c r="E1800" t="s">
        <v>154</v>
      </c>
    </row>
    <row r="1801" spans="1:5">
      <c r="A1801">
        <v>1799</v>
      </c>
      <c r="B1801" t="s">
        <v>1955</v>
      </c>
      <c r="C1801" t="s">
        <v>5510</v>
      </c>
      <c r="D1801" t="s">
        <v>1768</v>
      </c>
      <c r="E1801" t="s">
        <v>154</v>
      </c>
    </row>
    <row r="1802" spans="1:5">
      <c r="A1802">
        <v>1800</v>
      </c>
      <c r="B1802" t="s">
        <v>1956</v>
      </c>
      <c r="C1802" t="s">
        <v>5511</v>
      </c>
      <c r="D1802" t="s">
        <v>1768</v>
      </c>
      <c r="E1802" t="s">
        <v>154</v>
      </c>
    </row>
    <row r="1803" spans="1:5">
      <c r="A1803">
        <v>1801</v>
      </c>
      <c r="B1803" t="s">
        <v>1957</v>
      </c>
      <c r="C1803" t="s">
        <v>5512</v>
      </c>
      <c r="D1803" t="s">
        <v>1768</v>
      </c>
      <c r="E1803" t="s">
        <v>154</v>
      </c>
    </row>
    <row r="1804" spans="1:5">
      <c r="A1804">
        <v>1802</v>
      </c>
      <c r="B1804" t="s">
        <v>1958</v>
      </c>
      <c r="C1804" t="s">
        <v>5513</v>
      </c>
      <c r="D1804" t="s">
        <v>1768</v>
      </c>
      <c r="E1804" t="s">
        <v>154</v>
      </c>
    </row>
    <row r="1805" spans="1:5">
      <c r="A1805">
        <v>1803</v>
      </c>
      <c r="B1805" t="s">
        <v>1959</v>
      </c>
      <c r="C1805" t="s">
        <v>5514</v>
      </c>
      <c r="D1805" t="s">
        <v>1768</v>
      </c>
      <c r="E1805" t="s">
        <v>154</v>
      </c>
    </row>
    <row r="1806" spans="1:5">
      <c r="A1806">
        <v>1804</v>
      </c>
      <c r="B1806" t="s">
        <v>1960</v>
      </c>
      <c r="C1806" t="s">
        <v>5515</v>
      </c>
      <c r="D1806" t="s">
        <v>1768</v>
      </c>
      <c r="E1806" t="s">
        <v>154</v>
      </c>
    </row>
    <row r="1807" spans="1:5">
      <c r="A1807">
        <v>1805</v>
      </c>
      <c r="B1807" t="s">
        <v>1961</v>
      </c>
      <c r="C1807" t="s">
        <v>5516</v>
      </c>
      <c r="D1807" t="s">
        <v>1768</v>
      </c>
      <c r="E1807" t="s">
        <v>154</v>
      </c>
    </row>
    <row r="1808" spans="1:5">
      <c r="A1808">
        <v>1806</v>
      </c>
      <c r="B1808" t="s">
        <v>1962</v>
      </c>
      <c r="C1808" t="s">
        <v>5517</v>
      </c>
      <c r="D1808" t="s">
        <v>1768</v>
      </c>
      <c r="E1808" t="s">
        <v>154</v>
      </c>
    </row>
    <row r="1809" spans="1:5">
      <c r="A1809">
        <v>1807</v>
      </c>
      <c r="B1809" t="s">
        <v>1963</v>
      </c>
      <c r="C1809" t="s">
        <v>5518</v>
      </c>
      <c r="D1809" t="s">
        <v>1768</v>
      </c>
      <c r="E1809" t="s">
        <v>154</v>
      </c>
    </row>
    <row r="1810" spans="1:5">
      <c r="A1810">
        <v>1808</v>
      </c>
      <c r="B1810" t="s">
        <v>1964</v>
      </c>
      <c r="C1810" t="s">
        <v>5519</v>
      </c>
      <c r="D1810" t="s">
        <v>1768</v>
      </c>
      <c r="E1810" t="s">
        <v>154</v>
      </c>
    </row>
    <row r="1811" spans="1:5">
      <c r="A1811">
        <v>1809</v>
      </c>
      <c r="B1811" t="s">
        <v>1965</v>
      </c>
      <c r="C1811" t="s">
        <v>5520</v>
      </c>
      <c r="D1811" t="s">
        <v>1768</v>
      </c>
      <c r="E1811" t="s">
        <v>154</v>
      </c>
    </row>
    <row r="1812" spans="1:5">
      <c r="A1812">
        <v>1810</v>
      </c>
      <c r="B1812" t="s">
        <v>471</v>
      </c>
      <c r="C1812" t="s">
        <v>4045</v>
      </c>
      <c r="D1812" t="s">
        <v>1768</v>
      </c>
      <c r="E1812" t="s">
        <v>154</v>
      </c>
    </row>
    <row r="1813" spans="1:5">
      <c r="A1813">
        <v>1811</v>
      </c>
      <c r="B1813" t="s">
        <v>1966</v>
      </c>
      <c r="C1813" t="s">
        <v>5521</v>
      </c>
      <c r="D1813" t="s">
        <v>1768</v>
      </c>
      <c r="E1813" t="s">
        <v>154</v>
      </c>
    </row>
    <row r="1814" spans="1:5">
      <c r="A1814">
        <v>1812</v>
      </c>
      <c r="B1814" t="s">
        <v>1967</v>
      </c>
      <c r="C1814" t="s">
        <v>5522</v>
      </c>
      <c r="D1814" t="s">
        <v>1768</v>
      </c>
      <c r="E1814" t="s">
        <v>154</v>
      </c>
    </row>
    <row r="1815" spans="1:5">
      <c r="A1815">
        <v>1813</v>
      </c>
      <c r="B1815" t="s">
        <v>1968</v>
      </c>
      <c r="C1815" t="s">
        <v>5523</v>
      </c>
      <c r="D1815" t="s">
        <v>1768</v>
      </c>
      <c r="E1815" t="s">
        <v>154</v>
      </c>
    </row>
    <row r="1816" spans="1:5">
      <c r="A1816">
        <v>1814</v>
      </c>
      <c r="B1816" t="s">
        <v>1969</v>
      </c>
      <c r="C1816" t="s">
        <v>5524</v>
      </c>
      <c r="D1816" t="s">
        <v>1768</v>
      </c>
      <c r="E1816" t="s">
        <v>154</v>
      </c>
    </row>
    <row r="1817" spans="1:5">
      <c r="A1817">
        <v>1815</v>
      </c>
      <c r="B1817" t="s">
        <v>1970</v>
      </c>
      <c r="C1817" t="s">
        <v>5525</v>
      </c>
      <c r="D1817" t="s">
        <v>1768</v>
      </c>
      <c r="E1817" t="s">
        <v>154</v>
      </c>
    </row>
    <row r="1818" spans="1:5">
      <c r="A1818">
        <v>1816</v>
      </c>
      <c r="B1818" t="s">
        <v>1971</v>
      </c>
      <c r="C1818" t="s">
        <v>5526</v>
      </c>
      <c r="D1818" t="s">
        <v>1768</v>
      </c>
      <c r="E1818" t="s">
        <v>154</v>
      </c>
    </row>
    <row r="1819" spans="1:5">
      <c r="A1819">
        <v>1817</v>
      </c>
      <c r="B1819" t="s">
        <v>1972</v>
      </c>
      <c r="C1819" t="s">
        <v>5527</v>
      </c>
      <c r="D1819" t="s">
        <v>1768</v>
      </c>
      <c r="E1819" t="s">
        <v>154</v>
      </c>
    </row>
    <row r="1820" spans="1:5">
      <c r="A1820">
        <v>1818</v>
      </c>
      <c r="B1820" t="s">
        <v>1973</v>
      </c>
      <c r="C1820" t="s">
        <v>5528</v>
      </c>
      <c r="D1820" t="s">
        <v>1768</v>
      </c>
      <c r="E1820" t="s">
        <v>154</v>
      </c>
    </row>
    <row r="1821" spans="1:5">
      <c r="A1821">
        <v>1819</v>
      </c>
      <c r="B1821" t="s">
        <v>1974</v>
      </c>
      <c r="C1821" t="s">
        <v>5529</v>
      </c>
      <c r="D1821" t="s">
        <v>1768</v>
      </c>
      <c r="E1821" t="s">
        <v>154</v>
      </c>
    </row>
    <row r="1822" spans="1:5">
      <c r="A1822">
        <v>1820</v>
      </c>
      <c r="B1822" t="s">
        <v>1975</v>
      </c>
      <c r="C1822" t="s">
        <v>5530</v>
      </c>
      <c r="D1822" t="s">
        <v>1768</v>
      </c>
      <c r="E1822" t="s">
        <v>154</v>
      </c>
    </row>
    <row r="1823" spans="1:5">
      <c r="A1823">
        <v>1821</v>
      </c>
      <c r="B1823" t="s">
        <v>1976</v>
      </c>
      <c r="C1823" t="s">
        <v>5531</v>
      </c>
      <c r="D1823" t="s">
        <v>1768</v>
      </c>
      <c r="E1823" t="s">
        <v>154</v>
      </c>
    </row>
    <row r="1824" spans="1:5">
      <c r="A1824">
        <v>1822</v>
      </c>
      <c r="B1824" t="s">
        <v>1977</v>
      </c>
      <c r="C1824" t="s">
        <v>5532</v>
      </c>
      <c r="D1824" t="s">
        <v>1768</v>
      </c>
      <c r="E1824" t="s">
        <v>154</v>
      </c>
    </row>
    <row r="1825" spans="1:5">
      <c r="A1825">
        <v>1823</v>
      </c>
      <c r="B1825" t="s">
        <v>1978</v>
      </c>
      <c r="C1825" t="s">
        <v>5533</v>
      </c>
      <c r="D1825" t="s">
        <v>1768</v>
      </c>
      <c r="E1825" t="s">
        <v>154</v>
      </c>
    </row>
    <row r="1826" spans="1:5">
      <c r="A1826">
        <v>1824</v>
      </c>
      <c r="B1826" t="s">
        <v>1979</v>
      </c>
      <c r="C1826" t="s">
        <v>5534</v>
      </c>
      <c r="D1826" t="s">
        <v>1768</v>
      </c>
      <c r="E1826" t="s">
        <v>154</v>
      </c>
    </row>
    <row r="1827" spans="1:5">
      <c r="A1827">
        <v>1825</v>
      </c>
      <c r="B1827" t="s">
        <v>1980</v>
      </c>
      <c r="C1827" t="s">
        <v>5535</v>
      </c>
      <c r="D1827" t="s">
        <v>1768</v>
      </c>
      <c r="E1827" t="s">
        <v>154</v>
      </c>
    </row>
    <row r="1828" spans="1:5">
      <c r="A1828">
        <v>1826</v>
      </c>
      <c r="B1828" t="s">
        <v>1981</v>
      </c>
      <c r="C1828" t="s">
        <v>5536</v>
      </c>
      <c r="D1828" t="s">
        <v>1768</v>
      </c>
      <c r="E1828" t="s">
        <v>154</v>
      </c>
    </row>
    <row r="1829" spans="1:5">
      <c r="A1829">
        <v>1827</v>
      </c>
      <c r="B1829" t="s">
        <v>1982</v>
      </c>
      <c r="C1829" t="s">
        <v>5537</v>
      </c>
      <c r="D1829" t="s">
        <v>1768</v>
      </c>
      <c r="E1829" t="s">
        <v>154</v>
      </c>
    </row>
    <row r="1830" spans="1:5">
      <c r="A1830">
        <v>1828</v>
      </c>
      <c r="B1830" t="s">
        <v>1983</v>
      </c>
      <c r="C1830" t="s">
        <v>5538</v>
      </c>
      <c r="D1830" t="s">
        <v>1768</v>
      </c>
      <c r="E1830" t="s">
        <v>154</v>
      </c>
    </row>
    <row r="1831" spans="1:5">
      <c r="A1831">
        <v>1829</v>
      </c>
      <c r="B1831" t="s">
        <v>1984</v>
      </c>
      <c r="C1831" t="s">
        <v>5539</v>
      </c>
      <c r="D1831" t="s">
        <v>1768</v>
      </c>
      <c r="E1831" t="s">
        <v>154</v>
      </c>
    </row>
    <row r="1832" spans="1:5">
      <c r="A1832">
        <v>1830</v>
      </c>
      <c r="B1832" t="s">
        <v>1985</v>
      </c>
      <c r="C1832" t="s">
        <v>5540</v>
      </c>
      <c r="D1832" t="s">
        <v>1768</v>
      </c>
      <c r="E1832" t="s">
        <v>154</v>
      </c>
    </row>
    <row r="1833" spans="1:5">
      <c r="A1833">
        <v>1831</v>
      </c>
      <c r="B1833" t="s">
        <v>1986</v>
      </c>
      <c r="C1833" t="s">
        <v>5541</v>
      </c>
      <c r="D1833" t="s">
        <v>1768</v>
      </c>
      <c r="E1833" t="s">
        <v>154</v>
      </c>
    </row>
    <row r="1834" spans="1:5">
      <c r="A1834">
        <v>1832</v>
      </c>
      <c r="B1834" t="s">
        <v>1987</v>
      </c>
      <c r="C1834" t="s">
        <v>5542</v>
      </c>
      <c r="D1834" t="s">
        <v>1768</v>
      </c>
      <c r="E1834" t="s">
        <v>154</v>
      </c>
    </row>
    <row r="1835" spans="1:5">
      <c r="A1835">
        <v>1833</v>
      </c>
      <c r="B1835" t="s">
        <v>1988</v>
      </c>
      <c r="C1835" t="s">
        <v>5543</v>
      </c>
      <c r="D1835" t="s">
        <v>1768</v>
      </c>
      <c r="E1835" t="s">
        <v>154</v>
      </c>
    </row>
    <row r="1836" spans="1:5">
      <c r="A1836">
        <v>1834</v>
      </c>
      <c r="B1836" t="s">
        <v>1989</v>
      </c>
      <c r="C1836" t="s">
        <v>5544</v>
      </c>
      <c r="D1836" t="s">
        <v>1768</v>
      </c>
      <c r="E1836" t="s">
        <v>154</v>
      </c>
    </row>
    <row r="1837" spans="1:5">
      <c r="A1837">
        <v>1835</v>
      </c>
      <c r="B1837" t="s">
        <v>1990</v>
      </c>
      <c r="C1837" t="s">
        <v>5545</v>
      </c>
      <c r="D1837" t="s">
        <v>1768</v>
      </c>
      <c r="E1837" t="s">
        <v>154</v>
      </c>
    </row>
    <row r="1838" spans="1:5">
      <c r="A1838">
        <v>1836</v>
      </c>
      <c r="B1838" t="s">
        <v>494</v>
      </c>
      <c r="C1838" t="s">
        <v>4068</v>
      </c>
      <c r="D1838" t="s">
        <v>1768</v>
      </c>
      <c r="E1838" t="s">
        <v>154</v>
      </c>
    </row>
    <row r="1839" spans="1:5">
      <c r="A1839">
        <v>1837</v>
      </c>
      <c r="B1839" t="s">
        <v>1991</v>
      </c>
      <c r="C1839" t="s">
        <v>5546</v>
      </c>
      <c r="D1839" t="s">
        <v>1768</v>
      </c>
      <c r="E1839" t="s">
        <v>154</v>
      </c>
    </row>
    <row r="1840" spans="1:5">
      <c r="A1840">
        <v>1838</v>
      </c>
      <c r="B1840" t="s">
        <v>1992</v>
      </c>
      <c r="C1840" t="s">
        <v>5547</v>
      </c>
      <c r="D1840" t="s">
        <v>1768</v>
      </c>
      <c r="E1840" t="s">
        <v>154</v>
      </c>
    </row>
    <row r="1841" spans="1:5">
      <c r="A1841">
        <v>1839</v>
      </c>
      <c r="B1841" t="s">
        <v>1993</v>
      </c>
      <c r="C1841" t="s">
        <v>5548</v>
      </c>
      <c r="D1841" t="s">
        <v>1768</v>
      </c>
      <c r="E1841" t="s">
        <v>154</v>
      </c>
    </row>
    <row r="1842" spans="1:5">
      <c r="A1842">
        <v>1840</v>
      </c>
      <c r="B1842" t="s">
        <v>1994</v>
      </c>
      <c r="C1842" t="s">
        <v>5549</v>
      </c>
      <c r="D1842" t="s">
        <v>1768</v>
      </c>
      <c r="E1842" t="s">
        <v>154</v>
      </c>
    </row>
    <row r="1843" spans="1:5">
      <c r="A1843">
        <v>1841</v>
      </c>
      <c r="B1843" t="s">
        <v>1995</v>
      </c>
      <c r="C1843" t="s">
        <v>5550</v>
      </c>
      <c r="D1843" t="s">
        <v>1768</v>
      </c>
      <c r="E1843" t="s">
        <v>154</v>
      </c>
    </row>
    <row r="1844" spans="1:5">
      <c r="A1844">
        <v>1842</v>
      </c>
      <c r="B1844" t="s">
        <v>1996</v>
      </c>
      <c r="C1844" t="s">
        <v>5551</v>
      </c>
      <c r="D1844" t="s">
        <v>1768</v>
      </c>
      <c r="E1844" t="s">
        <v>154</v>
      </c>
    </row>
    <row r="1845" spans="1:5">
      <c r="A1845">
        <v>1843</v>
      </c>
      <c r="B1845" t="s">
        <v>1997</v>
      </c>
      <c r="C1845" t="s">
        <v>5552</v>
      </c>
      <c r="D1845" t="s">
        <v>1768</v>
      </c>
      <c r="E1845" t="s">
        <v>154</v>
      </c>
    </row>
    <row r="1846" spans="1:5">
      <c r="A1846">
        <v>1844</v>
      </c>
      <c r="B1846" t="s">
        <v>1998</v>
      </c>
      <c r="C1846" t="s">
        <v>5553</v>
      </c>
      <c r="D1846" t="s">
        <v>1768</v>
      </c>
      <c r="E1846" t="s">
        <v>154</v>
      </c>
    </row>
    <row r="1847" spans="1:5">
      <c r="A1847">
        <v>1845</v>
      </c>
      <c r="B1847" t="s">
        <v>1999</v>
      </c>
      <c r="C1847" t="s">
        <v>5554</v>
      </c>
      <c r="D1847" t="s">
        <v>1768</v>
      </c>
      <c r="E1847" t="s">
        <v>154</v>
      </c>
    </row>
    <row r="1848" spans="1:5">
      <c r="A1848">
        <v>1846</v>
      </c>
      <c r="B1848" t="s">
        <v>2000</v>
      </c>
      <c r="C1848" t="s">
        <v>5555</v>
      </c>
      <c r="D1848" t="s">
        <v>1768</v>
      </c>
      <c r="E1848" t="s">
        <v>154</v>
      </c>
    </row>
    <row r="1849" spans="1:5">
      <c r="A1849">
        <v>1847</v>
      </c>
      <c r="B1849" t="s">
        <v>2001</v>
      </c>
      <c r="C1849" t="s">
        <v>5556</v>
      </c>
      <c r="D1849" t="s">
        <v>1768</v>
      </c>
      <c r="E1849" t="s">
        <v>154</v>
      </c>
    </row>
    <row r="1850" spans="1:5">
      <c r="A1850">
        <v>1848</v>
      </c>
      <c r="B1850" t="s">
        <v>2002</v>
      </c>
      <c r="C1850" t="s">
        <v>5557</v>
      </c>
      <c r="D1850" t="s">
        <v>1768</v>
      </c>
      <c r="E1850" t="s">
        <v>154</v>
      </c>
    </row>
    <row r="1851" spans="1:5">
      <c r="A1851">
        <v>1849</v>
      </c>
      <c r="B1851" t="s">
        <v>2003</v>
      </c>
      <c r="C1851" t="s">
        <v>5558</v>
      </c>
      <c r="D1851" t="s">
        <v>1768</v>
      </c>
      <c r="E1851" t="s">
        <v>154</v>
      </c>
    </row>
    <row r="1852" spans="1:5">
      <c r="A1852">
        <v>1850</v>
      </c>
      <c r="B1852" t="s">
        <v>2004</v>
      </c>
      <c r="C1852" t="s">
        <v>5559</v>
      </c>
      <c r="D1852" t="s">
        <v>1768</v>
      </c>
      <c r="E1852" t="s">
        <v>154</v>
      </c>
    </row>
    <row r="1853" spans="1:5">
      <c r="A1853">
        <v>1851</v>
      </c>
      <c r="B1853" t="s">
        <v>2005</v>
      </c>
      <c r="C1853" t="s">
        <v>5560</v>
      </c>
      <c r="D1853" t="s">
        <v>1768</v>
      </c>
      <c r="E1853" t="s">
        <v>154</v>
      </c>
    </row>
    <row r="1854" spans="1:5">
      <c r="A1854">
        <v>1852</v>
      </c>
      <c r="B1854" t="s">
        <v>2006</v>
      </c>
      <c r="C1854" t="s">
        <v>5561</v>
      </c>
      <c r="D1854" t="s">
        <v>1768</v>
      </c>
      <c r="E1854" t="s">
        <v>154</v>
      </c>
    </row>
    <row r="1855" spans="1:5">
      <c r="A1855">
        <v>1853</v>
      </c>
      <c r="B1855" t="s">
        <v>2007</v>
      </c>
      <c r="C1855" t="s">
        <v>5562</v>
      </c>
      <c r="D1855" t="s">
        <v>1768</v>
      </c>
      <c r="E1855" t="s">
        <v>154</v>
      </c>
    </row>
    <row r="1856" spans="1:5">
      <c r="A1856">
        <v>1854</v>
      </c>
      <c r="B1856" t="s">
        <v>2008</v>
      </c>
      <c r="C1856" t="s">
        <v>5563</v>
      </c>
      <c r="D1856" t="s">
        <v>1768</v>
      </c>
      <c r="E1856" t="s">
        <v>154</v>
      </c>
    </row>
    <row r="1857" spans="1:5">
      <c r="A1857">
        <v>1855</v>
      </c>
      <c r="B1857" t="s">
        <v>2009</v>
      </c>
      <c r="C1857" t="s">
        <v>5564</v>
      </c>
      <c r="D1857" t="s">
        <v>1768</v>
      </c>
      <c r="E1857" t="s">
        <v>154</v>
      </c>
    </row>
    <row r="1858" spans="1:5">
      <c r="A1858">
        <v>1856</v>
      </c>
      <c r="B1858" t="s">
        <v>2010</v>
      </c>
      <c r="C1858" t="s">
        <v>5565</v>
      </c>
      <c r="D1858" t="s">
        <v>1768</v>
      </c>
      <c r="E1858" t="s">
        <v>154</v>
      </c>
    </row>
    <row r="1859" spans="1:5">
      <c r="A1859">
        <v>1857</v>
      </c>
      <c r="B1859" t="s">
        <v>2011</v>
      </c>
      <c r="C1859" t="s">
        <v>5566</v>
      </c>
      <c r="D1859" t="s">
        <v>1768</v>
      </c>
      <c r="E1859" t="s">
        <v>154</v>
      </c>
    </row>
    <row r="1860" spans="1:5">
      <c r="A1860">
        <v>1858</v>
      </c>
      <c r="B1860" t="s">
        <v>2012</v>
      </c>
      <c r="C1860" t="s">
        <v>5567</v>
      </c>
      <c r="D1860" t="s">
        <v>1768</v>
      </c>
      <c r="E1860" t="s">
        <v>154</v>
      </c>
    </row>
    <row r="1861" spans="1:5">
      <c r="A1861">
        <v>1859</v>
      </c>
      <c r="B1861" t="s">
        <v>2013</v>
      </c>
      <c r="C1861" t="s">
        <v>5568</v>
      </c>
      <c r="D1861" t="s">
        <v>1768</v>
      </c>
      <c r="E1861" t="s">
        <v>154</v>
      </c>
    </row>
    <row r="1862" spans="1:5">
      <c r="A1862">
        <v>1860</v>
      </c>
      <c r="B1862" t="s">
        <v>2014</v>
      </c>
      <c r="C1862" t="s">
        <v>5569</v>
      </c>
      <c r="D1862" t="s">
        <v>1768</v>
      </c>
      <c r="E1862" t="s">
        <v>154</v>
      </c>
    </row>
    <row r="1863" spans="1:5">
      <c r="A1863">
        <v>1861</v>
      </c>
      <c r="B1863" t="s">
        <v>2015</v>
      </c>
      <c r="C1863" t="s">
        <v>5570</v>
      </c>
      <c r="D1863" t="s">
        <v>1768</v>
      </c>
      <c r="E1863" t="s">
        <v>154</v>
      </c>
    </row>
    <row r="1864" spans="1:5">
      <c r="A1864">
        <v>1862</v>
      </c>
      <c r="B1864" t="s">
        <v>2016</v>
      </c>
      <c r="C1864" t="s">
        <v>5571</v>
      </c>
      <c r="D1864" t="s">
        <v>1768</v>
      </c>
      <c r="E1864" t="s">
        <v>154</v>
      </c>
    </row>
    <row r="1865" spans="1:5">
      <c r="A1865">
        <v>1863</v>
      </c>
      <c r="B1865" t="s">
        <v>2017</v>
      </c>
      <c r="C1865" t="s">
        <v>5572</v>
      </c>
      <c r="D1865" t="s">
        <v>1768</v>
      </c>
      <c r="E1865" t="s">
        <v>154</v>
      </c>
    </row>
    <row r="1866" spans="1:5">
      <c r="A1866">
        <v>1864</v>
      </c>
      <c r="B1866" t="s">
        <v>2018</v>
      </c>
      <c r="C1866" t="s">
        <v>5573</v>
      </c>
      <c r="D1866" t="s">
        <v>1768</v>
      </c>
      <c r="E1866" t="s">
        <v>154</v>
      </c>
    </row>
    <row r="1867" spans="1:5">
      <c r="A1867">
        <v>1865</v>
      </c>
      <c r="B1867" t="s">
        <v>2019</v>
      </c>
      <c r="C1867" t="s">
        <v>5574</v>
      </c>
      <c r="D1867" t="s">
        <v>1768</v>
      </c>
      <c r="E1867" t="s">
        <v>154</v>
      </c>
    </row>
    <row r="1868" spans="1:5">
      <c r="A1868">
        <v>1866</v>
      </c>
      <c r="B1868" t="s">
        <v>2020</v>
      </c>
      <c r="C1868" t="s">
        <v>5575</v>
      </c>
      <c r="D1868" t="s">
        <v>1768</v>
      </c>
      <c r="E1868" t="s">
        <v>154</v>
      </c>
    </row>
    <row r="1869" spans="1:5">
      <c r="A1869">
        <v>1867</v>
      </c>
      <c r="B1869" t="s">
        <v>2021</v>
      </c>
      <c r="C1869" t="s">
        <v>5576</v>
      </c>
      <c r="D1869" t="s">
        <v>1768</v>
      </c>
      <c r="E1869" t="s">
        <v>154</v>
      </c>
    </row>
    <row r="1870" spans="1:5">
      <c r="A1870">
        <v>1868</v>
      </c>
      <c r="B1870" t="s">
        <v>2022</v>
      </c>
      <c r="C1870" t="s">
        <v>5577</v>
      </c>
      <c r="D1870" t="s">
        <v>1768</v>
      </c>
      <c r="E1870" t="s">
        <v>154</v>
      </c>
    </row>
    <row r="1871" spans="1:5">
      <c r="A1871">
        <v>1869</v>
      </c>
      <c r="B1871" t="s">
        <v>2023</v>
      </c>
      <c r="C1871" t="s">
        <v>5578</v>
      </c>
      <c r="D1871" t="s">
        <v>1768</v>
      </c>
      <c r="E1871" t="s">
        <v>154</v>
      </c>
    </row>
    <row r="1872" spans="1:5">
      <c r="A1872">
        <v>1870</v>
      </c>
      <c r="B1872" t="s">
        <v>2024</v>
      </c>
      <c r="C1872" t="s">
        <v>5579</v>
      </c>
      <c r="D1872" t="s">
        <v>1768</v>
      </c>
      <c r="E1872" t="s">
        <v>154</v>
      </c>
    </row>
    <row r="1873" spans="1:5">
      <c r="A1873">
        <v>1871</v>
      </c>
      <c r="B1873" t="s">
        <v>2025</v>
      </c>
      <c r="C1873" t="s">
        <v>7357</v>
      </c>
      <c r="D1873" t="s">
        <v>1768</v>
      </c>
      <c r="E1873" t="s">
        <v>154</v>
      </c>
    </row>
    <row r="1874" spans="1:5">
      <c r="A1874">
        <v>1872</v>
      </c>
      <c r="B1874" t="s">
        <v>2026</v>
      </c>
      <c r="C1874" t="s">
        <v>5580</v>
      </c>
      <c r="D1874" t="s">
        <v>1768</v>
      </c>
      <c r="E1874" t="s">
        <v>154</v>
      </c>
    </row>
    <row r="1875" spans="1:5">
      <c r="A1875">
        <v>1873</v>
      </c>
      <c r="B1875" t="s">
        <v>2027</v>
      </c>
      <c r="C1875" t="s">
        <v>5581</v>
      </c>
      <c r="D1875" t="s">
        <v>1768</v>
      </c>
      <c r="E1875" t="s">
        <v>154</v>
      </c>
    </row>
    <row r="1876" spans="1:5">
      <c r="A1876">
        <v>1874</v>
      </c>
      <c r="B1876" t="s">
        <v>2028</v>
      </c>
      <c r="C1876" t="s">
        <v>5582</v>
      </c>
      <c r="D1876" t="s">
        <v>1768</v>
      </c>
      <c r="E1876" t="s">
        <v>154</v>
      </c>
    </row>
    <row r="1877" spans="1:5">
      <c r="A1877">
        <v>1875</v>
      </c>
      <c r="B1877" t="s">
        <v>1244</v>
      </c>
      <c r="C1877" t="s">
        <v>4808</v>
      </c>
      <c r="D1877" t="s">
        <v>1768</v>
      </c>
      <c r="E1877" t="s">
        <v>154</v>
      </c>
    </row>
    <row r="1878" spans="1:5">
      <c r="A1878">
        <v>1876</v>
      </c>
      <c r="B1878" t="s">
        <v>2029</v>
      </c>
      <c r="C1878" t="s">
        <v>5583</v>
      </c>
      <c r="D1878" t="s">
        <v>1768</v>
      </c>
      <c r="E1878" t="s">
        <v>154</v>
      </c>
    </row>
    <row r="1879" spans="1:5">
      <c r="A1879">
        <v>1877</v>
      </c>
      <c r="B1879" t="s">
        <v>2030</v>
      </c>
      <c r="C1879" t="s">
        <v>5584</v>
      </c>
      <c r="D1879" t="s">
        <v>1768</v>
      </c>
      <c r="E1879" t="s">
        <v>154</v>
      </c>
    </row>
    <row r="1880" spans="1:5">
      <c r="A1880">
        <v>1878</v>
      </c>
      <c r="B1880" t="s">
        <v>2031</v>
      </c>
      <c r="C1880" t="s">
        <v>5585</v>
      </c>
      <c r="D1880" t="s">
        <v>1768</v>
      </c>
      <c r="E1880" t="s">
        <v>154</v>
      </c>
    </row>
    <row r="1881" spans="1:5">
      <c r="A1881">
        <v>1879</v>
      </c>
      <c r="B1881" t="s">
        <v>2032</v>
      </c>
      <c r="C1881" t="s">
        <v>5586</v>
      </c>
      <c r="D1881" t="s">
        <v>1768</v>
      </c>
      <c r="E1881" t="s">
        <v>154</v>
      </c>
    </row>
    <row r="1882" spans="1:5">
      <c r="A1882">
        <v>1880</v>
      </c>
      <c r="B1882" t="s">
        <v>2033</v>
      </c>
      <c r="C1882" t="s">
        <v>5587</v>
      </c>
      <c r="D1882" t="s">
        <v>1768</v>
      </c>
      <c r="E1882" t="s">
        <v>154</v>
      </c>
    </row>
    <row r="1883" spans="1:5">
      <c r="A1883">
        <v>1881</v>
      </c>
      <c r="B1883" t="s">
        <v>2034</v>
      </c>
      <c r="C1883" t="s">
        <v>5588</v>
      </c>
      <c r="D1883" t="s">
        <v>1768</v>
      </c>
      <c r="E1883" t="s">
        <v>154</v>
      </c>
    </row>
    <row r="1884" spans="1:5">
      <c r="A1884">
        <v>1882</v>
      </c>
      <c r="B1884" t="s">
        <v>2035</v>
      </c>
      <c r="C1884" t="s">
        <v>5589</v>
      </c>
      <c r="D1884" t="s">
        <v>1768</v>
      </c>
      <c r="E1884" t="s">
        <v>154</v>
      </c>
    </row>
    <row r="1885" spans="1:5">
      <c r="A1885">
        <v>1883</v>
      </c>
      <c r="B1885" t="s">
        <v>2036</v>
      </c>
      <c r="C1885" t="s">
        <v>5590</v>
      </c>
      <c r="D1885" t="s">
        <v>1768</v>
      </c>
      <c r="E1885" t="s">
        <v>154</v>
      </c>
    </row>
    <row r="1886" spans="1:5">
      <c r="A1886">
        <v>1884</v>
      </c>
      <c r="B1886" t="s">
        <v>2037</v>
      </c>
      <c r="C1886" t="s">
        <v>5591</v>
      </c>
      <c r="D1886" t="s">
        <v>1768</v>
      </c>
      <c r="E1886" t="s">
        <v>154</v>
      </c>
    </row>
    <row r="1887" spans="1:5">
      <c r="A1887">
        <v>1885</v>
      </c>
      <c r="B1887" t="s">
        <v>2038</v>
      </c>
      <c r="C1887" t="s">
        <v>5592</v>
      </c>
      <c r="D1887" t="s">
        <v>1768</v>
      </c>
      <c r="E1887" t="s">
        <v>154</v>
      </c>
    </row>
    <row r="1888" spans="1:5">
      <c r="A1888">
        <v>1886</v>
      </c>
      <c r="B1888" t="s">
        <v>2039</v>
      </c>
      <c r="C1888" t="s">
        <v>5593</v>
      </c>
      <c r="D1888" t="s">
        <v>1768</v>
      </c>
      <c r="E1888" t="s">
        <v>154</v>
      </c>
    </row>
    <row r="1889" spans="1:5">
      <c r="A1889">
        <v>1887</v>
      </c>
      <c r="B1889" t="s">
        <v>2040</v>
      </c>
      <c r="C1889" t="s">
        <v>5594</v>
      </c>
      <c r="D1889" t="s">
        <v>1768</v>
      </c>
      <c r="E1889" t="s">
        <v>154</v>
      </c>
    </row>
    <row r="1890" spans="1:5">
      <c r="A1890">
        <v>1888</v>
      </c>
      <c r="B1890" t="s">
        <v>1282</v>
      </c>
      <c r="C1890" t="s">
        <v>7337</v>
      </c>
      <c r="D1890" t="s">
        <v>1768</v>
      </c>
      <c r="E1890" t="s">
        <v>154</v>
      </c>
    </row>
    <row r="1891" spans="1:5">
      <c r="A1891">
        <v>1889</v>
      </c>
      <c r="B1891" t="s">
        <v>2041</v>
      </c>
      <c r="C1891" t="s">
        <v>5595</v>
      </c>
      <c r="D1891" t="s">
        <v>1768</v>
      </c>
      <c r="E1891" t="s">
        <v>154</v>
      </c>
    </row>
    <row r="1892" spans="1:5">
      <c r="A1892">
        <v>1890</v>
      </c>
      <c r="B1892" t="s">
        <v>2042</v>
      </c>
      <c r="C1892" t="s">
        <v>5596</v>
      </c>
      <c r="D1892" t="s">
        <v>1768</v>
      </c>
      <c r="E1892" t="s">
        <v>154</v>
      </c>
    </row>
    <row r="1893" spans="1:5">
      <c r="A1893">
        <v>1891</v>
      </c>
      <c r="B1893" t="s">
        <v>2043</v>
      </c>
      <c r="C1893" t="s">
        <v>5597</v>
      </c>
      <c r="D1893" t="s">
        <v>1768</v>
      </c>
      <c r="E1893" t="s">
        <v>154</v>
      </c>
    </row>
    <row r="1894" spans="1:5">
      <c r="A1894">
        <v>1892</v>
      </c>
      <c r="B1894" t="s">
        <v>2044</v>
      </c>
      <c r="C1894" t="s">
        <v>5598</v>
      </c>
      <c r="D1894" t="s">
        <v>1768</v>
      </c>
      <c r="E1894" t="s">
        <v>154</v>
      </c>
    </row>
    <row r="1895" spans="1:5">
      <c r="A1895">
        <v>1893</v>
      </c>
      <c r="B1895" t="s">
        <v>1315</v>
      </c>
      <c r="C1895" t="s">
        <v>4876</v>
      </c>
      <c r="D1895" t="s">
        <v>1768</v>
      </c>
      <c r="E1895" t="s">
        <v>154</v>
      </c>
    </row>
    <row r="1896" spans="1:5">
      <c r="A1896">
        <v>1894</v>
      </c>
      <c r="B1896" t="s">
        <v>2045</v>
      </c>
      <c r="C1896" t="s">
        <v>5599</v>
      </c>
      <c r="D1896" t="s">
        <v>1768</v>
      </c>
      <c r="E1896" t="s">
        <v>154</v>
      </c>
    </row>
    <row r="1897" spans="1:5">
      <c r="A1897">
        <v>1895</v>
      </c>
      <c r="B1897" t="s">
        <v>2046</v>
      </c>
      <c r="C1897" t="s">
        <v>5600</v>
      </c>
      <c r="D1897" t="s">
        <v>1768</v>
      </c>
      <c r="E1897" t="s">
        <v>154</v>
      </c>
    </row>
    <row r="1898" spans="1:5">
      <c r="A1898">
        <v>1896</v>
      </c>
      <c r="B1898" t="s">
        <v>2047</v>
      </c>
      <c r="C1898" t="s">
        <v>5601</v>
      </c>
      <c r="D1898" t="s">
        <v>1768</v>
      </c>
      <c r="E1898" t="s">
        <v>154</v>
      </c>
    </row>
    <row r="1899" spans="1:5">
      <c r="A1899">
        <v>1897</v>
      </c>
      <c r="B1899" t="s">
        <v>2048</v>
      </c>
      <c r="C1899" t="s">
        <v>5602</v>
      </c>
      <c r="D1899" t="s">
        <v>1768</v>
      </c>
      <c r="E1899" t="s">
        <v>154</v>
      </c>
    </row>
    <row r="1900" spans="1:5">
      <c r="A1900">
        <v>1898</v>
      </c>
      <c r="B1900" t="s">
        <v>2049</v>
      </c>
      <c r="C1900" t="s">
        <v>5603</v>
      </c>
      <c r="D1900" t="s">
        <v>1768</v>
      </c>
      <c r="E1900" t="s">
        <v>154</v>
      </c>
    </row>
    <row r="1901" spans="1:5">
      <c r="A1901">
        <v>1899</v>
      </c>
      <c r="B1901" t="s">
        <v>2050</v>
      </c>
      <c r="C1901" t="s">
        <v>5604</v>
      </c>
      <c r="D1901" t="s">
        <v>1768</v>
      </c>
      <c r="E1901" t="s">
        <v>154</v>
      </c>
    </row>
    <row r="1902" spans="1:5">
      <c r="A1902">
        <v>1900</v>
      </c>
      <c r="B1902" t="s">
        <v>2051</v>
      </c>
      <c r="C1902" t="s">
        <v>5605</v>
      </c>
      <c r="D1902" t="s">
        <v>1768</v>
      </c>
      <c r="E1902" t="s">
        <v>154</v>
      </c>
    </row>
    <row r="1903" spans="1:5">
      <c r="A1903">
        <v>1901</v>
      </c>
      <c r="B1903" t="s">
        <v>2052</v>
      </c>
      <c r="C1903" t="s">
        <v>5606</v>
      </c>
      <c r="D1903" t="s">
        <v>1768</v>
      </c>
      <c r="E1903" t="s">
        <v>154</v>
      </c>
    </row>
    <row r="1904" spans="1:5">
      <c r="A1904">
        <v>1902</v>
      </c>
      <c r="B1904" t="s">
        <v>2053</v>
      </c>
      <c r="C1904" t="s">
        <v>5607</v>
      </c>
      <c r="D1904" t="s">
        <v>1768</v>
      </c>
      <c r="E1904" t="s">
        <v>154</v>
      </c>
    </row>
    <row r="1905" spans="1:5">
      <c r="A1905">
        <v>1903</v>
      </c>
      <c r="B1905" t="s">
        <v>1347</v>
      </c>
      <c r="C1905" t="s">
        <v>4908</v>
      </c>
      <c r="D1905" t="s">
        <v>1768</v>
      </c>
      <c r="E1905" t="s">
        <v>154</v>
      </c>
    </row>
    <row r="1906" spans="1:5">
      <c r="A1906">
        <v>1904</v>
      </c>
      <c r="B1906" t="s">
        <v>2054</v>
      </c>
      <c r="C1906" t="s">
        <v>5608</v>
      </c>
      <c r="D1906" t="s">
        <v>1768</v>
      </c>
      <c r="E1906" t="s">
        <v>154</v>
      </c>
    </row>
    <row r="1907" spans="1:5">
      <c r="A1907">
        <v>1905</v>
      </c>
      <c r="B1907" t="s">
        <v>2055</v>
      </c>
      <c r="C1907" t="s">
        <v>5609</v>
      </c>
      <c r="D1907" t="s">
        <v>1768</v>
      </c>
      <c r="E1907" t="s">
        <v>154</v>
      </c>
    </row>
    <row r="1908" spans="1:5">
      <c r="A1908">
        <v>1906</v>
      </c>
      <c r="B1908" t="s">
        <v>2056</v>
      </c>
      <c r="C1908" t="s">
        <v>5610</v>
      </c>
      <c r="D1908" t="s">
        <v>1768</v>
      </c>
      <c r="E1908" t="s">
        <v>154</v>
      </c>
    </row>
    <row r="1909" spans="1:5">
      <c r="A1909">
        <v>1907</v>
      </c>
      <c r="B1909" t="s">
        <v>2057</v>
      </c>
      <c r="C1909" t="s">
        <v>5611</v>
      </c>
      <c r="D1909" t="s">
        <v>1768</v>
      </c>
      <c r="E1909" t="s">
        <v>154</v>
      </c>
    </row>
    <row r="1910" spans="1:5">
      <c r="A1910">
        <v>1908</v>
      </c>
      <c r="B1910" t="s">
        <v>2058</v>
      </c>
      <c r="C1910" t="s">
        <v>5612</v>
      </c>
      <c r="D1910" t="s">
        <v>1768</v>
      </c>
      <c r="E1910" t="s">
        <v>154</v>
      </c>
    </row>
    <row r="1911" spans="1:5">
      <c r="A1911">
        <v>1909</v>
      </c>
      <c r="B1911" t="s">
        <v>2059</v>
      </c>
      <c r="C1911" t="s">
        <v>5613</v>
      </c>
      <c r="D1911" t="s">
        <v>1768</v>
      </c>
      <c r="E1911" t="s">
        <v>154</v>
      </c>
    </row>
    <row r="1912" spans="1:5">
      <c r="A1912">
        <v>1910</v>
      </c>
      <c r="B1912" t="s">
        <v>2060</v>
      </c>
      <c r="C1912" t="s">
        <v>5614</v>
      </c>
      <c r="D1912" t="s">
        <v>1768</v>
      </c>
      <c r="E1912" t="s">
        <v>154</v>
      </c>
    </row>
    <row r="1913" spans="1:5">
      <c r="A1913">
        <v>1911</v>
      </c>
      <c r="B1913" t="s">
        <v>2061</v>
      </c>
      <c r="C1913" t="s">
        <v>5615</v>
      </c>
      <c r="D1913" t="s">
        <v>1768</v>
      </c>
      <c r="E1913" t="s">
        <v>154</v>
      </c>
    </row>
    <row r="1914" spans="1:5">
      <c r="A1914">
        <v>1912</v>
      </c>
      <c r="B1914" t="s">
        <v>2062</v>
      </c>
      <c r="C1914" t="s">
        <v>5616</v>
      </c>
      <c r="D1914" t="s">
        <v>1768</v>
      </c>
      <c r="E1914" t="s">
        <v>154</v>
      </c>
    </row>
    <row r="1915" spans="1:5">
      <c r="A1915">
        <v>1913</v>
      </c>
      <c r="B1915" t="s">
        <v>2063</v>
      </c>
      <c r="C1915" t="s">
        <v>5617</v>
      </c>
      <c r="D1915" t="s">
        <v>1768</v>
      </c>
      <c r="E1915" t="s">
        <v>154</v>
      </c>
    </row>
    <row r="1916" spans="1:5">
      <c r="A1916">
        <v>1914</v>
      </c>
      <c r="B1916" t="s">
        <v>2064</v>
      </c>
      <c r="C1916" t="s">
        <v>5618</v>
      </c>
      <c r="D1916" t="s">
        <v>1768</v>
      </c>
      <c r="E1916" t="s">
        <v>154</v>
      </c>
    </row>
    <row r="1917" spans="1:5">
      <c r="A1917">
        <v>1915</v>
      </c>
      <c r="B1917" t="s">
        <v>2065</v>
      </c>
      <c r="C1917" t="s">
        <v>5619</v>
      </c>
      <c r="D1917" t="s">
        <v>1768</v>
      </c>
      <c r="E1917" t="s">
        <v>154</v>
      </c>
    </row>
    <row r="1918" spans="1:5">
      <c r="A1918">
        <v>1916</v>
      </c>
      <c r="B1918" t="s">
        <v>2066</v>
      </c>
      <c r="C1918" t="s">
        <v>5620</v>
      </c>
      <c r="D1918" t="s">
        <v>1768</v>
      </c>
      <c r="E1918" t="s">
        <v>154</v>
      </c>
    </row>
    <row r="1919" spans="1:5">
      <c r="A1919">
        <v>1917</v>
      </c>
      <c r="B1919" t="s">
        <v>7358</v>
      </c>
      <c r="C1919" t="s">
        <v>7359</v>
      </c>
      <c r="D1919" t="s">
        <v>1768</v>
      </c>
      <c r="E1919" t="s">
        <v>154</v>
      </c>
    </row>
    <row r="1920" spans="1:5">
      <c r="A1920">
        <v>1918</v>
      </c>
      <c r="B1920" t="s">
        <v>2067</v>
      </c>
      <c r="C1920" t="s">
        <v>5621</v>
      </c>
      <c r="D1920" t="s">
        <v>1768</v>
      </c>
      <c r="E1920" t="s">
        <v>154</v>
      </c>
    </row>
    <row r="1921" spans="1:5">
      <c r="A1921">
        <v>1919</v>
      </c>
      <c r="B1921" t="s">
        <v>2068</v>
      </c>
      <c r="C1921" t="s">
        <v>5622</v>
      </c>
      <c r="D1921" t="s">
        <v>1768</v>
      </c>
      <c r="E1921" t="s">
        <v>154</v>
      </c>
    </row>
    <row r="1922" spans="1:5">
      <c r="A1922">
        <v>1920</v>
      </c>
      <c r="B1922" t="s">
        <v>2069</v>
      </c>
      <c r="C1922" t="s">
        <v>5623</v>
      </c>
      <c r="D1922" t="s">
        <v>1768</v>
      </c>
      <c r="E1922" t="s">
        <v>154</v>
      </c>
    </row>
    <row r="1923" spans="1:5">
      <c r="A1923">
        <v>1921</v>
      </c>
      <c r="B1923" t="s">
        <v>2070</v>
      </c>
      <c r="C1923" t="s">
        <v>5624</v>
      </c>
      <c r="D1923" t="s">
        <v>1768</v>
      </c>
      <c r="E1923" t="s">
        <v>154</v>
      </c>
    </row>
    <row r="1924" spans="1:5">
      <c r="A1924">
        <v>1922</v>
      </c>
      <c r="B1924" t="s">
        <v>2071</v>
      </c>
      <c r="C1924" t="s">
        <v>5625</v>
      </c>
      <c r="D1924" t="s">
        <v>1768</v>
      </c>
      <c r="E1924" t="s">
        <v>154</v>
      </c>
    </row>
    <row r="1925" spans="1:5">
      <c r="A1925">
        <v>1923</v>
      </c>
      <c r="B1925" t="s">
        <v>2072</v>
      </c>
      <c r="C1925" t="s">
        <v>5626</v>
      </c>
      <c r="D1925" t="s">
        <v>1768</v>
      </c>
      <c r="E1925" t="s">
        <v>154</v>
      </c>
    </row>
    <row r="1926" spans="1:5">
      <c r="A1926">
        <v>1924</v>
      </c>
      <c r="B1926" t="s">
        <v>2073</v>
      </c>
      <c r="C1926" t="s">
        <v>5627</v>
      </c>
      <c r="D1926" t="s">
        <v>1768</v>
      </c>
      <c r="E1926" t="s">
        <v>154</v>
      </c>
    </row>
    <row r="1927" spans="1:5">
      <c r="A1927">
        <v>1925</v>
      </c>
      <c r="B1927" t="s">
        <v>2074</v>
      </c>
      <c r="C1927" t="s">
        <v>5628</v>
      </c>
      <c r="D1927" t="s">
        <v>1768</v>
      </c>
      <c r="E1927" t="s">
        <v>154</v>
      </c>
    </row>
    <row r="1928" spans="1:5">
      <c r="A1928">
        <v>1926</v>
      </c>
      <c r="B1928" t="s">
        <v>2075</v>
      </c>
      <c r="C1928" t="s">
        <v>5629</v>
      </c>
      <c r="D1928" t="s">
        <v>1768</v>
      </c>
      <c r="E1928" t="s">
        <v>154</v>
      </c>
    </row>
    <row r="1929" spans="1:5">
      <c r="A1929">
        <v>1927</v>
      </c>
      <c r="B1929" t="s">
        <v>7360</v>
      </c>
      <c r="C1929" t="s">
        <v>7361</v>
      </c>
      <c r="D1929" t="s">
        <v>1768</v>
      </c>
      <c r="E1929" t="s">
        <v>154</v>
      </c>
    </row>
    <row r="1930" spans="1:5">
      <c r="A1930">
        <v>1928</v>
      </c>
      <c r="B1930" t="s">
        <v>2076</v>
      </c>
      <c r="C1930" t="s">
        <v>5630</v>
      </c>
      <c r="D1930" t="s">
        <v>1768</v>
      </c>
      <c r="E1930" t="s">
        <v>154</v>
      </c>
    </row>
    <row r="1931" spans="1:5">
      <c r="A1931">
        <v>1929</v>
      </c>
      <c r="B1931" t="s">
        <v>2077</v>
      </c>
      <c r="C1931" t="s">
        <v>5631</v>
      </c>
      <c r="D1931" t="s">
        <v>1768</v>
      </c>
      <c r="E1931" t="s">
        <v>154</v>
      </c>
    </row>
    <row r="1932" spans="1:5">
      <c r="A1932">
        <v>1930</v>
      </c>
      <c r="B1932" t="s">
        <v>2078</v>
      </c>
      <c r="C1932" t="s">
        <v>5632</v>
      </c>
      <c r="D1932" t="s">
        <v>1768</v>
      </c>
      <c r="E1932" t="s">
        <v>154</v>
      </c>
    </row>
    <row r="1933" spans="1:5">
      <c r="A1933">
        <v>1931</v>
      </c>
      <c r="B1933" t="s">
        <v>2079</v>
      </c>
      <c r="C1933" t="s">
        <v>5633</v>
      </c>
      <c r="D1933" t="s">
        <v>1768</v>
      </c>
      <c r="E1933" t="s">
        <v>154</v>
      </c>
    </row>
    <row r="1934" spans="1:5">
      <c r="A1934">
        <v>1932</v>
      </c>
      <c r="B1934" t="s">
        <v>2080</v>
      </c>
      <c r="C1934" t="s">
        <v>5634</v>
      </c>
      <c r="D1934" t="s">
        <v>1768</v>
      </c>
      <c r="E1934" t="s">
        <v>154</v>
      </c>
    </row>
    <row r="1935" spans="1:5">
      <c r="A1935">
        <v>1933</v>
      </c>
      <c r="B1935" t="s">
        <v>2081</v>
      </c>
      <c r="C1935" t="s">
        <v>5635</v>
      </c>
      <c r="D1935" t="s">
        <v>1768</v>
      </c>
      <c r="E1935" t="s">
        <v>154</v>
      </c>
    </row>
    <row r="1936" spans="1:5">
      <c r="A1936">
        <v>1934</v>
      </c>
      <c r="B1936" t="s">
        <v>2082</v>
      </c>
      <c r="C1936" t="s">
        <v>5636</v>
      </c>
      <c r="D1936" t="s">
        <v>1768</v>
      </c>
      <c r="E1936" t="s">
        <v>154</v>
      </c>
    </row>
    <row r="1937" spans="1:5">
      <c r="A1937">
        <v>1935</v>
      </c>
      <c r="B1937" t="s">
        <v>2083</v>
      </c>
      <c r="C1937" t="s">
        <v>5637</v>
      </c>
      <c r="D1937" t="s">
        <v>1768</v>
      </c>
      <c r="E1937" t="s">
        <v>154</v>
      </c>
    </row>
    <row r="1938" spans="1:5">
      <c r="A1938">
        <v>1936</v>
      </c>
      <c r="B1938" t="s">
        <v>2084</v>
      </c>
      <c r="C1938" t="s">
        <v>5638</v>
      </c>
      <c r="D1938" t="s">
        <v>1768</v>
      </c>
      <c r="E1938" t="s">
        <v>154</v>
      </c>
    </row>
    <row r="1939" spans="1:5">
      <c r="A1939">
        <v>1937</v>
      </c>
      <c r="B1939" t="s">
        <v>2085</v>
      </c>
      <c r="C1939" t="s">
        <v>5639</v>
      </c>
      <c r="D1939" t="s">
        <v>1768</v>
      </c>
      <c r="E1939" t="s">
        <v>154</v>
      </c>
    </row>
    <row r="1940" spans="1:5">
      <c r="A1940">
        <v>1938</v>
      </c>
      <c r="B1940" t="s">
        <v>2086</v>
      </c>
      <c r="C1940" t="s">
        <v>5640</v>
      </c>
      <c r="D1940" t="s">
        <v>1768</v>
      </c>
      <c r="E1940" t="s">
        <v>154</v>
      </c>
    </row>
    <row r="1941" spans="1:5">
      <c r="A1941">
        <v>1939</v>
      </c>
      <c r="B1941" t="s">
        <v>2087</v>
      </c>
      <c r="C1941" t="s">
        <v>5641</v>
      </c>
      <c r="D1941" t="s">
        <v>1768</v>
      </c>
      <c r="E1941" t="s">
        <v>154</v>
      </c>
    </row>
    <row r="1942" spans="1:5">
      <c r="A1942">
        <v>1940</v>
      </c>
      <c r="B1942" t="s">
        <v>2088</v>
      </c>
      <c r="C1942" t="s">
        <v>5642</v>
      </c>
      <c r="D1942" t="s">
        <v>1768</v>
      </c>
      <c r="E1942" t="s">
        <v>154</v>
      </c>
    </row>
    <row r="1943" spans="1:5">
      <c r="A1943">
        <v>1941</v>
      </c>
      <c r="B1943" t="s">
        <v>1410</v>
      </c>
      <c r="C1943" t="s">
        <v>4971</v>
      </c>
      <c r="D1943" t="s">
        <v>1768</v>
      </c>
      <c r="E1943" t="s">
        <v>154</v>
      </c>
    </row>
    <row r="1944" spans="1:5">
      <c r="A1944">
        <v>1942</v>
      </c>
      <c r="B1944" t="s">
        <v>2089</v>
      </c>
      <c r="C1944" t="s">
        <v>5643</v>
      </c>
      <c r="D1944" t="s">
        <v>1768</v>
      </c>
      <c r="E1944" t="s">
        <v>154</v>
      </c>
    </row>
    <row r="1945" spans="1:5">
      <c r="A1945">
        <v>1943</v>
      </c>
      <c r="B1945" t="s">
        <v>2090</v>
      </c>
      <c r="C1945" t="s">
        <v>5644</v>
      </c>
      <c r="D1945" t="s">
        <v>1768</v>
      </c>
      <c r="E1945" t="s">
        <v>154</v>
      </c>
    </row>
    <row r="1946" spans="1:5">
      <c r="A1946">
        <v>1944</v>
      </c>
      <c r="B1946" t="s">
        <v>2091</v>
      </c>
      <c r="C1946" t="s">
        <v>5645</v>
      </c>
      <c r="D1946" t="s">
        <v>1768</v>
      </c>
      <c r="E1946" t="s">
        <v>154</v>
      </c>
    </row>
    <row r="1947" spans="1:5">
      <c r="A1947">
        <v>1945</v>
      </c>
      <c r="B1947" t="s">
        <v>2092</v>
      </c>
      <c r="C1947" t="s">
        <v>5646</v>
      </c>
      <c r="D1947" t="s">
        <v>1768</v>
      </c>
      <c r="E1947" t="s">
        <v>154</v>
      </c>
    </row>
    <row r="1948" spans="1:5">
      <c r="A1948">
        <v>1946</v>
      </c>
      <c r="B1948" t="s">
        <v>2093</v>
      </c>
      <c r="C1948" t="s">
        <v>5647</v>
      </c>
      <c r="D1948" t="s">
        <v>1768</v>
      </c>
      <c r="E1948" t="s">
        <v>154</v>
      </c>
    </row>
    <row r="1949" spans="1:5">
      <c r="A1949">
        <v>1947</v>
      </c>
      <c r="B1949" t="s">
        <v>2094</v>
      </c>
      <c r="C1949" t="s">
        <v>5648</v>
      </c>
      <c r="D1949" t="s">
        <v>1768</v>
      </c>
      <c r="E1949" t="s">
        <v>154</v>
      </c>
    </row>
    <row r="1950" spans="1:5">
      <c r="A1950">
        <v>1948</v>
      </c>
      <c r="B1950" t="s">
        <v>2095</v>
      </c>
      <c r="C1950" t="s">
        <v>5649</v>
      </c>
      <c r="D1950" t="s">
        <v>1768</v>
      </c>
      <c r="E1950" t="s">
        <v>154</v>
      </c>
    </row>
    <row r="1951" spans="1:5">
      <c r="A1951">
        <v>1949</v>
      </c>
      <c r="B1951" t="s">
        <v>2096</v>
      </c>
      <c r="C1951" t="s">
        <v>5650</v>
      </c>
      <c r="D1951" t="s">
        <v>1768</v>
      </c>
      <c r="E1951" t="s">
        <v>154</v>
      </c>
    </row>
    <row r="1952" spans="1:5">
      <c r="A1952">
        <v>1950</v>
      </c>
      <c r="B1952" t="s">
        <v>2097</v>
      </c>
      <c r="C1952" t="s">
        <v>5651</v>
      </c>
      <c r="D1952" t="s">
        <v>1768</v>
      </c>
      <c r="E1952" t="s">
        <v>154</v>
      </c>
    </row>
    <row r="1953" spans="1:5">
      <c r="A1953">
        <v>1951</v>
      </c>
      <c r="B1953" t="s">
        <v>2098</v>
      </c>
      <c r="C1953" t="s">
        <v>5652</v>
      </c>
      <c r="D1953" t="s">
        <v>1768</v>
      </c>
      <c r="E1953" t="s">
        <v>154</v>
      </c>
    </row>
    <row r="1954" spans="1:5">
      <c r="A1954">
        <v>1952</v>
      </c>
      <c r="B1954" t="s">
        <v>2099</v>
      </c>
      <c r="C1954" t="s">
        <v>5653</v>
      </c>
      <c r="D1954" t="s">
        <v>1768</v>
      </c>
      <c r="E1954" t="s">
        <v>154</v>
      </c>
    </row>
    <row r="1955" spans="1:5">
      <c r="A1955">
        <v>1953</v>
      </c>
      <c r="B1955" t="s">
        <v>2100</v>
      </c>
      <c r="C1955" t="s">
        <v>5654</v>
      </c>
      <c r="D1955" t="s">
        <v>1768</v>
      </c>
      <c r="E1955" t="s">
        <v>154</v>
      </c>
    </row>
    <row r="1956" spans="1:5">
      <c r="A1956">
        <v>1954</v>
      </c>
      <c r="B1956" t="s">
        <v>2101</v>
      </c>
      <c r="C1956" t="s">
        <v>5655</v>
      </c>
      <c r="D1956" t="s">
        <v>1768</v>
      </c>
      <c r="E1956" t="s">
        <v>154</v>
      </c>
    </row>
    <row r="1957" spans="1:5">
      <c r="A1957">
        <v>1955</v>
      </c>
      <c r="B1957" t="s">
        <v>2102</v>
      </c>
      <c r="C1957" t="s">
        <v>5656</v>
      </c>
      <c r="D1957" t="s">
        <v>1768</v>
      </c>
      <c r="E1957" t="s">
        <v>154</v>
      </c>
    </row>
    <row r="1958" spans="1:5">
      <c r="A1958">
        <v>1956</v>
      </c>
      <c r="B1958" t="s">
        <v>2103</v>
      </c>
      <c r="C1958" t="s">
        <v>5657</v>
      </c>
      <c r="D1958" t="s">
        <v>1768</v>
      </c>
      <c r="E1958" t="s">
        <v>154</v>
      </c>
    </row>
    <row r="1959" spans="1:5">
      <c r="A1959">
        <v>1957</v>
      </c>
      <c r="B1959" t="s">
        <v>2104</v>
      </c>
      <c r="C1959" t="s">
        <v>5658</v>
      </c>
      <c r="D1959" t="s">
        <v>1768</v>
      </c>
      <c r="E1959" t="s">
        <v>154</v>
      </c>
    </row>
    <row r="1960" spans="1:5">
      <c r="A1960">
        <v>1958</v>
      </c>
      <c r="B1960" t="s">
        <v>2105</v>
      </c>
      <c r="C1960" t="s">
        <v>5659</v>
      </c>
      <c r="D1960" t="s">
        <v>1768</v>
      </c>
      <c r="E1960" t="s">
        <v>154</v>
      </c>
    </row>
    <row r="1961" spans="1:5">
      <c r="A1961">
        <v>1959</v>
      </c>
      <c r="B1961" t="s">
        <v>2106</v>
      </c>
      <c r="C1961" t="s">
        <v>5660</v>
      </c>
      <c r="D1961" t="s">
        <v>1768</v>
      </c>
      <c r="E1961" t="s">
        <v>154</v>
      </c>
    </row>
    <row r="1962" spans="1:5">
      <c r="A1962">
        <v>1960</v>
      </c>
      <c r="B1962" t="s">
        <v>2107</v>
      </c>
      <c r="C1962" t="s">
        <v>5661</v>
      </c>
      <c r="D1962" t="s">
        <v>1768</v>
      </c>
      <c r="E1962" t="s">
        <v>154</v>
      </c>
    </row>
    <row r="1963" spans="1:5">
      <c r="A1963">
        <v>1961</v>
      </c>
      <c r="B1963" t="s">
        <v>2108</v>
      </c>
      <c r="C1963" t="s">
        <v>5662</v>
      </c>
      <c r="D1963" t="s">
        <v>1768</v>
      </c>
      <c r="E1963" t="s">
        <v>154</v>
      </c>
    </row>
    <row r="1964" spans="1:5">
      <c r="A1964">
        <v>1962</v>
      </c>
      <c r="B1964" t="s">
        <v>2109</v>
      </c>
      <c r="C1964" t="s">
        <v>5663</v>
      </c>
      <c r="D1964" t="s">
        <v>1768</v>
      </c>
      <c r="E1964" t="s">
        <v>154</v>
      </c>
    </row>
    <row r="1965" spans="1:5">
      <c r="A1965">
        <v>1963</v>
      </c>
      <c r="B1965" t="s">
        <v>2110</v>
      </c>
      <c r="C1965" t="s">
        <v>5664</v>
      </c>
      <c r="D1965" t="s">
        <v>1768</v>
      </c>
      <c r="E1965" t="s">
        <v>154</v>
      </c>
    </row>
    <row r="1966" spans="1:5">
      <c r="A1966">
        <v>1964</v>
      </c>
      <c r="B1966" t="s">
        <v>2111</v>
      </c>
      <c r="C1966" t="s">
        <v>5665</v>
      </c>
      <c r="D1966" t="s">
        <v>1768</v>
      </c>
      <c r="E1966" t="s">
        <v>154</v>
      </c>
    </row>
    <row r="1967" spans="1:5">
      <c r="A1967">
        <v>1965</v>
      </c>
      <c r="B1967" t="s">
        <v>2112</v>
      </c>
      <c r="C1967" t="s">
        <v>5666</v>
      </c>
      <c r="D1967" t="s">
        <v>1768</v>
      </c>
      <c r="E1967" t="s">
        <v>154</v>
      </c>
    </row>
    <row r="1968" spans="1:5">
      <c r="A1968">
        <v>1966</v>
      </c>
      <c r="B1968" t="s">
        <v>2113</v>
      </c>
      <c r="C1968" t="s">
        <v>5667</v>
      </c>
      <c r="D1968" t="s">
        <v>1768</v>
      </c>
      <c r="E1968" t="s">
        <v>154</v>
      </c>
    </row>
    <row r="1969" spans="1:5">
      <c r="A1969">
        <v>1967</v>
      </c>
      <c r="B1969" t="s">
        <v>2114</v>
      </c>
      <c r="C1969" t="s">
        <v>5668</v>
      </c>
      <c r="D1969" t="s">
        <v>1768</v>
      </c>
      <c r="E1969" t="s">
        <v>154</v>
      </c>
    </row>
    <row r="1970" spans="1:5">
      <c r="A1970">
        <v>1968</v>
      </c>
      <c r="B1970" t="s">
        <v>2115</v>
      </c>
      <c r="C1970" t="s">
        <v>5669</v>
      </c>
      <c r="D1970" t="s">
        <v>1768</v>
      </c>
      <c r="E1970" t="s">
        <v>154</v>
      </c>
    </row>
    <row r="1971" spans="1:5">
      <c r="A1971">
        <v>1969</v>
      </c>
      <c r="B1971" t="s">
        <v>2116</v>
      </c>
      <c r="C1971" t="s">
        <v>5670</v>
      </c>
      <c r="D1971" t="s">
        <v>1768</v>
      </c>
      <c r="E1971" t="s">
        <v>154</v>
      </c>
    </row>
    <row r="1972" spans="1:5">
      <c r="A1972">
        <v>1970</v>
      </c>
      <c r="B1972" t="s">
        <v>2117</v>
      </c>
      <c r="C1972" t="s">
        <v>5671</v>
      </c>
      <c r="D1972" t="s">
        <v>1768</v>
      </c>
      <c r="E1972" t="s">
        <v>154</v>
      </c>
    </row>
    <row r="1973" spans="1:5">
      <c r="A1973">
        <v>1971</v>
      </c>
      <c r="B1973" t="s">
        <v>2118</v>
      </c>
      <c r="C1973" t="s">
        <v>5672</v>
      </c>
      <c r="D1973" t="s">
        <v>1768</v>
      </c>
      <c r="E1973" t="s">
        <v>154</v>
      </c>
    </row>
    <row r="1974" spans="1:5">
      <c r="A1974">
        <v>1972</v>
      </c>
      <c r="B1974" t="s">
        <v>2119</v>
      </c>
      <c r="C1974" t="s">
        <v>5673</v>
      </c>
      <c r="D1974" t="s">
        <v>1768</v>
      </c>
      <c r="E1974" t="s">
        <v>154</v>
      </c>
    </row>
    <row r="1975" spans="1:5">
      <c r="A1975">
        <v>1973</v>
      </c>
      <c r="B1975" t="s">
        <v>2120</v>
      </c>
      <c r="C1975" t="s">
        <v>5674</v>
      </c>
      <c r="D1975" t="s">
        <v>1768</v>
      </c>
      <c r="E1975" t="s">
        <v>154</v>
      </c>
    </row>
    <row r="1976" spans="1:5">
      <c r="A1976">
        <v>1974</v>
      </c>
      <c r="B1976" t="s">
        <v>2121</v>
      </c>
      <c r="C1976" t="s">
        <v>5675</v>
      </c>
      <c r="D1976" t="s">
        <v>1768</v>
      </c>
      <c r="E1976" t="s">
        <v>154</v>
      </c>
    </row>
    <row r="1977" spans="1:5">
      <c r="A1977">
        <v>1975</v>
      </c>
      <c r="B1977" t="s">
        <v>2122</v>
      </c>
      <c r="C1977" t="s">
        <v>5676</v>
      </c>
      <c r="D1977" t="s">
        <v>1768</v>
      </c>
      <c r="E1977" t="s">
        <v>154</v>
      </c>
    </row>
    <row r="1978" spans="1:5">
      <c r="A1978">
        <v>1976</v>
      </c>
      <c r="B1978" t="s">
        <v>2123</v>
      </c>
      <c r="C1978" t="s">
        <v>5677</v>
      </c>
      <c r="D1978" t="s">
        <v>1768</v>
      </c>
      <c r="E1978" t="s">
        <v>154</v>
      </c>
    </row>
    <row r="1979" spans="1:5">
      <c r="A1979">
        <v>1977</v>
      </c>
      <c r="B1979" t="s">
        <v>2124</v>
      </c>
      <c r="C1979" t="s">
        <v>5678</v>
      </c>
      <c r="D1979" t="s">
        <v>1768</v>
      </c>
      <c r="E1979" t="s">
        <v>154</v>
      </c>
    </row>
    <row r="1980" spans="1:5">
      <c r="A1980">
        <v>1978</v>
      </c>
      <c r="B1980" t="s">
        <v>2125</v>
      </c>
      <c r="C1980" t="s">
        <v>5679</v>
      </c>
      <c r="D1980" t="s">
        <v>1768</v>
      </c>
      <c r="E1980" t="s">
        <v>154</v>
      </c>
    </row>
    <row r="1981" spans="1:5">
      <c r="A1981">
        <v>1979</v>
      </c>
      <c r="B1981" t="s">
        <v>2126</v>
      </c>
      <c r="C1981" t="s">
        <v>5680</v>
      </c>
      <c r="D1981" t="s">
        <v>1768</v>
      </c>
      <c r="E1981" t="s">
        <v>154</v>
      </c>
    </row>
    <row r="1982" spans="1:5">
      <c r="A1982">
        <v>1980</v>
      </c>
      <c r="B1982" t="s">
        <v>2127</v>
      </c>
      <c r="C1982" t="s">
        <v>5681</v>
      </c>
      <c r="D1982" t="s">
        <v>1768</v>
      </c>
      <c r="E1982" t="s">
        <v>154</v>
      </c>
    </row>
    <row r="1983" spans="1:5">
      <c r="A1983">
        <v>1981</v>
      </c>
      <c r="B1983" t="s">
        <v>2128</v>
      </c>
      <c r="C1983" t="s">
        <v>5682</v>
      </c>
      <c r="D1983" t="s">
        <v>1768</v>
      </c>
      <c r="E1983" t="s">
        <v>154</v>
      </c>
    </row>
    <row r="1984" spans="1:5">
      <c r="A1984">
        <v>1982</v>
      </c>
      <c r="B1984" t="s">
        <v>2129</v>
      </c>
      <c r="C1984" t="s">
        <v>5683</v>
      </c>
      <c r="D1984" t="s">
        <v>1768</v>
      </c>
      <c r="E1984" t="s">
        <v>154</v>
      </c>
    </row>
    <row r="1985" spans="1:5">
      <c r="A1985">
        <v>1983</v>
      </c>
      <c r="B1985" t="s">
        <v>2130</v>
      </c>
      <c r="C1985" t="s">
        <v>5684</v>
      </c>
      <c r="D1985" t="s">
        <v>1768</v>
      </c>
      <c r="E1985" t="s">
        <v>154</v>
      </c>
    </row>
    <row r="1986" spans="1:5">
      <c r="A1986">
        <v>1984</v>
      </c>
      <c r="B1986" t="s">
        <v>2131</v>
      </c>
      <c r="C1986" t="s">
        <v>5685</v>
      </c>
      <c r="D1986" t="s">
        <v>1768</v>
      </c>
      <c r="E1986" t="s">
        <v>154</v>
      </c>
    </row>
    <row r="1987" spans="1:5">
      <c r="A1987">
        <v>1985</v>
      </c>
      <c r="B1987" t="s">
        <v>2132</v>
      </c>
      <c r="C1987" t="s">
        <v>5686</v>
      </c>
      <c r="D1987" t="s">
        <v>1768</v>
      </c>
      <c r="E1987" t="s">
        <v>154</v>
      </c>
    </row>
    <row r="1988" spans="1:5">
      <c r="A1988">
        <v>1986</v>
      </c>
      <c r="B1988" t="s">
        <v>2133</v>
      </c>
      <c r="C1988" t="s">
        <v>5687</v>
      </c>
      <c r="D1988" t="s">
        <v>1768</v>
      </c>
      <c r="E1988" t="s">
        <v>154</v>
      </c>
    </row>
    <row r="1989" spans="1:5">
      <c r="A1989">
        <v>1987</v>
      </c>
      <c r="B1989" t="s">
        <v>2134</v>
      </c>
      <c r="C1989" t="s">
        <v>5688</v>
      </c>
      <c r="D1989" t="s">
        <v>1768</v>
      </c>
      <c r="E1989" t="s">
        <v>154</v>
      </c>
    </row>
    <row r="1990" spans="1:5">
      <c r="A1990">
        <v>1988</v>
      </c>
      <c r="B1990" t="s">
        <v>2135</v>
      </c>
      <c r="C1990" t="s">
        <v>5689</v>
      </c>
      <c r="D1990" t="s">
        <v>1768</v>
      </c>
      <c r="E1990" t="s">
        <v>154</v>
      </c>
    </row>
    <row r="1991" spans="1:5">
      <c r="A1991">
        <v>1989</v>
      </c>
      <c r="B1991" t="s">
        <v>2136</v>
      </c>
      <c r="C1991" t="s">
        <v>5690</v>
      </c>
      <c r="D1991" t="s">
        <v>1768</v>
      </c>
      <c r="E1991" t="s">
        <v>154</v>
      </c>
    </row>
    <row r="1992" spans="1:5">
      <c r="A1992">
        <v>1990</v>
      </c>
      <c r="B1992" t="s">
        <v>2137</v>
      </c>
      <c r="C1992" t="s">
        <v>5691</v>
      </c>
      <c r="D1992" t="s">
        <v>1768</v>
      </c>
      <c r="E1992" t="s">
        <v>154</v>
      </c>
    </row>
    <row r="1993" spans="1:5">
      <c r="A1993">
        <v>1991</v>
      </c>
      <c r="B1993" t="s">
        <v>2138</v>
      </c>
      <c r="C1993" t="s">
        <v>5692</v>
      </c>
      <c r="D1993" t="s">
        <v>1768</v>
      </c>
      <c r="E1993" t="s">
        <v>154</v>
      </c>
    </row>
    <row r="1994" spans="1:5">
      <c r="A1994">
        <v>1992</v>
      </c>
      <c r="B1994" t="s">
        <v>2139</v>
      </c>
      <c r="C1994" t="s">
        <v>5693</v>
      </c>
      <c r="D1994" t="s">
        <v>1768</v>
      </c>
      <c r="E1994" t="s">
        <v>154</v>
      </c>
    </row>
    <row r="1995" spans="1:5">
      <c r="A1995">
        <v>1993</v>
      </c>
      <c r="B1995" t="s">
        <v>2140</v>
      </c>
      <c r="C1995" t="s">
        <v>5694</v>
      </c>
      <c r="D1995" t="s">
        <v>1768</v>
      </c>
      <c r="E1995" t="s">
        <v>154</v>
      </c>
    </row>
    <row r="1996" spans="1:5">
      <c r="A1996">
        <v>1994</v>
      </c>
      <c r="B1996" t="s">
        <v>2141</v>
      </c>
      <c r="C1996" t="s">
        <v>5695</v>
      </c>
      <c r="D1996" t="s">
        <v>1768</v>
      </c>
      <c r="E1996" t="s">
        <v>154</v>
      </c>
    </row>
    <row r="1997" spans="1:5">
      <c r="A1997">
        <v>1995</v>
      </c>
      <c r="B1997" t="s">
        <v>2142</v>
      </c>
      <c r="C1997" t="s">
        <v>5696</v>
      </c>
      <c r="D1997" t="s">
        <v>1768</v>
      </c>
      <c r="E1997" t="s">
        <v>154</v>
      </c>
    </row>
    <row r="1998" spans="1:5">
      <c r="A1998">
        <v>1996</v>
      </c>
      <c r="B1998" t="s">
        <v>2143</v>
      </c>
      <c r="C1998" t="s">
        <v>5697</v>
      </c>
      <c r="D1998" t="s">
        <v>1768</v>
      </c>
      <c r="E1998" t="s">
        <v>154</v>
      </c>
    </row>
    <row r="1999" spans="1:5">
      <c r="A1999">
        <v>1997</v>
      </c>
      <c r="B1999" t="s">
        <v>2144</v>
      </c>
      <c r="C1999" t="s">
        <v>5698</v>
      </c>
      <c r="D1999" t="s">
        <v>1768</v>
      </c>
      <c r="E1999" t="s">
        <v>154</v>
      </c>
    </row>
    <row r="2000" spans="1:5">
      <c r="A2000">
        <v>1998</v>
      </c>
      <c r="B2000" t="s">
        <v>2145</v>
      </c>
      <c r="C2000" t="s">
        <v>5699</v>
      </c>
      <c r="D2000" t="s">
        <v>1768</v>
      </c>
      <c r="E2000" t="s">
        <v>154</v>
      </c>
    </row>
    <row r="2001" spans="1:5">
      <c r="A2001">
        <v>1999</v>
      </c>
      <c r="B2001" t="s">
        <v>2146</v>
      </c>
      <c r="C2001" t="s">
        <v>5700</v>
      </c>
      <c r="D2001" t="s">
        <v>1768</v>
      </c>
      <c r="E2001" t="s">
        <v>154</v>
      </c>
    </row>
    <row r="2002" spans="1:5">
      <c r="A2002">
        <v>2000</v>
      </c>
      <c r="B2002" t="s">
        <v>2147</v>
      </c>
      <c r="C2002" t="s">
        <v>7362</v>
      </c>
      <c r="D2002" t="s">
        <v>1768</v>
      </c>
      <c r="E2002" t="s">
        <v>154</v>
      </c>
    </row>
    <row r="2003" spans="1:5">
      <c r="A2003">
        <v>2001</v>
      </c>
      <c r="B2003" t="s">
        <v>2148</v>
      </c>
      <c r="C2003" t="s">
        <v>5701</v>
      </c>
      <c r="D2003" t="s">
        <v>1768</v>
      </c>
      <c r="E2003" t="s">
        <v>154</v>
      </c>
    </row>
    <row r="2004" spans="1:5">
      <c r="A2004">
        <v>2002</v>
      </c>
      <c r="B2004" t="s">
        <v>2149</v>
      </c>
      <c r="C2004" t="s">
        <v>5702</v>
      </c>
      <c r="D2004" t="s">
        <v>1768</v>
      </c>
      <c r="E2004" t="s">
        <v>154</v>
      </c>
    </row>
    <row r="2005" spans="1:5">
      <c r="A2005">
        <v>2003</v>
      </c>
      <c r="B2005" t="s">
        <v>2150</v>
      </c>
      <c r="C2005" t="s">
        <v>5703</v>
      </c>
      <c r="D2005" t="s">
        <v>1768</v>
      </c>
      <c r="E2005" t="s">
        <v>154</v>
      </c>
    </row>
    <row r="2006" spans="1:5">
      <c r="A2006">
        <v>2004</v>
      </c>
      <c r="B2006" t="s">
        <v>2151</v>
      </c>
      <c r="C2006" t="s">
        <v>5704</v>
      </c>
      <c r="D2006" t="s">
        <v>1768</v>
      </c>
      <c r="E2006" t="s">
        <v>154</v>
      </c>
    </row>
    <row r="2007" spans="1:5">
      <c r="A2007">
        <v>2005</v>
      </c>
      <c r="B2007" t="s">
        <v>2152</v>
      </c>
      <c r="C2007" t="s">
        <v>5705</v>
      </c>
      <c r="D2007" t="s">
        <v>1768</v>
      </c>
      <c r="E2007" t="s">
        <v>154</v>
      </c>
    </row>
    <row r="2008" spans="1:5">
      <c r="A2008">
        <v>2006</v>
      </c>
      <c r="B2008" t="s">
        <v>2153</v>
      </c>
      <c r="C2008" t="s">
        <v>5706</v>
      </c>
      <c r="D2008" t="s">
        <v>1768</v>
      </c>
      <c r="E2008" t="s">
        <v>154</v>
      </c>
    </row>
    <row r="2009" spans="1:5">
      <c r="A2009">
        <v>2007</v>
      </c>
      <c r="B2009" t="s">
        <v>2154</v>
      </c>
      <c r="C2009" t="s">
        <v>5707</v>
      </c>
      <c r="D2009" t="s">
        <v>1768</v>
      </c>
      <c r="E2009" t="s">
        <v>154</v>
      </c>
    </row>
    <row r="2010" spans="1:5">
      <c r="A2010">
        <v>2008</v>
      </c>
      <c r="B2010" t="s">
        <v>2155</v>
      </c>
      <c r="C2010" t="s">
        <v>5708</v>
      </c>
      <c r="D2010" t="s">
        <v>1768</v>
      </c>
      <c r="E2010" t="s">
        <v>154</v>
      </c>
    </row>
    <row r="2011" spans="1:5">
      <c r="A2011">
        <v>2009</v>
      </c>
      <c r="B2011" t="s">
        <v>2156</v>
      </c>
      <c r="C2011" t="s">
        <v>5709</v>
      </c>
      <c r="D2011" t="s">
        <v>1768</v>
      </c>
      <c r="E2011" t="s">
        <v>154</v>
      </c>
    </row>
    <row r="2012" spans="1:5">
      <c r="A2012">
        <v>2010</v>
      </c>
      <c r="B2012" t="s">
        <v>2157</v>
      </c>
      <c r="C2012" t="s">
        <v>5710</v>
      </c>
      <c r="D2012" t="s">
        <v>1768</v>
      </c>
      <c r="E2012" t="s">
        <v>154</v>
      </c>
    </row>
    <row r="2013" spans="1:5">
      <c r="A2013">
        <v>2011</v>
      </c>
      <c r="B2013" t="s">
        <v>2158</v>
      </c>
      <c r="C2013" t="s">
        <v>5711</v>
      </c>
      <c r="D2013" t="s">
        <v>1768</v>
      </c>
      <c r="E2013" t="s">
        <v>154</v>
      </c>
    </row>
    <row r="2014" spans="1:5">
      <c r="A2014">
        <v>2012</v>
      </c>
      <c r="B2014" t="s">
        <v>2159</v>
      </c>
      <c r="C2014" t="s">
        <v>5712</v>
      </c>
      <c r="D2014" t="s">
        <v>1768</v>
      </c>
      <c r="E2014" t="s">
        <v>154</v>
      </c>
    </row>
    <row r="2015" spans="1:5">
      <c r="A2015">
        <v>2013</v>
      </c>
      <c r="B2015" t="s">
        <v>1526</v>
      </c>
      <c r="C2015" t="s">
        <v>5086</v>
      </c>
      <c r="D2015" t="s">
        <v>1768</v>
      </c>
      <c r="E2015" t="s">
        <v>154</v>
      </c>
    </row>
    <row r="2016" spans="1:5">
      <c r="A2016">
        <v>2014</v>
      </c>
      <c r="B2016" t="s">
        <v>2160</v>
      </c>
      <c r="C2016" t="s">
        <v>5713</v>
      </c>
      <c r="D2016" t="s">
        <v>1768</v>
      </c>
      <c r="E2016" t="s">
        <v>154</v>
      </c>
    </row>
    <row r="2017" spans="1:5">
      <c r="A2017">
        <v>2015</v>
      </c>
      <c r="B2017" t="s">
        <v>2161</v>
      </c>
      <c r="C2017" t="s">
        <v>5714</v>
      </c>
      <c r="D2017" t="s">
        <v>1768</v>
      </c>
      <c r="E2017" t="s">
        <v>154</v>
      </c>
    </row>
    <row r="2018" spans="1:5">
      <c r="A2018">
        <v>2016</v>
      </c>
      <c r="B2018" t="s">
        <v>2162</v>
      </c>
      <c r="C2018" t="s">
        <v>5715</v>
      </c>
      <c r="D2018" t="s">
        <v>1768</v>
      </c>
      <c r="E2018" t="s">
        <v>154</v>
      </c>
    </row>
    <row r="2019" spans="1:5">
      <c r="A2019">
        <v>2017</v>
      </c>
      <c r="B2019" t="s">
        <v>2163</v>
      </c>
      <c r="C2019" t="s">
        <v>5716</v>
      </c>
      <c r="D2019" t="s">
        <v>1768</v>
      </c>
      <c r="E2019" t="s">
        <v>154</v>
      </c>
    </row>
    <row r="2020" spans="1:5">
      <c r="A2020">
        <v>2018</v>
      </c>
      <c r="B2020" t="s">
        <v>2164</v>
      </c>
      <c r="C2020" t="s">
        <v>5717</v>
      </c>
      <c r="D2020" t="s">
        <v>1768</v>
      </c>
      <c r="E2020" t="s">
        <v>154</v>
      </c>
    </row>
    <row r="2021" spans="1:5">
      <c r="A2021">
        <v>2019</v>
      </c>
      <c r="B2021" t="s">
        <v>2165</v>
      </c>
      <c r="C2021" t="s">
        <v>5718</v>
      </c>
      <c r="D2021" t="s">
        <v>1768</v>
      </c>
      <c r="E2021" t="s">
        <v>154</v>
      </c>
    </row>
    <row r="2022" spans="1:5">
      <c r="A2022">
        <v>2020</v>
      </c>
      <c r="B2022" t="s">
        <v>2166</v>
      </c>
      <c r="C2022" t="s">
        <v>5719</v>
      </c>
      <c r="D2022" t="s">
        <v>1768</v>
      </c>
      <c r="E2022" t="s">
        <v>154</v>
      </c>
    </row>
    <row r="2023" spans="1:5">
      <c r="A2023">
        <v>2021</v>
      </c>
      <c r="B2023" t="s">
        <v>2167</v>
      </c>
      <c r="C2023" t="s">
        <v>5720</v>
      </c>
      <c r="D2023" t="s">
        <v>1768</v>
      </c>
      <c r="E2023" t="s">
        <v>154</v>
      </c>
    </row>
    <row r="2024" spans="1:5">
      <c r="A2024">
        <v>2022</v>
      </c>
      <c r="B2024" t="s">
        <v>2168</v>
      </c>
      <c r="C2024" t="s">
        <v>5721</v>
      </c>
      <c r="D2024" t="s">
        <v>1768</v>
      </c>
      <c r="E2024" t="s">
        <v>154</v>
      </c>
    </row>
    <row r="2025" spans="1:5">
      <c r="A2025">
        <v>2023</v>
      </c>
      <c r="B2025" t="s">
        <v>2169</v>
      </c>
      <c r="C2025" t="s">
        <v>5722</v>
      </c>
      <c r="D2025" t="s">
        <v>1768</v>
      </c>
      <c r="E2025" t="s">
        <v>154</v>
      </c>
    </row>
    <row r="2026" spans="1:5">
      <c r="A2026">
        <v>2024</v>
      </c>
      <c r="B2026" t="s">
        <v>2170</v>
      </c>
      <c r="C2026" t="s">
        <v>5723</v>
      </c>
      <c r="D2026" t="s">
        <v>1768</v>
      </c>
      <c r="E2026" t="s">
        <v>154</v>
      </c>
    </row>
    <row r="2027" spans="1:5">
      <c r="A2027">
        <v>2025</v>
      </c>
      <c r="B2027" t="s">
        <v>2171</v>
      </c>
      <c r="C2027" t="s">
        <v>5724</v>
      </c>
      <c r="D2027" t="s">
        <v>1768</v>
      </c>
      <c r="E2027" t="s">
        <v>154</v>
      </c>
    </row>
    <row r="2028" spans="1:5">
      <c r="A2028">
        <v>2026</v>
      </c>
      <c r="B2028" t="s">
        <v>2172</v>
      </c>
      <c r="C2028" t="s">
        <v>5725</v>
      </c>
      <c r="D2028" t="s">
        <v>1768</v>
      </c>
      <c r="E2028" t="s">
        <v>154</v>
      </c>
    </row>
    <row r="2029" spans="1:5">
      <c r="A2029">
        <v>2027</v>
      </c>
      <c r="B2029" t="s">
        <v>2173</v>
      </c>
      <c r="C2029" t="s">
        <v>5726</v>
      </c>
      <c r="D2029" t="s">
        <v>1768</v>
      </c>
      <c r="E2029" t="s">
        <v>154</v>
      </c>
    </row>
    <row r="2030" spans="1:5">
      <c r="A2030">
        <v>2028</v>
      </c>
      <c r="B2030" t="s">
        <v>2174</v>
      </c>
      <c r="C2030" t="s">
        <v>5727</v>
      </c>
      <c r="D2030" t="s">
        <v>1768</v>
      </c>
      <c r="E2030" t="s">
        <v>154</v>
      </c>
    </row>
    <row r="2031" spans="1:5">
      <c r="A2031">
        <v>2029</v>
      </c>
      <c r="B2031" t="s">
        <v>2175</v>
      </c>
      <c r="C2031" t="s">
        <v>5728</v>
      </c>
      <c r="D2031" t="s">
        <v>1768</v>
      </c>
      <c r="E2031" t="s">
        <v>154</v>
      </c>
    </row>
    <row r="2032" spans="1:5">
      <c r="A2032">
        <v>2030</v>
      </c>
      <c r="B2032" t="s">
        <v>2176</v>
      </c>
      <c r="C2032" t="s">
        <v>5729</v>
      </c>
      <c r="D2032" t="s">
        <v>1768</v>
      </c>
      <c r="E2032" t="s">
        <v>154</v>
      </c>
    </row>
    <row r="2033" spans="1:5">
      <c r="A2033">
        <v>2031</v>
      </c>
      <c r="B2033" t="s">
        <v>2177</v>
      </c>
      <c r="C2033" t="s">
        <v>5730</v>
      </c>
      <c r="D2033" t="s">
        <v>1768</v>
      </c>
      <c r="E2033" t="s">
        <v>154</v>
      </c>
    </row>
    <row r="2034" spans="1:5">
      <c r="A2034">
        <v>2032</v>
      </c>
      <c r="B2034" t="s">
        <v>2178</v>
      </c>
      <c r="C2034" t="s">
        <v>5731</v>
      </c>
      <c r="D2034" t="s">
        <v>1768</v>
      </c>
      <c r="E2034" t="s">
        <v>154</v>
      </c>
    </row>
    <row r="2035" spans="1:5">
      <c r="A2035">
        <v>2033</v>
      </c>
      <c r="B2035" t="s">
        <v>2179</v>
      </c>
      <c r="C2035" t="s">
        <v>5732</v>
      </c>
      <c r="D2035" t="s">
        <v>1768</v>
      </c>
      <c r="E2035" t="s">
        <v>154</v>
      </c>
    </row>
    <row r="2036" spans="1:5">
      <c r="A2036">
        <v>2034</v>
      </c>
      <c r="B2036" t="s">
        <v>2180</v>
      </c>
      <c r="C2036" t="s">
        <v>5733</v>
      </c>
      <c r="D2036" t="s">
        <v>1768</v>
      </c>
      <c r="E2036" t="s">
        <v>154</v>
      </c>
    </row>
    <row r="2037" spans="1:5">
      <c r="A2037">
        <v>2035</v>
      </c>
      <c r="B2037" t="s">
        <v>2181</v>
      </c>
      <c r="C2037" t="s">
        <v>5734</v>
      </c>
      <c r="D2037" t="s">
        <v>1768</v>
      </c>
      <c r="E2037" t="s">
        <v>154</v>
      </c>
    </row>
    <row r="2038" spans="1:5">
      <c r="A2038">
        <v>2036</v>
      </c>
      <c r="B2038" t="s">
        <v>2182</v>
      </c>
      <c r="C2038" t="s">
        <v>5735</v>
      </c>
      <c r="D2038" t="s">
        <v>1768</v>
      </c>
      <c r="E2038" t="s">
        <v>154</v>
      </c>
    </row>
    <row r="2039" spans="1:5">
      <c r="A2039">
        <v>2037</v>
      </c>
      <c r="B2039" t="s">
        <v>2183</v>
      </c>
      <c r="C2039" t="s">
        <v>5736</v>
      </c>
      <c r="D2039" t="s">
        <v>1768</v>
      </c>
      <c r="E2039" t="s">
        <v>154</v>
      </c>
    </row>
    <row r="2040" spans="1:5">
      <c r="A2040">
        <v>2038</v>
      </c>
      <c r="B2040" t="s">
        <v>2184</v>
      </c>
      <c r="C2040" t="s">
        <v>5737</v>
      </c>
      <c r="D2040" t="s">
        <v>1768</v>
      </c>
      <c r="E2040" t="s">
        <v>154</v>
      </c>
    </row>
    <row r="2041" spans="1:5">
      <c r="A2041">
        <v>2039</v>
      </c>
      <c r="B2041" t="s">
        <v>2185</v>
      </c>
      <c r="C2041" t="s">
        <v>5738</v>
      </c>
      <c r="D2041" t="s">
        <v>1768</v>
      </c>
      <c r="E2041" t="s">
        <v>154</v>
      </c>
    </row>
    <row r="2042" spans="1:5">
      <c r="A2042">
        <v>2040</v>
      </c>
      <c r="B2042" t="s">
        <v>2186</v>
      </c>
      <c r="C2042" t="s">
        <v>5739</v>
      </c>
      <c r="D2042" t="s">
        <v>1768</v>
      </c>
      <c r="E2042" t="s">
        <v>154</v>
      </c>
    </row>
    <row r="2043" spans="1:5">
      <c r="A2043">
        <v>2041</v>
      </c>
      <c r="B2043" t="s">
        <v>2187</v>
      </c>
      <c r="C2043" t="s">
        <v>5740</v>
      </c>
      <c r="D2043" t="s">
        <v>1768</v>
      </c>
      <c r="E2043" t="s">
        <v>154</v>
      </c>
    </row>
    <row r="2044" spans="1:5">
      <c r="A2044">
        <v>2042</v>
      </c>
      <c r="B2044" t="s">
        <v>2188</v>
      </c>
      <c r="C2044" t="s">
        <v>5741</v>
      </c>
      <c r="D2044" t="s">
        <v>1768</v>
      </c>
      <c r="E2044" t="s">
        <v>154</v>
      </c>
    </row>
    <row r="2045" spans="1:5">
      <c r="A2045">
        <v>2043</v>
      </c>
      <c r="B2045" t="s">
        <v>2189</v>
      </c>
      <c r="C2045" t="s">
        <v>5742</v>
      </c>
      <c r="D2045" t="s">
        <v>1768</v>
      </c>
      <c r="E2045" t="s">
        <v>154</v>
      </c>
    </row>
    <row r="2046" spans="1:5">
      <c r="A2046">
        <v>2044</v>
      </c>
      <c r="B2046" t="s">
        <v>2190</v>
      </c>
      <c r="C2046" t="s">
        <v>5743</v>
      </c>
      <c r="D2046" t="s">
        <v>1768</v>
      </c>
      <c r="E2046" t="s">
        <v>154</v>
      </c>
    </row>
    <row r="2047" spans="1:5">
      <c r="A2047">
        <v>2045</v>
      </c>
      <c r="B2047" t="s">
        <v>2191</v>
      </c>
      <c r="C2047" t="s">
        <v>5744</v>
      </c>
      <c r="D2047" t="s">
        <v>1768</v>
      </c>
      <c r="E2047" t="s">
        <v>154</v>
      </c>
    </row>
    <row r="2048" spans="1:5">
      <c r="A2048">
        <v>2046</v>
      </c>
      <c r="B2048" t="s">
        <v>2192</v>
      </c>
      <c r="C2048" t="s">
        <v>5745</v>
      </c>
      <c r="D2048" t="s">
        <v>1768</v>
      </c>
      <c r="E2048" t="s">
        <v>154</v>
      </c>
    </row>
    <row r="2049" spans="1:5">
      <c r="A2049">
        <v>2047</v>
      </c>
      <c r="B2049" t="s">
        <v>2193</v>
      </c>
      <c r="C2049" t="s">
        <v>5746</v>
      </c>
      <c r="D2049" t="s">
        <v>1768</v>
      </c>
      <c r="E2049" t="s">
        <v>154</v>
      </c>
    </row>
    <row r="2050" spans="1:5">
      <c r="A2050">
        <v>2048</v>
      </c>
      <c r="B2050" t="s">
        <v>2194</v>
      </c>
      <c r="C2050" t="s">
        <v>5747</v>
      </c>
      <c r="D2050" t="s">
        <v>1768</v>
      </c>
      <c r="E2050" t="s">
        <v>154</v>
      </c>
    </row>
    <row r="2051" spans="1:5">
      <c r="A2051">
        <v>2049</v>
      </c>
      <c r="B2051" t="s">
        <v>2195</v>
      </c>
      <c r="C2051" t="s">
        <v>5748</v>
      </c>
      <c r="D2051" t="s">
        <v>1768</v>
      </c>
      <c r="E2051" t="s">
        <v>154</v>
      </c>
    </row>
    <row r="2052" spans="1:5">
      <c r="A2052">
        <v>2050</v>
      </c>
      <c r="B2052" t="s">
        <v>2196</v>
      </c>
      <c r="C2052" t="s">
        <v>5749</v>
      </c>
      <c r="D2052" t="s">
        <v>1768</v>
      </c>
      <c r="E2052" t="s">
        <v>154</v>
      </c>
    </row>
    <row r="2053" spans="1:5">
      <c r="A2053">
        <v>2051</v>
      </c>
      <c r="B2053" t="s">
        <v>2197</v>
      </c>
      <c r="C2053" t="s">
        <v>5750</v>
      </c>
      <c r="D2053" t="s">
        <v>1768</v>
      </c>
      <c r="E2053" t="s">
        <v>154</v>
      </c>
    </row>
    <row r="2054" spans="1:5">
      <c r="A2054">
        <v>2052</v>
      </c>
      <c r="B2054" t="s">
        <v>2198</v>
      </c>
      <c r="C2054" t="s">
        <v>5751</v>
      </c>
      <c r="D2054" t="s">
        <v>1768</v>
      </c>
      <c r="E2054" t="s">
        <v>154</v>
      </c>
    </row>
    <row r="2055" spans="1:5">
      <c r="A2055">
        <v>2053</v>
      </c>
      <c r="B2055" t="s">
        <v>2199</v>
      </c>
      <c r="C2055" t="s">
        <v>5752</v>
      </c>
      <c r="D2055" t="s">
        <v>1768</v>
      </c>
      <c r="E2055" t="s">
        <v>154</v>
      </c>
    </row>
    <row r="2056" spans="1:5">
      <c r="A2056">
        <v>2054</v>
      </c>
      <c r="B2056" t="s">
        <v>2200</v>
      </c>
      <c r="C2056" t="s">
        <v>5753</v>
      </c>
      <c r="D2056" t="s">
        <v>1768</v>
      </c>
      <c r="E2056" t="s">
        <v>154</v>
      </c>
    </row>
    <row r="2057" spans="1:5">
      <c r="A2057">
        <v>2055</v>
      </c>
      <c r="B2057" t="s">
        <v>2201</v>
      </c>
      <c r="C2057" t="s">
        <v>5754</v>
      </c>
      <c r="D2057" t="s">
        <v>1768</v>
      </c>
      <c r="E2057" t="s">
        <v>154</v>
      </c>
    </row>
    <row r="2058" spans="1:5">
      <c r="A2058">
        <v>2056</v>
      </c>
      <c r="B2058" t="s">
        <v>2202</v>
      </c>
      <c r="C2058" t="s">
        <v>5755</v>
      </c>
      <c r="D2058" t="s">
        <v>1768</v>
      </c>
      <c r="E2058" t="s">
        <v>154</v>
      </c>
    </row>
    <row r="2059" spans="1:5">
      <c r="A2059">
        <v>2057</v>
      </c>
      <c r="B2059" t="s">
        <v>2203</v>
      </c>
      <c r="C2059" t="s">
        <v>5756</v>
      </c>
      <c r="D2059" t="s">
        <v>1768</v>
      </c>
      <c r="E2059" t="s">
        <v>154</v>
      </c>
    </row>
    <row r="2060" spans="1:5">
      <c r="A2060">
        <v>2058</v>
      </c>
      <c r="B2060" t="s">
        <v>2204</v>
      </c>
      <c r="C2060" t="s">
        <v>5757</v>
      </c>
      <c r="D2060" t="s">
        <v>1768</v>
      </c>
      <c r="E2060" t="s">
        <v>154</v>
      </c>
    </row>
    <row r="2061" spans="1:5">
      <c r="A2061">
        <v>2059</v>
      </c>
      <c r="B2061" t="s">
        <v>2205</v>
      </c>
      <c r="C2061" t="s">
        <v>5758</v>
      </c>
      <c r="D2061" t="s">
        <v>1768</v>
      </c>
      <c r="E2061" t="s">
        <v>154</v>
      </c>
    </row>
    <row r="2062" spans="1:5">
      <c r="A2062">
        <v>2060</v>
      </c>
      <c r="B2062" t="s">
        <v>2206</v>
      </c>
      <c r="C2062" t="s">
        <v>5759</v>
      </c>
      <c r="D2062" t="s">
        <v>1768</v>
      </c>
      <c r="E2062" t="s">
        <v>154</v>
      </c>
    </row>
    <row r="2063" spans="1:5">
      <c r="A2063">
        <v>2061</v>
      </c>
      <c r="B2063" t="s">
        <v>2207</v>
      </c>
      <c r="C2063" t="s">
        <v>5760</v>
      </c>
      <c r="D2063" t="s">
        <v>1768</v>
      </c>
      <c r="E2063" t="s">
        <v>154</v>
      </c>
    </row>
    <row r="2064" spans="1:5">
      <c r="A2064">
        <v>2062</v>
      </c>
      <c r="B2064" t="s">
        <v>2208</v>
      </c>
      <c r="C2064" t="s">
        <v>5761</v>
      </c>
      <c r="D2064" t="s">
        <v>1768</v>
      </c>
      <c r="E2064" t="s">
        <v>154</v>
      </c>
    </row>
    <row r="2065" spans="1:5">
      <c r="A2065">
        <v>2063</v>
      </c>
      <c r="B2065" t="s">
        <v>2209</v>
      </c>
      <c r="C2065" t="s">
        <v>5762</v>
      </c>
      <c r="D2065" t="s">
        <v>1768</v>
      </c>
      <c r="E2065" t="s">
        <v>154</v>
      </c>
    </row>
    <row r="2066" spans="1:5">
      <c r="A2066">
        <v>2064</v>
      </c>
      <c r="B2066" t="s">
        <v>2210</v>
      </c>
      <c r="C2066" t="s">
        <v>7363</v>
      </c>
      <c r="D2066" t="s">
        <v>1768</v>
      </c>
      <c r="E2066" t="s">
        <v>154</v>
      </c>
    </row>
    <row r="2067" spans="1:5">
      <c r="A2067">
        <v>2065</v>
      </c>
      <c r="B2067" t="s">
        <v>2211</v>
      </c>
      <c r="C2067" t="s">
        <v>5763</v>
      </c>
      <c r="D2067" t="s">
        <v>1768</v>
      </c>
      <c r="E2067" t="s">
        <v>154</v>
      </c>
    </row>
    <row r="2068" spans="1:5">
      <c r="A2068">
        <v>2066</v>
      </c>
      <c r="B2068" t="s">
        <v>2212</v>
      </c>
      <c r="C2068" t="s">
        <v>5764</v>
      </c>
      <c r="D2068" t="s">
        <v>1768</v>
      </c>
      <c r="E2068" t="s">
        <v>154</v>
      </c>
    </row>
    <row r="2069" spans="1:5">
      <c r="A2069">
        <v>2067</v>
      </c>
      <c r="B2069" t="s">
        <v>2213</v>
      </c>
      <c r="C2069" t="s">
        <v>5765</v>
      </c>
      <c r="D2069" t="s">
        <v>1768</v>
      </c>
      <c r="E2069" t="s">
        <v>154</v>
      </c>
    </row>
    <row r="2070" spans="1:5">
      <c r="A2070">
        <v>2068</v>
      </c>
      <c r="B2070" t="s">
        <v>2214</v>
      </c>
      <c r="C2070" t="s">
        <v>5766</v>
      </c>
      <c r="D2070" t="s">
        <v>1768</v>
      </c>
      <c r="E2070" t="s">
        <v>154</v>
      </c>
    </row>
    <row r="2071" spans="1:5">
      <c r="A2071">
        <v>2069</v>
      </c>
      <c r="B2071" t="s">
        <v>2215</v>
      </c>
      <c r="C2071" t="s">
        <v>5767</v>
      </c>
      <c r="D2071" t="s">
        <v>1768</v>
      </c>
      <c r="E2071" t="s">
        <v>154</v>
      </c>
    </row>
    <row r="2072" spans="1:5">
      <c r="A2072">
        <v>2070</v>
      </c>
      <c r="B2072" t="s">
        <v>2216</v>
      </c>
      <c r="C2072" t="s">
        <v>5768</v>
      </c>
      <c r="D2072" t="s">
        <v>1768</v>
      </c>
      <c r="E2072" t="s">
        <v>154</v>
      </c>
    </row>
    <row r="2073" spans="1:5">
      <c r="A2073">
        <v>2071</v>
      </c>
      <c r="B2073" t="s">
        <v>2217</v>
      </c>
      <c r="C2073" t="s">
        <v>5769</v>
      </c>
      <c r="D2073" t="s">
        <v>1768</v>
      </c>
      <c r="E2073" t="s">
        <v>154</v>
      </c>
    </row>
    <row r="2074" spans="1:5">
      <c r="A2074">
        <v>2072</v>
      </c>
      <c r="B2074" t="s">
        <v>2218</v>
      </c>
      <c r="C2074" t="s">
        <v>5770</v>
      </c>
      <c r="D2074" t="s">
        <v>1768</v>
      </c>
      <c r="E2074" t="s">
        <v>154</v>
      </c>
    </row>
    <row r="2075" spans="1:5">
      <c r="A2075">
        <v>2073</v>
      </c>
      <c r="B2075" t="s">
        <v>2219</v>
      </c>
      <c r="C2075" t="s">
        <v>5771</v>
      </c>
      <c r="D2075" t="s">
        <v>1768</v>
      </c>
      <c r="E2075" t="s">
        <v>154</v>
      </c>
    </row>
    <row r="2076" spans="1:5">
      <c r="A2076">
        <v>2074</v>
      </c>
      <c r="B2076" t="s">
        <v>2220</v>
      </c>
      <c r="C2076" t="s">
        <v>5772</v>
      </c>
      <c r="D2076" t="s">
        <v>1768</v>
      </c>
      <c r="E2076" t="s">
        <v>154</v>
      </c>
    </row>
    <row r="2077" spans="1:5">
      <c r="A2077">
        <v>2075</v>
      </c>
      <c r="B2077" t="s">
        <v>2221</v>
      </c>
      <c r="C2077" t="s">
        <v>5773</v>
      </c>
      <c r="D2077" t="s">
        <v>1768</v>
      </c>
      <c r="E2077" t="s">
        <v>154</v>
      </c>
    </row>
    <row r="2078" spans="1:5">
      <c r="A2078">
        <v>2076</v>
      </c>
      <c r="B2078" t="s">
        <v>2222</v>
      </c>
      <c r="C2078" t="s">
        <v>5774</v>
      </c>
      <c r="D2078" t="s">
        <v>1768</v>
      </c>
      <c r="E2078" t="s">
        <v>154</v>
      </c>
    </row>
    <row r="2079" spans="1:5">
      <c r="A2079">
        <v>2077</v>
      </c>
      <c r="B2079" t="s">
        <v>2223</v>
      </c>
      <c r="C2079" t="s">
        <v>5775</v>
      </c>
      <c r="D2079" t="s">
        <v>1768</v>
      </c>
      <c r="E2079" t="s">
        <v>154</v>
      </c>
    </row>
    <row r="2080" spans="1:5">
      <c r="A2080">
        <v>2078</v>
      </c>
      <c r="B2080" t="s">
        <v>2224</v>
      </c>
      <c r="C2080" t="s">
        <v>5776</v>
      </c>
      <c r="D2080" t="s">
        <v>1768</v>
      </c>
      <c r="E2080" t="s">
        <v>154</v>
      </c>
    </row>
    <row r="2081" spans="1:5">
      <c r="A2081">
        <v>2079</v>
      </c>
      <c r="B2081" t="s">
        <v>2225</v>
      </c>
      <c r="C2081" t="s">
        <v>5777</v>
      </c>
      <c r="D2081" t="s">
        <v>1768</v>
      </c>
      <c r="E2081" t="s">
        <v>154</v>
      </c>
    </row>
    <row r="2082" spans="1:5">
      <c r="A2082">
        <v>2080</v>
      </c>
      <c r="B2082" t="s">
        <v>2226</v>
      </c>
      <c r="C2082" t="s">
        <v>5778</v>
      </c>
      <c r="D2082" t="s">
        <v>1768</v>
      </c>
      <c r="E2082" t="s">
        <v>154</v>
      </c>
    </row>
    <row r="2083" spans="1:5">
      <c r="A2083">
        <v>2081</v>
      </c>
      <c r="B2083" t="s">
        <v>2227</v>
      </c>
      <c r="C2083" t="s">
        <v>5779</v>
      </c>
      <c r="D2083" t="s">
        <v>1768</v>
      </c>
      <c r="E2083" t="s">
        <v>154</v>
      </c>
    </row>
    <row r="2084" spans="1:5">
      <c r="A2084">
        <v>2082</v>
      </c>
      <c r="B2084" t="s">
        <v>2228</v>
      </c>
      <c r="C2084" t="s">
        <v>5780</v>
      </c>
      <c r="D2084" t="s">
        <v>1768</v>
      </c>
      <c r="E2084" t="s">
        <v>154</v>
      </c>
    </row>
    <row r="2085" spans="1:5">
      <c r="A2085">
        <v>2083</v>
      </c>
      <c r="B2085" t="s">
        <v>2229</v>
      </c>
      <c r="C2085" t="s">
        <v>5781</v>
      </c>
      <c r="D2085" t="s">
        <v>1768</v>
      </c>
      <c r="E2085" t="s">
        <v>154</v>
      </c>
    </row>
    <row r="2086" spans="1:5">
      <c r="A2086">
        <v>2084</v>
      </c>
      <c r="B2086" t="s">
        <v>2230</v>
      </c>
      <c r="C2086" t="s">
        <v>5782</v>
      </c>
      <c r="D2086" t="s">
        <v>1768</v>
      </c>
      <c r="E2086" t="s">
        <v>154</v>
      </c>
    </row>
    <row r="2087" spans="1:5">
      <c r="A2087">
        <v>2085</v>
      </c>
      <c r="B2087" t="s">
        <v>2231</v>
      </c>
      <c r="C2087" t="s">
        <v>5783</v>
      </c>
      <c r="D2087" t="s">
        <v>1768</v>
      </c>
      <c r="E2087" t="s">
        <v>154</v>
      </c>
    </row>
    <row r="2088" spans="1:5">
      <c r="A2088">
        <v>2086</v>
      </c>
      <c r="B2088" t="s">
        <v>2232</v>
      </c>
      <c r="C2088" t="s">
        <v>5784</v>
      </c>
      <c r="D2088" t="s">
        <v>1768</v>
      </c>
      <c r="E2088" t="s">
        <v>154</v>
      </c>
    </row>
    <row r="2089" spans="1:5">
      <c r="A2089">
        <v>2087</v>
      </c>
      <c r="B2089" t="s">
        <v>2233</v>
      </c>
      <c r="C2089" t="s">
        <v>5785</v>
      </c>
      <c r="D2089" t="s">
        <v>1768</v>
      </c>
      <c r="E2089" t="s">
        <v>154</v>
      </c>
    </row>
    <row r="2090" spans="1:5">
      <c r="A2090">
        <v>2088</v>
      </c>
      <c r="B2090" t="s">
        <v>2234</v>
      </c>
      <c r="C2090" t="s">
        <v>5786</v>
      </c>
      <c r="D2090" t="s">
        <v>1768</v>
      </c>
      <c r="E2090" t="s">
        <v>154</v>
      </c>
    </row>
    <row r="2091" spans="1:5">
      <c r="A2091">
        <v>2089</v>
      </c>
      <c r="B2091" t="s">
        <v>2235</v>
      </c>
      <c r="C2091" t="s">
        <v>5787</v>
      </c>
      <c r="D2091" t="s">
        <v>1768</v>
      </c>
      <c r="E2091" t="s">
        <v>154</v>
      </c>
    </row>
    <row r="2092" spans="1:5">
      <c r="A2092">
        <v>2090</v>
      </c>
      <c r="B2092" t="s">
        <v>2236</v>
      </c>
      <c r="C2092" t="s">
        <v>5788</v>
      </c>
      <c r="D2092" t="s">
        <v>1768</v>
      </c>
      <c r="E2092" t="s">
        <v>154</v>
      </c>
    </row>
    <row r="2093" spans="1:5">
      <c r="A2093">
        <v>2091</v>
      </c>
      <c r="B2093" t="s">
        <v>2237</v>
      </c>
      <c r="C2093" t="s">
        <v>5789</v>
      </c>
      <c r="D2093" t="s">
        <v>1768</v>
      </c>
      <c r="E2093" t="s">
        <v>154</v>
      </c>
    </row>
    <row r="2094" spans="1:5">
      <c r="A2094">
        <v>2092</v>
      </c>
      <c r="B2094" t="s">
        <v>2238</v>
      </c>
      <c r="C2094" t="s">
        <v>5790</v>
      </c>
      <c r="D2094" t="s">
        <v>1768</v>
      </c>
      <c r="E2094" t="s">
        <v>154</v>
      </c>
    </row>
    <row r="2095" spans="1:5">
      <c r="A2095">
        <v>2093</v>
      </c>
      <c r="B2095" t="s">
        <v>2239</v>
      </c>
      <c r="C2095" t="s">
        <v>5791</v>
      </c>
      <c r="D2095" t="s">
        <v>1768</v>
      </c>
      <c r="E2095" t="s">
        <v>154</v>
      </c>
    </row>
    <row r="2096" spans="1:5">
      <c r="A2096">
        <v>2094</v>
      </c>
      <c r="B2096" t="s">
        <v>2240</v>
      </c>
      <c r="C2096" t="s">
        <v>5792</v>
      </c>
      <c r="D2096" t="s">
        <v>1768</v>
      </c>
      <c r="E2096" t="s">
        <v>154</v>
      </c>
    </row>
    <row r="2097" spans="1:5">
      <c r="A2097">
        <v>2095</v>
      </c>
      <c r="B2097" t="s">
        <v>2241</v>
      </c>
      <c r="C2097" t="s">
        <v>5793</v>
      </c>
      <c r="D2097" t="s">
        <v>1768</v>
      </c>
      <c r="E2097" t="s">
        <v>154</v>
      </c>
    </row>
    <row r="2098" spans="1:5">
      <c r="A2098">
        <v>2096</v>
      </c>
      <c r="B2098" t="s">
        <v>2242</v>
      </c>
      <c r="C2098" t="s">
        <v>5794</v>
      </c>
      <c r="D2098" t="s">
        <v>1768</v>
      </c>
      <c r="E2098" t="s">
        <v>154</v>
      </c>
    </row>
    <row r="2099" spans="1:5">
      <c r="A2099">
        <v>2097</v>
      </c>
      <c r="B2099" t="s">
        <v>2243</v>
      </c>
      <c r="C2099" t="s">
        <v>5795</v>
      </c>
      <c r="D2099" t="s">
        <v>1768</v>
      </c>
      <c r="E2099" t="s">
        <v>154</v>
      </c>
    </row>
    <row r="2100" spans="1:5">
      <c r="A2100">
        <v>2098</v>
      </c>
      <c r="B2100" t="s">
        <v>2244</v>
      </c>
      <c r="C2100" t="s">
        <v>5796</v>
      </c>
      <c r="D2100" t="s">
        <v>1768</v>
      </c>
      <c r="E2100" t="s">
        <v>154</v>
      </c>
    </row>
    <row r="2101" spans="1:5">
      <c r="A2101">
        <v>2099</v>
      </c>
      <c r="B2101" t="s">
        <v>2245</v>
      </c>
      <c r="C2101" t="s">
        <v>5797</v>
      </c>
      <c r="D2101" t="s">
        <v>1768</v>
      </c>
      <c r="E2101" t="s">
        <v>154</v>
      </c>
    </row>
    <row r="2102" spans="1:5">
      <c r="A2102">
        <v>2100</v>
      </c>
      <c r="B2102" t="s">
        <v>2246</v>
      </c>
      <c r="C2102" t="s">
        <v>5798</v>
      </c>
      <c r="D2102" t="s">
        <v>1768</v>
      </c>
      <c r="E2102" t="s">
        <v>154</v>
      </c>
    </row>
    <row r="2103" spans="1:5">
      <c r="A2103">
        <v>2101</v>
      </c>
      <c r="B2103" t="s">
        <v>2247</v>
      </c>
      <c r="C2103" t="s">
        <v>5799</v>
      </c>
      <c r="D2103" t="s">
        <v>1768</v>
      </c>
      <c r="E2103" t="s">
        <v>154</v>
      </c>
    </row>
    <row r="2104" spans="1:5">
      <c r="A2104">
        <v>2102</v>
      </c>
      <c r="B2104" t="s">
        <v>2248</v>
      </c>
      <c r="C2104" t="s">
        <v>5800</v>
      </c>
      <c r="D2104" t="s">
        <v>1768</v>
      </c>
      <c r="E2104" t="s">
        <v>154</v>
      </c>
    </row>
    <row r="2105" spans="1:5">
      <c r="A2105">
        <v>2103</v>
      </c>
      <c r="B2105" t="s">
        <v>1650</v>
      </c>
      <c r="C2105" t="s">
        <v>5210</v>
      </c>
      <c r="D2105" t="s">
        <v>1768</v>
      </c>
      <c r="E2105" t="s">
        <v>154</v>
      </c>
    </row>
    <row r="2106" spans="1:5">
      <c r="A2106">
        <v>2104</v>
      </c>
      <c r="B2106" t="s">
        <v>2249</v>
      </c>
      <c r="C2106" t="s">
        <v>5801</v>
      </c>
      <c r="D2106" t="s">
        <v>1768</v>
      </c>
      <c r="E2106" t="s">
        <v>154</v>
      </c>
    </row>
    <row r="2107" spans="1:5">
      <c r="A2107">
        <v>2105</v>
      </c>
      <c r="B2107" t="s">
        <v>2250</v>
      </c>
      <c r="C2107" t="s">
        <v>5802</v>
      </c>
      <c r="D2107" t="s">
        <v>1768</v>
      </c>
      <c r="E2107" t="s">
        <v>154</v>
      </c>
    </row>
    <row r="2108" spans="1:5">
      <c r="A2108">
        <v>2106</v>
      </c>
      <c r="B2108" t="s">
        <v>2251</v>
      </c>
      <c r="C2108" t="s">
        <v>5803</v>
      </c>
      <c r="D2108" t="s">
        <v>1768</v>
      </c>
      <c r="E2108" t="s">
        <v>154</v>
      </c>
    </row>
    <row r="2109" spans="1:5">
      <c r="A2109">
        <v>2107</v>
      </c>
      <c r="B2109" t="s">
        <v>2252</v>
      </c>
      <c r="C2109" t="s">
        <v>5804</v>
      </c>
      <c r="D2109" t="s">
        <v>1768</v>
      </c>
      <c r="E2109" t="s">
        <v>154</v>
      </c>
    </row>
    <row r="2110" spans="1:5">
      <c r="A2110">
        <v>2108</v>
      </c>
      <c r="B2110" t="s">
        <v>2253</v>
      </c>
      <c r="C2110" t="s">
        <v>5805</v>
      </c>
      <c r="D2110" t="s">
        <v>1768</v>
      </c>
      <c r="E2110" t="s">
        <v>154</v>
      </c>
    </row>
    <row r="2111" spans="1:5">
      <c r="A2111">
        <v>2109</v>
      </c>
      <c r="B2111" t="s">
        <v>2254</v>
      </c>
      <c r="C2111" t="s">
        <v>5806</v>
      </c>
      <c r="D2111" t="s">
        <v>1768</v>
      </c>
      <c r="E2111" t="s">
        <v>154</v>
      </c>
    </row>
    <row r="2112" spans="1:5">
      <c r="A2112">
        <v>2110</v>
      </c>
      <c r="B2112" t="s">
        <v>7364</v>
      </c>
      <c r="C2112" t="s">
        <v>7365</v>
      </c>
      <c r="D2112" t="s">
        <v>1768</v>
      </c>
      <c r="E2112" t="s">
        <v>154</v>
      </c>
    </row>
    <row r="2113" spans="1:5">
      <c r="A2113">
        <v>2111</v>
      </c>
      <c r="B2113" t="s">
        <v>2255</v>
      </c>
      <c r="C2113" t="s">
        <v>5807</v>
      </c>
      <c r="D2113" t="s">
        <v>1768</v>
      </c>
      <c r="E2113" t="s">
        <v>154</v>
      </c>
    </row>
    <row r="2114" spans="1:5">
      <c r="A2114">
        <v>2112</v>
      </c>
      <c r="B2114" t="s">
        <v>2256</v>
      </c>
      <c r="C2114" t="s">
        <v>5808</v>
      </c>
      <c r="D2114" t="s">
        <v>1768</v>
      </c>
      <c r="E2114" t="s">
        <v>154</v>
      </c>
    </row>
    <row r="2115" spans="1:5">
      <c r="A2115">
        <v>2113</v>
      </c>
      <c r="B2115" t="s">
        <v>2257</v>
      </c>
      <c r="C2115" t="s">
        <v>5809</v>
      </c>
      <c r="D2115" t="s">
        <v>1768</v>
      </c>
      <c r="E2115" t="s">
        <v>154</v>
      </c>
    </row>
    <row r="2116" spans="1:5">
      <c r="A2116">
        <v>2114</v>
      </c>
      <c r="B2116" t="s">
        <v>2258</v>
      </c>
      <c r="C2116" t="s">
        <v>5810</v>
      </c>
      <c r="D2116" t="s">
        <v>1768</v>
      </c>
      <c r="E2116" t="s">
        <v>154</v>
      </c>
    </row>
    <row r="2117" spans="1:5">
      <c r="A2117">
        <v>2115</v>
      </c>
      <c r="B2117" t="s">
        <v>2259</v>
      </c>
      <c r="C2117" t="s">
        <v>5811</v>
      </c>
      <c r="D2117" t="s">
        <v>1768</v>
      </c>
      <c r="E2117" t="s">
        <v>154</v>
      </c>
    </row>
    <row r="2118" spans="1:5">
      <c r="A2118">
        <v>2116</v>
      </c>
      <c r="B2118" t="s">
        <v>2260</v>
      </c>
      <c r="C2118" t="s">
        <v>5812</v>
      </c>
      <c r="D2118" t="s">
        <v>1768</v>
      </c>
      <c r="E2118" t="s">
        <v>154</v>
      </c>
    </row>
    <row r="2119" spans="1:5">
      <c r="A2119">
        <v>2117</v>
      </c>
      <c r="B2119" t="s">
        <v>2261</v>
      </c>
      <c r="C2119" t="s">
        <v>5813</v>
      </c>
      <c r="D2119" t="s">
        <v>1768</v>
      </c>
      <c r="E2119" t="s">
        <v>154</v>
      </c>
    </row>
    <row r="2120" spans="1:5">
      <c r="A2120">
        <v>2118</v>
      </c>
      <c r="B2120" t="s">
        <v>2262</v>
      </c>
      <c r="C2120" t="s">
        <v>5814</v>
      </c>
      <c r="D2120" t="s">
        <v>1768</v>
      </c>
      <c r="E2120" t="s">
        <v>154</v>
      </c>
    </row>
    <row r="2121" spans="1:5">
      <c r="A2121">
        <v>2119</v>
      </c>
      <c r="B2121" t="s">
        <v>2263</v>
      </c>
      <c r="C2121" t="s">
        <v>5815</v>
      </c>
      <c r="D2121" t="s">
        <v>1768</v>
      </c>
      <c r="E2121" t="s">
        <v>154</v>
      </c>
    </row>
    <row r="2122" spans="1:5">
      <c r="A2122">
        <v>2120</v>
      </c>
      <c r="B2122" t="s">
        <v>2264</v>
      </c>
      <c r="C2122" t="s">
        <v>5816</v>
      </c>
      <c r="D2122" t="s">
        <v>1768</v>
      </c>
      <c r="E2122" t="s">
        <v>154</v>
      </c>
    </row>
    <row r="2123" spans="1:5">
      <c r="A2123">
        <v>2121</v>
      </c>
      <c r="B2123" t="s">
        <v>2265</v>
      </c>
      <c r="C2123" t="s">
        <v>5817</v>
      </c>
      <c r="D2123" t="s">
        <v>1768</v>
      </c>
      <c r="E2123" t="s">
        <v>154</v>
      </c>
    </row>
    <row r="2124" spans="1:5">
      <c r="A2124">
        <v>2122</v>
      </c>
      <c r="B2124" t="s">
        <v>2266</v>
      </c>
      <c r="C2124" t="s">
        <v>5818</v>
      </c>
      <c r="D2124" t="s">
        <v>1768</v>
      </c>
      <c r="E2124" t="s">
        <v>154</v>
      </c>
    </row>
    <row r="2125" spans="1:5">
      <c r="A2125">
        <v>2123</v>
      </c>
      <c r="B2125" t="s">
        <v>2267</v>
      </c>
      <c r="C2125" t="s">
        <v>5819</v>
      </c>
      <c r="D2125" t="s">
        <v>1768</v>
      </c>
      <c r="E2125" t="s">
        <v>154</v>
      </c>
    </row>
    <row r="2126" spans="1:5">
      <c r="A2126">
        <v>2124</v>
      </c>
      <c r="B2126" t="s">
        <v>2268</v>
      </c>
      <c r="C2126" t="s">
        <v>5820</v>
      </c>
      <c r="D2126" t="s">
        <v>1768</v>
      </c>
      <c r="E2126" t="s">
        <v>154</v>
      </c>
    </row>
    <row r="2127" spans="1:5">
      <c r="A2127">
        <v>2125</v>
      </c>
      <c r="B2127" t="s">
        <v>2269</v>
      </c>
      <c r="C2127" t="s">
        <v>5821</v>
      </c>
      <c r="D2127" t="s">
        <v>1768</v>
      </c>
      <c r="E2127" t="s">
        <v>154</v>
      </c>
    </row>
    <row r="2128" spans="1:5">
      <c r="A2128">
        <v>2126</v>
      </c>
      <c r="B2128" t="s">
        <v>2270</v>
      </c>
      <c r="C2128" t="s">
        <v>5822</v>
      </c>
      <c r="D2128" t="s">
        <v>1768</v>
      </c>
      <c r="E2128" t="s">
        <v>154</v>
      </c>
    </row>
    <row r="2129" spans="1:5">
      <c r="A2129">
        <v>2127</v>
      </c>
      <c r="B2129" t="s">
        <v>2271</v>
      </c>
      <c r="C2129" t="s">
        <v>5823</v>
      </c>
      <c r="D2129" t="s">
        <v>1768</v>
      </c>
      <c r="E2129" t="s">
        <v>154</v>
      </c>
    </row>
    <row r="2130" spans="1:5">
      <c r="A2130">
        <v>2128</v>
      </c>
      <c r="B2130" t="s">
        <v>2272</v>
      </c>
      <c r="C2130" t="s">
        <v>5824</v>
      </c>
      <c r="D2130" t="s">
        <v>1768</v>
      </c>
      <c r="E2130" t="s">
        <v>154</v>
      </c>
    </row>
    <row r="2131" spans="1:5">
      <c r="A2131">
        <v>2129</v>
      </c>
      <c r="B2131" t="s">
        <v>2273</v>
      </c>
      <c r="C2131" t="s">
        <v>5825</v>
      </c>
      <c r="D2131" t="s">
        <v>1768</v>
      </c>
      <c r="E2131" t="s">
        <v>154</v>
      </c>
    </row>
    <row r="2132" spans="1:5">
      <c r="A2132">
        <v>2130</v>
      </c>
      <c r="B2132" t="s">
        <v>2274</v>
      </c>
      <c r="C2132" t="s">
        <v>5826</v>
      </c>
      <c r="D2132" t="s">
        <v>1768</v>
      </c>
      <c r="E2132" t="s">
        <v>154</v>
      </c>
    </row>
    <row r="2133" spans="1:5">
      <c r="A2133">
        <v>2131</v>
      </c>
      <c r="B2133" t="s">
        <v>2275</v>
      </c>
      <c r="C2133" t="s">
        <v>5827</v>
      </c>
      <c r="D2133" t="s">
        <v>1768</v>
      </c>
      <c r="E2133" t="s">
        <v>154</v>
      </c>
    </row>
    <row r="2134" spans="1:5">
      <c r="A2134">
        <v>2132</v>
      </c>
      <c r="B2134" t="s">
        <v>2276</v>
      </c>
      <c r="C2134" t="s">
        <v>5828</v>
      </c>
      <c r="D2134" t="s">
        <v>1768</v>
      </c>
      <c r="E2134" t="s">
        <v>154</v>
      </c>
    </row>
    <row r="2135" spans="1:5">
      <c r="A2135">
        <v>2133</v>
      </c>
      <c r="B2135" t="s">
        <v>2277</v>
      </c>
      <c r="C2135" t="s">
        <v>5829</v>
      </c>
      <c r="D2135" t="s">
        <v>1768</v>
      </c>
      <c r="E2135" t="s">
        <v>154</v>
      </c>
    </row>
    <row r="2136" spans="1:5">
      <c r="A2136">
        <v>2134</v>
      </c>
      <c r="B2136" t="s">
        <v>2278</v>
      </c>
      <c r="C2136" t="s">
        <v>5830</v>
      </c>
      <c r="D2136" t="s">
        <v>1768</v>
      </c>
      <c r="E2136" t="s">
        <v>154</v>
      </c>
    </row>
    <row r="2137" spans="1:5">
      <c r="A2137">
        <v>2135</v>
      </c>
      <c r="B2137" t="s">
        <v>2279</v>
      </c>
      <c r="C2137" t="s">
        <v>5831</v>
      </c>
      <c r="D2137" t="s">
        <v>1768</v>
      </c>
      <c r="E2137" t="s">
        <v>154</v>
      </c>
    </row>
    <row r="2138" spans="1:5">
      <c r="A2138">
        <v>2136</v>
      </c>
      <c r="B2138" t="s">
        <v>2280</v>
      </c>
      <c r="C2138" t="s">
        <v>5832</v>
      </c>
      <c r="D2138" t="s">
        <v>1768</v>
      </c>
      <c r="E2138" t="s">
        <v>154</v>
      </c>
    </row>
    <row r="2139" spans="1:5">
      <c r="A2139">
        <v>2137</v>
      </c>
      <c r="B2139" t="s">
        <v>2281</v>
      </c>
      <c r="C2139" t="s">
        <v>5833</v>
      </c>
      <c r="D2139" t="s">
        <v>1768</v>
      </c>
      <c r="E2139" t="s">
        <v>154</v>
      </c>
    </row>
    <row r="2140" spans="1:5">
      <c r="A2140">
        <v>2138</v>
      </c>
      <c r="B2140" t="s">
        <v>2282</v>
      </c>
      <c r="C2140" t="s">
        <v>5834</v>
      </c>
      <c r="D2140" t="s">
        <v>1768</v>
      </c>
      <c r="E2140" t="s">
        <v>154</v>
      </c>
    </row>
    <row r="2141" spans="1:5">
      <c r="A2141">
        <v>2139</v>
      </c>
      <c r="B2141" t="s">
        <v>2283</v>
      </c>
      <c r="C2141" t="s">
        <v>5835</v>
      </c>
      <c r="D2141" t="s">
        <v>1768</v>
      </c>
      <c r="E2141" t="s">
        <v>154</v>
      </c>
    </row>
    <row r="2142" spans="1:5">
      <c r="A2142">
        <v>2140</v>
      </c>
      <c r="B2142" t="s">
        <v>2284</v>
      </c>
      <c r="C2142" t="s">
        <v>5836</v>
      </c>
      <c r="D2142" t="s">
        <v>1768</v>
      </c>
      <c r="E2142" t="s">
        <v>154</v>
      </c>
    </row>
    <row r="2143" spans="1:5">
      <c r="A2143">
        <v>2141</v>
      </c>
      <c r="B2143" t="s">
        <v>2285</v>
      </c>
      <c r="C2143" t="s">
        <v>5837</v>
      </c>
      <c r="D2143" t="s">
        <v>1768</v>
      </c>
      <c r="E2143" t="s">
        <v>154</v>
      </c>
    </row>
    <row r="2144" spans="1:5">
      <c r="A2144">
        <v>2142</v>
      </c>
      <c r="B2144" t="s">
        <v>2286</v>
      </c>
      <c r="C2144" t="s">
        <v>5838</v>
      </c>
      <c r="D2144" t="s">
        <v>1768</v>
      </c>
      <c r="E2144" t="s">
        <v>154</v>
      </c>
    </row>
    <row r="2145" spans="1:5">
      <c r="A2145">
        <v>2143</v>
      </c>
      <c r="B2145" t="s">
        <v>2287</v>
      </c>
      <c r="C2145" t="s">
        <v>5839</v>
      </c>
      <c r="D2145" t="s">
        <v>1768</v>
      </c>
      <c r="E2145" t="s">
        <v>154</v>
      </c>
    </row>
    <row r="2146" spans="1:5">
      <c r="A2146">
        <v>2144</v>
      </c>
      <c r="B2146" t="s">
        <v>2288</v>
      </c>
      <c r="C2146" t="s">
        <v>5840</v>
      </c>
      <c r="D2146" t="s">
        <v>1768</v>
      </c>
      <c r="E2146" t="s">
        <v>154</v>
      </c>
    </row>
    <row r="2147" spans="1:5">
      <c r="A2147">
        <v>2145</v>
      </c>
      <c r="B2147" t="s">
        <v>2289</v>
      </c>
      <c r="C2147" t="s">
        <v>5841</v>
      </c>
      <c r="D2147" t="s">
        <v>1768</v>
      </c>
      <c r="E2147" t="s">
        <v>154</v>
      </c>
    </row>
    <row r="2148" spans="1:5">
      <c r="A2148">
        <v>2146</v>
      </c>
      <c r="B2148" t="s">
        <v>2290</v>
      </c>
      <c r="C2148" t="s">
        <v>5842</v>
      </c>
      <c r="D2148" t="s">
        <v>1768</v>
      </c>
      <c r="E2148" t="s">
        <v>154</v>
      </c>
    </row>
    <row r="2149" spans="1:5">
      <c r="A2149">
        <v>2147</v>
      </c>
      <c r="B2149" t="s">
        <v>2291</v>
      </c>
      <c r="C2149" t="s">
        <v>5843</v>
      </c>
      <c r="D2149" t="s">
        <v>1768</v>
      </c>
      <c r="E2149" t="s">
        <v>154</v>
      </c>
    </row>
    <row r="2150" spans="1:5">
      <c r="A2150">
        <v>2148</v>
      </c>
      <c r="B2150" t="s">
        <v>1697</v>
      </c>
      <c r="C2150" t="s">
        <v>5255</v>
      </c>
      <c r="D2150" t="s">
        <v>1768</v>
      </c>
      <c r="E2150" t="s">
        <v>154</v>
      </c>
    </row>
    <row r="2151" spans="1:5">
      <c r="A2151">
        <v>2149</v>
      </c>
      <c r="B2151" t="s">
        <v>2292</v>
      </c>
      <c r="C2151" t="s">
        <v>5844</v>
      </c>
      <c r="D2151" t="s">
        <v>1768</v>
      </c>
      <c r="E2151" t="s">
        <v>154</v>
      </c>
    </row>
    <row r="2152" spans="1:5">
      <c r="A2152">
        <v>2150</v>
      </c>
      <c r="B2152" t="s">
        <v>2293</v>
      </c>
      <c r="C2152" t="s">
        <v>5845</v>
      </c>
      <c r="D2152" t="s">
        <v>1768</v>
      </c>
      <c r="E2152" t="s">
        <v>154</v>
      </c>
    </row>
    <row r="2153" spans="1:5">
      <c r="A2153">
        <v>2151</v>
      </c>
      <c r="B2153" t="s">
        <v>2294</v>
      </c>
      <c r="C2153" t="s">
        <v>5846</v>
      </c>
      <c r="D2153" t="s">
        <v>1768</v>
      </c>
      <c r="E2153" t="s">
        <v>154</v>
      </c>
    </row>
    <row r="2154" spans="1:5">
      <c r="A2154">
        <v>2152</v>
      </c>
      <c r="B2154" t="s">
        <v>2295</v>
      </c>
      <c r="C2154" t="s">
        <v>5847</v>
      </c>
      <c r="D2154" t="s">
        <v>1768</v>
      </c>
      <c r="E2154" t="s">
        <v>154</v>
      </c>
    </row>
    <row r="2155" spans="1:5">
      <c r="A2155">
        <v>2153</v>
      </c>
      <c r="B2155" t="s">
        <v>2296</v>
      </c>
      <c r="C2155" t="s">
        <v>5848</v>
      </c>
      <c r="D2155" t="s">
        <v>1768</v>
      </c>
      <c r="E2155" t="s">
        <v>154</v>
      </c>
    </row>
    <row r="2156" spans="1:5">
      <c r="A2156">
        <v>2154</v>
      </c>
      <c r="B2156" t="s">
        <v>2297</v>
      </c>
      <c r="C2156" t="s">
        <v>5849</v>
      </c>
      <c r="D2156" t="s">
        <v>1768</v>
      </c>
      <c r="E2156" t="s">
        <v>154</v>
      </c>
    </row>
    <row r="2157" spans="1:5">
      <c r="A2157">
        <v>2155</v>
      </c>
      <c r="B2157" t="s">
        <v>2298</v>
      </c>
      <c r="C2157" t="s">
        <v>5850</v>
      </c>
      <c r="D2157" t="s">
        <v>1768</v>
      </c>
      <c r="E2157" t="s">
        <v>154</v>
      </c>
    </row>
    <row r="2158" spans="1:5">
      <c r="A2158">
        <v>2156</v>
      </c>
      <c r="B2158" t="s">
        <v>2299</v>
      </c>
      <c r="C2158" t="s">
        <v>5851</v>
      </c>
      <c r="D2158" t="s">
        <v>1768</v>
      </c>
      <c r="E2158" t="s">
        <v>154</v>
      </c>
    </row>
    <row r="2159" spans="1:5">
      <c r="A2159">
        <v>2157</v>
      </c>
      <c r="B2159" t="s">
        <v>2300</v>
      </c>
      <c r="C2159" t="s">
        <v>5852</v>
      </c>
      <c r="D2159" t="s">
        <v>1768</v>
      </c>
      <c r="E2159" t="s">
        <v>154</v>
      </c>
    </row>
    <row r="2160" spans="1:5">
      <c r="A2160">
        <v>2158</v>
      </c>
      <c r="B2160" t="s">
        <v>2301</v>
      </c>
      <c r="C2160" t="s">
        <v>5853</v>
      </c>
      <c r="D2160" t="s">
        <v>1768</v>
      </c>
      <c r="E2160" t="s">
        <v>154</v>
      </c>
    </row>
    <row r="2161" spans="1:5">
      <c r="A2161">
        <v>2159</v>
      </c>
      <c r="B2161" t="s">
        <v>2302</v>
      </c>
      <c r="C2161" t="s">
        <v>5854</v>
      </c>
      <c r="D2161" t="s">
        <v>1768</v>
      </c>
      <c r="E2161" t="s">
        <v>154</v>
      </c>
    </row>
    <row r="2162" spans="1:5">
      <c r="A2162">
        <v>2160</v>
      </c>
      <c r="B2162" t="s">
        <v>2303</v>
      </c>
      <c r="C2162" t="s">
        <v>5855</v>
      </c>
      <c r="D2162" t="s">
        <v>1768</v>
      </c>
      <c r="E2162" t="s">
        <v>154</v>
      </c>
    </row>
    <row r="2163" spans="1:5">
      <c r="A2163">
        <v>2161</v>
      </c>
      <c r="B2163" t="s">
        <v>2304</v>
      </c>
      <c r="C2163" t="s">
        <v>5856</v>
      </c>
      <c r="D2163" t="s">
        <v>1768</v>
      </c>
      <c r="E2163" t="s">
        <v>154</v>
      </c>
    </row>
    <row r="2164" spans="1:5">
      <c r="A2164">
        <v>2162</v>
      </c>
      <c r="B2164" t="s">
        <v>2305</v>
      </c>
      <c r="C2164" t="s">
        <v>5857</v>
      </c>
      <c r="D2164" t="s">
        <v>1768</v>
      </c>
      <c r="E2164" t="s">
        <v>154</v>
      </c>
    </row>
    <row r="2165" spans="1:5">
      <c r="A2165">
        <v>2163</v>
      </c>
      <c r="B2165" t="s">
        <v>2306</v>
      </c>
      <c r="C2165" t="s">
        <v>5858</v>
      </c>
      <c r="D2165" t="s">
        <v>1768</v>
      </c>
      <c r="E2165" t="s">
        <v>154</v>
      </c>
    </row>
    <row r="2166" spans="1:5">
      <c r="A2166">
        <v>2164</v>
      </c>
      <c r="B2166" t="s">
        <v>2307</v>
      </c>
      <c r="C2166" t="s">
        <v>5859</v>
      </c>
      <c r="D2166" t="s">
        <v>1768</v>
      </c>
      <c r="E2166" t="s">
        <v>154</v>
      </c>
    </row>
    <row r="2167" spans="1:5">
      <c r="A2167">
        <v>2165</v>
      </c>
      <c r="B2167" t="s">
        <v>2308</v>
      </c>
      <c r="C2167" t="s">
        <v>5860</v>
      </c>
      <c r="D2167" t="s">
        <v>1768</v>
      </c>
      <c r="E2167" t="s">
        <v>154</v>
      </c>
    </row>
    <row r="2168" spans="1:5">
      <c r="A2168">
        <v>2166</v>
      </c>
      <c r="B2168" t="s">
        <v>2309</v>
      </c>
      <c r="C2168" t="s">
        <v>5861</v>
      </c>
      <c r="D2168" t="s">
        <v>1768</v>
      </c>
      <c r="E2168" t="s">
        <v>154</v>
      </c>
    </row>
    <row r="2169" spans="1:5">
      <c r="A2169">
        <v>2167</v>
      </c>
      <c r="B2169" t="s">
        <v>2310</v>
      </c>
      <c r="C2169" t="s">
        <v>5862</v>
      </c>
      <c r="D2169" t="s">
        <v>1768</v>
      </c>
      <c r="E2169" t="s">
        <v>154</v>
      </c>
    </row>
    <row r="2170" spans="1:5">
      <c r="A2170">
        <v>2168</v>
      </c>
      <c r="B2170" t="s">
        <v>2311</v>
      </c>
      <c r="C2170" t="s">
        <v>5863</v>
      </c>
      <c r="D2170" t="s">
        <v>1768</v>
      </c>
      <c r="E2170" t="s">
        <v>154</v>
      </c>
    </row>
    <row r="2171" spans="1:5">
      <c r="A2171">
        <v>2169</v>
      </c>
      <c r="B2171" t="s">
        <v>2312</v>
      </c>
      <c r="C2171" t="s">
        <v>5864</v>
      </c>
      <c r="D2171" t="s">
        <v>1768</v>
      </c>
      <c r="E2171" t="s">
        <v>154</v>
      </c>
    </row>
    <row r="2172" spans="1:5">
      <c r="A2172">
        <v>2170</v>
      </c>
      <c r="B2172" t="s">
        <v>1720</v>
      </c>
      <c r="C2172" t="s">
        <v>5278</v>
      </c>
      <c r="D2172" t="s">
        <v>1768</v>
      </c>
      <c r="E2172" t="s">
        <v>154</v>
      </c>
    </row>
    <row r="2173" spans="1:5">
      <c r="A2173">
        <v>2171</v>
      </c>
      <c r="B2173" t="s">
        <v>2313</v>
      </c>
      <c r="C2173" t="s">
        <v>5865</v>
      </c>
      <c r="D2173" t="s">
        <v>1768</v>
      </c>
      <c r="E2173" t="s">
        <v>154</v>
      </c>
    </row>
    <row r="2174" spans="1:5">
      <c r="A2174">
        <v>2172</v>
      </c>
      <c r="B2174" t="s">
        <v>2314</v>
      </c>
      <c r="C2174" t="s">
        <v>5866</v>
      </c>
      <c r="D2174" t="s">
        <v>1768</v>
      </c>
      <c r="E2174" t="s">
        <v>154</v>
      </c>
    </row>
    <row r="2175" spans="1:5">
      <c r="A2175">
        <v>2173</v>
      </c>
      <c r="B2175" t="s">
        <v>2315</v>
      </c>
      <c r="C2175" t="s">
        <v>5867</v>
      </c>
      <c r="D2175" t="s">
        <v>1768</v>
      </c>
      <c r="E2175" t="s">
        <v>154</v>
      </c>
    </row>
    <row r="2176" spans="1:5">
      <c r="A2176">
        <v>2174</v>
      </c>
      <c r="B2176" t="s">
        <v>2316</v>
      </c>
      <c r="C2176" t="s">
        <v>5868</v>
      </c>
      <c r="D2176" t="s">
        <v>1768</v>
      </c>
      <c r="E2176" t="s">
        <v>154</v>
      </c>
    </row>
    <row r="2177" spans="1:5">
      <c r="A2177">
        <v>2175</v>
      </c>
      <c r="B2177" t="s">
        <v>2317</v>
      </c>
      <c r="C2177" t="s">
        <v>5869</v>
      </c>
      <c r="D2177" t="s">
        <v>1768</v>
      </c>
      <c r="E2177" t="s">
        <v>154</v>
      </c>
    </row>
    <row r="2178" spans="1:5">
      <c r="A2178">
        <v>2176</v>
      </c>
      <c r="B2178" t="s">
        <v>2318</v>
      </c>
      <c r="C2178" t="s">
        <v>5870</v>
      </c>
      <c r="D2178" t="s">
        <v>1768</v>
      </c>
      <c r="E2178" t="s">
        <v>154</v>
      </c>
    </row>
    <row r="2179" spans="1:5">
      <c r="A2179">
        <v>2177</v>
      </c>
      <c r="B2179" t="s">
        <v>2319</v>
      </c>
      <c r="C2179" t="s">
        <v>5871</v>
      </c>
      <c r="D2179" t="s">
        <v>1768</v>
      </c>
      <c r="E2179" t="s">
        <v>154</v>
      </c>
    </row>
    <row r="2180" spans="1:5">
      <c r="A2180">
        <v>2178</v>
      </c>
      <c r="B2180" t="s">
        <v>2320</v>
      </c>
      <c r="C2180" t="s">
        <v>5872</v>
      </c>
      <c r="D2180" t="s">
        <v>1768</v>
      </c>
      <c r="E2180" t="s">
        <v>154</v>
      </c>
    </row>
    <row r="2181" spans="1:5">
      <c r="A2181">
        <v>2179</v>
      </c>
      <c r="B2181" t="s">
        <v>2321</v>
      </c>
      <c r="C2181" t="s">
        <v>5873</v>
      </c>
      <c r="D2181" t="s">
        <v>1768</v>
      </c>
      <c r="E2181" t="s">
        <v>154</v>
      </c>
    </row>
    <row r="2182" spans="1:5">
      <c r="A2182">
        <v>2180</v>
      </c>
      <c r="B2182" t="s">
        <v>2322</v>
      </c>
      <c r="C2182" t="s">
        <v>5874</v>
      </c>
      <c r="D2182" t="s">
        <v>1768</v>
      </c>
      <c r="E2182" t="s">
        <v>154</v>
      </c>
    </row>
    <row r="2183" spans="1:5">
      <c r="A2183">
        <v>2181</v>
      </c>
      <c r="B2183" t="s">
        <v>2323</v>
      </c>
      <c r="C2183" t="s">
        <v>5875</v>
      </c>
      <c r="D2183" t="s">
        <v>1768</v>
      </c>
      <c r="E2183" t="s">
        <v>154</v>
      </c>
    </row>
    <row r="2184" spans="1:5">
      <c r="A2184">
        <v>2182</v>
      </c>
      <c r="B2184" t="s">
        <v>2324</v>
      </c>
      <c r="C2184" t="s">
        <v>5876</v>
      </c>
      <c r="D2184" t="s">
        <v>1768</v>
      </c>
      <c r="E2184" t="s">
        <v>154</v>
      </c>
    </row>
    <row r="2185" spans="1:5">
      <c r="A2185">
        <v>2183</v>
      </c>
      <c r="B2185" t="s">
        <v>2325</v>
      </c>
      <c r="C2185" t="s">
        <v>5877</v>
      </c>
      <c r="D2185" t="s">
        <v>1768</v>
      </c>
      <c r="E2185" t="s">
        <v>154</v>
      </c>
    </row>
    <row r="2186" spans="1:5">
      <c r="A2186">
        <v>2184</v>
      </c>
      <c r="B2186" t="s">
        <v>2326</v>
      </c>
      <c r="C2186" t="s">
        <v>5878</v>
      </c>
      <c r="D2186" t="s">
        <v>1768</v>
      </c>
      <c r="E2186" t="s">
        <v>154</v>
      </c>
    </row>
    <row r="2187" spans="1:5">
      <c r="A2187">
        <v>2185</v>
      </c>
      <c r="B2187" t="s">
        <v>2327</v>
      </c>
      <c r="C2187" t="s">
        <v>5879</v>
      </c>
      <c r="D2187" t="s">
        <v>1768</v>
      </c>
      <c r="E2187" t="s">
        <v>154</v>
      </c>
    </row>
    <row r="2188" spans="1:5">
      <c r="A2188">
        <v>2186</v>
      </c>
      <c r="B2188" t="s">
        <v>2328</v>
      </c>
      <c r="C2188" t="s">
        <v>5880</v>
      </c>
      <c r="D2188" t="s">
        <v>1768</v>
      </c>
      <c r="E2188" t="s">
        <v>154</v>
      </c>
    </row>
    <row r="2189" spans="1:5">
      <c r="A2189">
        <v>2187</v>
      </c>
      <c r="B2189" t="s">
        <v>2329</v>
      </c>
      <c r="C2189" t="s">
        <v>5881</v>
      </c>
      <c r="D2189" t="s">
        <v>1768</v>
      </c>
      <c r="E2189" t="s">
        <v>154</v>
      </c>
    </row>
    <row r="2190" spans="1:5">
      <c r="A2190">
        <v>2188</v>
      </c>
      <c r="B2190" t="s">
        <v>2330</v>
      </c>
      <c r="C2190" t="s">
        <v>5882</v>
      </c>
      <c r="D2190" t="s">
        <v>1768</v>
      </c>
      <c r="E2190" t="s">
        <v>154</v>
      </c>
    </row>
    <row r="2191" spans="1:5">
      <c r="A2191">
        <v>2189</v>
      </c>
      <c r="B2191" t="s">
        <v>2331</v>
      </c>
      <c r="C2191" t="s">
        <v>5883</v>
      </c>
      <c r="D2191" t="s">
        <v>1768</v>
      </c>
      <c r="E2191" t="s">
        <v>154</v>
      </c>
    </row>
    <row r="2192" spans="1:5">
      <c r="A2192">
        <v>2190</v>
      </c>
      <c r="B2192" t="s">
        <v>2332</v>
      </c>
      <c r="C2192" t="s">
        <v>5884</v>
      </c>
      <c r="D2192" t="s">
        <v>1768</v>
      </c>
      <c r="E2192" t="s">
        <v>154</v>
      </c>
    </row>
    <row r="2193" spans="1:5">
      <c r="A2193">
        <v>2191</v>
      </c>
      <c r="B2193" t="s">
        <v>2333</v>
      </c>
      <c r="C2193" t="s">
        <v>5885</v>
      </c>
      <c r="D2193" t="s">
        <v>1768</v>
      </c>
      <c r="E2193" t="s">
        <v>154</v>
      </c>
    </row>
    <row r="2194" spans="1:5">
      <c r="A2194">
        <v>2192</v>
      </c>
      <c r="B2194" t="s">
        <v>2334</v>
      </c>
      <c r="C2194" t="s">
        <v>5886</v>
      </c>
      <c r="D2194" t="s">
        <v>1768</v>
      </c>
      <c r="E2194" t="s">
        <v>154</v>
      </c>
    </row>
    <row r="2195" spans="1:5">
      <c r="A2195">
        <v>2193</v>
      </c>
      <c r="B2195" t="s">
        <v>2335</v>
      </c>
      <c r="C2195" t="s">
        <v>5887</v>
      </c>
      <c r="D2195" t="s">
        <v>1768</v>
      </c>
      <c r="E2195" t="s">
        <v>154</v>
      </c>
    </row>
    <row r="2196" spans="1:5">
      <c r="A2196">
        <v>2194</v>
      </c>
      <c r="B2196" t="s">
        <v>2336</v>
      </c>
      <c r="C2196" t="s">
        <v>5888</v>
      </c>
      <c r="D2196" t="s">
        <v>1768</v>
      </c>
      <c r="E2196" t="s">
        <v>154</v>
      </c>
    </row>
    <row r="2197" spans="1:5">
      <c r="A2197">
        <v>2195</v>
      </c>
      <c r="B2197" t="s">
        <v>2337</v>
      </c>
      <c r="C2197" t="s">
        <v>5889</v>
      </c>
      <c r="D2197" t="s">
        <v>1768</v>
      </c>
      <c r="E2197" t="s">
        <v>154</v>
      </c>
    </row>
    <row r="2198" spans="1:5">
      <c r="A2198">
        <v>2196</v>
      </c>
      <c r="B2198" t="s">
        <v>2338</v>
      </c>
      <c r="C2198" t="s">
        <v>5890</v>
      </c>
      <c r="D2198" t="s">
        <v>1768</v>
      </c>
      <c r="E2198" t="s">
        <v>154</v>
      </c>
    </row>
    <row r="2199" spans="1:5">
      <c r="A2199">
        <v>2197</v>
      </c>
      <c r="B2199" t="s">
        <v>2339</v>
      </c>
      <c r="C2199" t="s">
        <v>5891</v>
      </c>
      <c r="D2199" t="s">
        <v>1768</v>
      </c>
      <c r="E2199" t="s">
        <v>154</v>
      </c>
    </row>
    <row r="2200" spans="1:5">
      <c r="A2200">
        <v>2198</v>
      </c>
      <c r="B2200" t="s">
        <v>2340</v>
      </c>
      <c r="C2200" t="s">
        <v>5892</v>
      </c>
      <c r="D2200" t="s">
        <v>1768</v>
      </c>
      <c r="E2200" t="s">
        <v>154</v>
      </c>
    </row>
    <row r="2201" spans="1:5">
      <c r="A2201">
        <v>2199</v>
      </c>
      <c r="B2201" t="s">
        <v>1757</v>
      </c>
      <c r="C2201" t="s">
        <v>5315</v>
      </c>
      <c r="D2201" t="s">
        <v>1768</v>
      </c>
      <c r="E2201" t="s">
        <v>154</v>
      </c>
    </row>
    <row r="2202" spans="1:5">
      <c r="A2202">
        <v>2200</v>
      </c>
      <c r="B2202" t="s">
        <v>2341</v>
      </c>
      <c r="C2202" t="s">
        <v>5893</v>
      </c>
      <c r="D2202" t="s">
        <v>1768</v>
      </c>
      <c r="E2202" t="s">
        <v>154</v>
      </c>
    </row>
    <row r="2203" spans="1:5">
      <c r="A2203">
        <v>2201</v>
      </c>
      <c r="B2203" t="s">
        <v>2342</v>
      </c>
      <c r="C2203" t="s">
        <v>5894</v>
      </c>
      <c r="D2203" t="s">
        <v>1768</v>
      </c>
      <c r="E2203" t="s">
        <v>154</v>
      </c>
    </row>
    <row r="2204" spans="1:5">
      <c r="A2204">
        <v>2202</v>
      </c>
      <c r="B2204" t="s">
        <v>2343</v>
      </c>
      <c r="C2204" t="s">
        <v>5895</v>
      </c>
      <c r="D2204" t="s">
        <v>1768</v>
      </c>
      <c r="E2204" t="s">
        <v>154</v>
      </c>
    </row>
    <row r="2205" spans="1:5">
      <c r="A2205">
        <v>2203</v>
      </c>
      <c r="B2205" t="s">
        <v>2344</v>
      </c>
      <c r="C2205" t="s">
        <v>5896</v>
      </c>
      <c r="D2205" t="s">
        <v>1768</v>
      </c>
      <c r="E2205" t="s">
        <v>154</v>
      </c>
    </row>
    <row r="2206" spans="1:5">
      <c r="A2206">
        <v>2204</v>
      </c>
      <c r="B2206" t="s">
        <v>2345</v>
      </c>
      <c r="C2206" t="s">
        <v>5897</v>
      </c>
      <c r="D2206" t="s">
        <v>1768</v>
      </c>
      <c r="E2206" t="s">
        <v>154</v>
      </c>
    </row>
    <row r="2207" spans="1:5">
      <c r="A2207">
        <v>2205</v>
      </c>
      <c r="B2207" t="s">
        <v>2346</v>
      </c>
      <c r="C2207" t="s">
        <v>5898</v>
      </c>
      <c r="D2207" t="s">
        <v>1768</v>
      </c>
      <c r="E2207" t="s">
        <v>154</v>
      </c>
    </row>
    <row r="2208" spans="1:5">
      <c r="A2208">
        <v>2206</v>
      </c>
      <c r="B2208" t="s">
        <v>2347</v>
      </c>
      <c r="C2208" t="s">
        <v>5899</v>
      </c>
      <c r="D2208" t="s">
        <v>2348</v>
      </c>
      <c r="E2208" t="s">
        <v>3743</v>
      </c>
    </row>
    <row r="2209" spans="1:5">
      <c r="A2209">
        <v>2207</v>
      </c>
      <c r="B2209" t="s">
        <v>2349</v>
      </c>
      <c r="C2209" t="s">
        <v>5900</v>
      </c>
      <c r="D2209" t="s">
        <v>2348</v>
      </c>
      <c r="E2209" t="s">
        <v>3743</v>
      </c>
    </row>
    <row r="2210" spans="1:5">
      <c r="A2210">
        <v>2208</v>
      </c>
      <c r="B2210" t="s">
        <v>2350</v>
      </c>
      <c r="C2210" t="s">
        <v>5901</v>
      </c>
      <c r="D2210" t="s">
        <v>2348</v>
      </c>
      <c r="E2210" t="s">
        <v>3743</v>
      </c>
    </row>
    <row r="2211" spans="1:5">
      <c r="A2211">
        <v>2209</v>
      </c>
      <c r="B2211" t="s">
        <v>2351</v>
      </c>
      <c r="C2211" t="s">
        <v>5902</v>
      </c>
      <c r="D2211" t="s">
        <v>2348</v>
      </c>
      <c r="E2211" t="s">
        <v>3743</v>
      </c>
    </row>
    <row r="2212" spans="1:5">
      <c r="A2212">
        <v>2210</v>
      </c>
      <c r="B2212" t="s">
        <v>2352</v>
      </c>
      <c r="C2212" t="s">
        <v>5903</v>
      </c>
      <c r="D2212" t="s">
        <v>2348</v>
      </c>
      <c r="E2212" t="s">
        <v>3743</v>
      </c>
    </row>
    <row r="2213" spans="1:5">
      <c r="A2213">
        <v>2211</v>
      </c>
      <c r="B2213" t="s">
        <v>2353</v>
      </c>
      <c r="C2213" t="s">
        <v>5904</v>
      </c>
      <c r="D2213" t="s">
        <v>2348</v>
      </c>
      <c r="E2213" t="s">
        <v>3743</v>
      </c>
    </row>
    <row r="2214" spans="1:5">
      <c r="A2214">
        <v>2212</v>
      </c>
      <c r="B2214" t="s">
        <v>2354</v>
      </c>
      <c r="C2214" t="s">
        <v>5905</v>
      </c>
      <c r="D2214" t="s">
        <v>2348</v>
      </c>
      <c r="E2214" t="s">
        <v>3743</v>
      </c>
    </row>
    <row r="2215" spans="1:5">
      <c r="A2215">
        <v>2213</v>
      </c>
      <c r="B2215" t="s">
        <v>854</v>
      </c>
      <c r="C2215" t="s">
        <v>4423</v>
      </c>
      <c r="D2215" t="s">
        <v>2348</v>
      </c>
      <c r="E2215" t="s">
        <v>3743</v>
      </c>
    </row>
    <row r="2216" spans="1:5">
      <c r="A2216">
        <v>2214</v>
      </c>
      <c r="B2216" t="s">
        <v>2355</v>
      </c>
      <c r="C2216" t="s">
        <v>5906</v>
      </c>
      <c r="D2216" t="s">
        <v>2348</v>
      </c>
      <c r="E2216" t="s">
        <v>3743</v>
      </c>
    </row>
    <row r="2217" spans="1:5">
      <c r="A2217">
        <v>2215</v>
      </c>
      <c r="B2217" t="s">
        <v>2356</v>
      </c>
      <c r="C2217" t="s">
        <v>5907</v>
      </c>
      <c r="D2217" t="s">
        <v>2348</v>
      </c>
      <c r="E2217" t="s">
        <v>3743</v>
      </c>
    </row>
    <row r="2218" spans="1:5">
      <c r="A2218">
        <v>2216</v>
      </c>
      <c r="B2218" t="s">
        <v>2357</v>
      </c>
      <c r="C2218" t="s">
        <v>5908</v>
      </c>
      <c r="D2218" t="s">
        <v>2348</v>
      </c>
      <c r="E2218" t="s">
        <v>3743</v>
      </c>
    </row>
    <row r="2219" spans="1:5">
      <c r="A2219">
        <v>2217</v>
      </c>
      <c r="B2219" t="s">
        <v>1812</v>
      </c>
      <c r="C2219" t="s">
        <v>5369</v>
      </c>
      <c r="D2219" t="s">
        <v>2348</v>
      </c>
      <c r="E2219" t="s">
        <v>3743</v>
      </c>
    </row>
    <row r="2220" spans="1:5">
      <c r="A2220">
        <v>2218</v>
      </c>
      <c r="B2220" t="s">
        <v>2358</v>
      </c>
      <c r="C2220" t="s">
        <v>5909</v>
      </c>
      <c r="D2220" t="s">
        <v>2348</v>
      </c>
      <c r="E2220" t="s">
        <v>3743</v>
      </c>
    </row>
    <row r="2221" spans="1:5">
      <c r="A2221">
        <v>2219</v>
      </c>
      <c r="B2221" t="s">
        <v>2359</v>
      </c>
      <c r="C2221" t="s">
        <v>5910</v>
      </c>
      <c r="D2221" t="s">
        <v>2348</v>
      </c>
      <c r="E2221" t="s">
        <v>3743</v>
      </c>
    </row>
    <row r="2222" spans="1:5">
      <c r="A2222">
        <v>2220</v>
      </c>
      <c r="B2222" t="s">
        <v>2360</v>
      </c>
      <c r="C2222" t="s">
        <v>5911</v>
      </c>
      <c r="D2222" t="s">
        <v>2348</v>
      </c>
      <c r="E2222" t="s">
        <v>3743</v>
      </c>
    </row>
    <row r="2223" spans="1:5">
      <c r="A2223">
        <v>2221</v>
      </c>
      <c r="B2223" t="s">
        <v>2361</v>
      </c>
      <c r="C2223" t="s">
        <v>5912</v>
      </c>
      <c r="D2223" t="s">
        <v>2348</v>
      </c>
      <c r="E2223" t="s">
        <v>3743</v>
      </c>
    </row>
    <row r="2224" spans="1:5">
      <c r="A2224">
        <v>2222</v>
      </c>
      <c r="B2224" t="s">
        <v>2362</v>
      </c>
      <c r="C2224" t="s">
        <v>5913</v>
      </c>
      <c r="D2224" t="s">
        <v>2348</v>
      </c>
      <c r="E2224" t="s">
        <v>3743</v>
      </c>
    </row>
    <row r="2225" spans="1:5">
      <c r="A2225">
        <v>2223</v>
      </c>
      <c r="B2225" t="s">
        <v>2363</v>
      </c>
      <c r="C2225" t="s">
        <v>5914</v>
      </c>
      <c r="D2225" t="s">
        <v>2348</v>
      </c>
      <c r="E2225" t="s">
        <v>3743</v>
      </c>
    </row>
    <row r="2226" spans="1:5">
      <c r="A2226">
        <v>2224</v>
      </c>
      <c r="B2226" t="s">
        <v>2364</v>
      </c>
      <c r="C2226" t="s">
        <v>5915</v>
      </c>
      <c r="D2226" t="s">
        <v>2348</v>
      </c>
      <c r="E2226" t="s">
        <v>3743</v>
      </c>
    </row>
    <row r="2227" spans="1:5">
      <c r="A2227">
        <v>2225</v>
      </c>
      <c r="B2227" t="s">
        <v>2365</v>
      </c>
      <c r="C2227" t="s">
        <v>5916</v>
      </c>
      <c r="D2227" t="s">
        <v>2348</v>
      </c>
      <c r="E2227" t="s">
        <v>3743</v>
      </c>
    </row>
    <row r="2228" spans="1:5">
      <c r="A2228">
        <v>2226</v>
      </c>
      <c r="B2228" t="s">
        <v>2366</v>
      </c>
      <c r="C2228" t="s">
        <v>5917</v>
      </c>
      <c r="D2228" t="s">
        <v>2348</v>
      </c>
      <c r="E2228" t="s">
        <v>3743</v>
      </c>
    </row>
    <row r="2229" spans="1:5">
      <c r="A2229">
        <v>2227</v>
      </c>
      <c r="B2229" t="s">
        <v>2367</v>
      </c>
      <c r="C2229" t="s">
        <v>5918</v>
      </c>
      <c r="D2229" t="s">
        <v>2348</v>
      </c>
      <c r="E2229" t="s">
        <v>3743</v>
      </c>
    </row>
    <row r="2230" spans="1:5">
      <c r="A2230">
        <v>2228</v>
      </c>
      <c r="B2230" t="s">
        <v>2368</v>
      </c>
      <c r="C2230" t="s">
        <v>5919</v>
      </c>
      <c r="D2230" t="s">
        <v>2348</v>
      </c>
      <c r="E2230" t="s">
        <v>3743</v>
      </c>
    </row>
    <row r="2231" spans="1:5">
      <c r="A2231">
        <v>2229</v>
      </c>
      <c r="B2231" t="s">
        <v>2369</v>
      </c>
      <c r="C2231" t="s">
        <v>5920</v>
      </c>
      <c r="D2231" t="s">
        <v>2348</v>
      </c>
      <c r="E2231" t="s">
        <v>3743</v>
      </c>
    </row>
    <row r="2232" spans="1:5">
      <c r="A2232">
        <v>2230</v>
      </c>
      <c r="B2232" t="s">
        <v>2370</v>
      </c>
      <c r="C2232" t="s">
        <v>5921</v>
      </c>
      <c r="D2232" t="s">
        <v>2348</v>
      </c>
      <c r="E2232" t="s">
        <v>3743</v>
      </c>
    </row>
    <row r="2233" spans="1:5">
      <c r="A2233">
        <v>2231</v>
      </c>
      <c r="B2233" t="s">
        <v>2371</v>
      </c>
      <c r="C2233" t="s">
        <v>5922</v>
      </c>
      <c r="D2233" t="s">
        <v>2348</v>
      </c>
      <c r="E2233" t="s">
        <v>3743</v>
      </c>
    </row>
    <row r="2234" spans="1:5">
      <c r="A2234">
        <v>2232</v>
      </c>
      <c r="B2234" t="s">
        <v>2372</v>
      </c>
      <c r="C2234" t="s">
        <v>5923</v>
      </c>
      <c r="D2234" t="s">
        <v>2348</v>
      </c>
      <c r="E2234" t="s">
        <v>3743</v>
      </c>
    </row>
    <row r="2235" spans="1:5">
      <c r="A2235">
        <v>2233</v>
      </c>
      <c r="B2235" t="s">
        <v>2373</v>
      </c>
      <c r="C2235" t="s">
        <v>5924</v>
      </c>
      <c r="D2235" t="s">
        <v>2348</v>
      </c>
      <c r="E2235" t="s">
        <v>3743</v>
      </c>
    </row>
    <row r="2236" spans="1:5">
      <c r="A2236">
        <v>2234</v>
      </c>
      <c r="B2236" t="s">
        <v>2374</v>
      </c>
      <c r="C2236" t="s">
        <v>5925</v>
      </c>
      <c r="D2236" t="s">
        <v>2348</v>
      </c>
      <c r="E2236" t="s">
        <v>3743</v>
      </c>
    </row>
    <row r="2237" spans="1:5">
      <c r="A2237">
        <v>2235</v>
      </c>
      <c r="B2237" t="s">
        <v>2375</v>
      </c>
      <c r="C2237" t="s">
        <v>5926</v>
      </c>
      <c r="D2237" t="s">
        <v>2348</v>
      </c>
      <c r="E2237" t="s">
        <v>3743</v>
      </c>
    </row>
    <row r="2238" spans="1:5">
      <c r="A2238">
        <v>2236</v>
      </c>
      <c r="B2238" t="s">
        <v>2376</v>
      </c>
      <c r="C2238" t="s">
        <v>5927</v>
      </c>
      <c r="D2238" t="s">
        <v>2348</v>
      </c>
      <c r="E2238" t="s">
        <v>3743</v>
      </c>
    </row>
    <row r="2239" spans="1:5">
      <c r="A2239">
        <v>2237</v>
      </c>
      <c r="B2239" t="s">
        <v>2377</v>
      </c>
      <c r="C2239" t="s">
        <v>5928</v>
      </c>
      <c r="D2239" t="s">
        <v>2348</v>
      </c>
      <c r="E2239" t="s">
        <v>3743</v>
      </c>
    </row>
    <row r="2240" spans="1:5">
      <c r="A2240">
        <v>2238</v>
      </c>
      <c r="B2240" t="s">
        <v>2378</v>
      </c>
      <c r="C2240" t="s">
        <v>5929</v>
      </c>
      <c r="D2240" t="s">
        <v>2348</v>
      </c>
      <c r="E2240" t="s">
        <v>3743</v>
      </c>
    </row>
    <row r="2241" spans="1:5">
      <c r="A2241">
        <v>2239</v>
      </c>
      <c r="B2241" t="s">
        <v>2379</v>
      </c>
      <c r="C2241" t="s">
        <v>5930</v>
      </c>
      <c r="D2241" t="s">
        <v>2348</v>
      </c>
      <c r="E2241" t="s">
        <v>3743</v>
      </c>
    </row>
    <row r="2242" spans="1:5">
      <c r="A2242">
        <v>2240</v>
      </c>
      <c r="B2242" t="s">
        <v>2380</v>
      </c>
      <c r="C2242" t="s">
        <v>7366</v>
      </c>
      <c r="D2242" t="s">
        <v>2348</v>
      </c>
      <c r="E2242" t="s">
        <v>3743</v>
      </c>
    </row>
    <row r="2243" spans="1:5">
      <c r="A2243">
        <v>2241</v>
      </c>
      <c r="B2243" t="s">
        <v>2381</v>
      </c>
      <c r="C2243" t="s">
        <v>5931</v>
      </c>
      <c r="D2243" t="s">
        <v>2348</v>
      </c>
      <c r="E2243" t="s">
        <v>3743</v>
      </c>
    </row>
    <row r="2244" spans="1:5">
      <c r="A2244">
        <v>2242</v>
      </c>
      <c r="B2244" t="s">
        <v>2382</v>
      </c>
      <c r="C2244" t="s">
        <v>5932</v>
      </c>
      <c r="D2244" t="s">
        <v>2348</v>
      </c>
      <c r="E2244" t="s">
        <v>3743</v>
      </c>
    </row>
    <row r="2245" spans="1:5">
      <c r="A2245">
        <v>2243</v>
      </c>
      <c r="B2245" t="s">
        <v>2383</v>
      </c>
      <c r="C2245" t="s">
        <v>5933</v>
      </c>
      <c r="D2245" t="s">
        <v>2348</v>
      </c>
      <c r="E2245" t="s">
        <v>3743</v>
      </c>
    </row>
    <row r="2246" spans="1:5">
      <c r="A2246">
        <v>2244</v>
      </c>
      <c r="B2246" t="s">
        <v>2384</v>
      </c>
      <c r="C2246" t="s">
        <v>5934</v>
      </c>
      <c r="D2246" t="s">
        <v>2348</v>
      </c>
      <c r="E2246" t="s">
        <v>3743</v>
      </c>
    </row>
    <row r="2247" spans="1:5">
      <c r="A2247">
        <v>2245</v>
      </c>
      <c r="B2247" t="s">
        <v>2385</v>
      </c>
      <c r="C2247" t="s">
        <v>5935</v>
      </c>
      <c r="D2247" t="s">
        <v>2348</v>
      </c>
      <c r="E2247" t="s">
        <v>3743</v>
      </c>
    </row>
    <row r="2248" spans="1:5">
      <c r="A2248">
        <v>2246</v>
      </c>
      <c r="B2248" t="s">
        <v>2386</v>
      </c>
      <c r="C2248" t="s">
        <v>5936</v>
      </c>
      <c r="D2248" t="s">
        <v>2348</v>
      </c>
      <c r="E2248" t="s">
        <v>3743</v>
      </c>
    </row>
    <row r="2249" spans="1:5">
      <c r="A2249">
        <v>2247</v>
      </c>
      <c r="B2249" t="s">
        <v>2387</v>
      </c>
      <c r="C2249" t="s">
        <v>5937</v>
      </c>
      <c r="D2249" t="s">
        <v>2348</v>
      </c>
      <c r="E2249" t="s">
        <v>3743</v>
      </c>
    </row>
    <row r="2250" spans="1:5">
      <c r="A2250">
        <v>2248</v>
      </c>
      <c r="B2250" t="s">
        <v>2388</v>
      </c>
      <c r="C2250" t="s">
        <v>5938</v>
      </c>
      <c r="D2250" t="s">
        <v>2348</v>
      </c>
      <c r="E2250" t="s">
        <v>3743</v>
      </c>
    </row>
    <row r="2251" spans="1:5">
      <c r="A2251">
        <v>2249</v>
      </c>
      <c r="B2251" t="s">
        <v>2389</v>
      </c>
      <c r="C2251" t="s">
        <v>5939</v>
      </c>
      <c r="D2251" t="s">
        <v>2348</v>
      </c>
      <c r="E2251" t="s">
        <v>3743</v>
      </c>
    </row>
    <row r="2252" spans="1:5">
      <c r="A2252">
        <v>2250</v>
      </c>
      <c r="B2252" t="s">
        <v>2390</v>
      </c>
      <c r="C2252" t="s">
        <v>5940</v>
      </c>
      <c r="D2252" t="s">
        <v>2348</v>
      </c>
      <c r="E2252" t="s">
        <v>3743</v>
      </c>
    </row>
    <row r="2253" spans="1:5">
      <c r="A2253">
        <v>2251</v>
      </c>
      <c r="B2253" t="s">
        <v>2391</v>
      </c>
      <c r="C2253" t="s">
        <v>5941</v>
      </c>
      <c r="D2253" t="s">
        <v>2348</v>
      </c>
      <c r="E2253" t="s">
        <v>3743</v>
      </c>
    </row>
    <row r="2254" spans="1:5">
      <c r="A2254">
        <v>2252</v>
      </c>
      <c r="B2254" t="s">
        <v>2392</v>
      </c>
      <c r="C2254" t="s">
        <v>5942</v>
      </c>
      <c r="D2254" t="s">
        <v>2348</v>
      </c>
      <c r="E2254" t="s">
        <v>3743</v>
      </c>
    </row>
    <row r="2255" spans="1:5">
      <c r="A2255">
        <v>2253</v>
      </c>
      <c r="B2255" t="s">
        <v>2393</v>
      </c>
      <c r="C2255" t="s">
        <v>5943</v>
      </c>
      <c r="D2255" t="s">
        <v>2348</v>
      </c>
      <c r="E2255" t="s">
        <v>3743</v>
      </c>
    </row>
    <row r="2256" spans="1:5">
      <c r="A2256">
        <v>2254</v>
      </c>
      <c r="B2256" t="s">
        <v>2394</v>
      </c>
      <c r="C2256" t="s">
        <v>5944</v>
      </c>
      <c r="D2256" t="s">
        <v>2348</v>
      </c>
      <c r="E2256" t="s">
        <v>3743</v>
      </c>
    </row>
    <row r="2257" spans="1:5">
      <c r="A2257">
        <v>2255</v>
      </c>
      <c r="B2257" t="s">
        <v>2395</v>
      </c>
      <c r="C2257" t="s">
        <v>5945</v>
      </c>
      <c r="D2257" t="s">
        <v>2348</v>
      </c>
      <c r="E2257" t="s">
        <v>3743</v>
      </c>
    </row>
    <row r="2258" spans="1:5">
      <c r="A2258">
        <v>2256</v>
      </c>
      <c r="B2258" t="s">
        <v>2396</v>
      </c>
      <c r="C2258" t="s">
        <v>5946</v>
      </c>
      <c r="D2258" t="s">
        <v>2348</v>
      </c>
      <c r="E2258" t="s">
        <v>3743</v>
      </c>
    </row>
    <row r="2259" spans="1:5">
      <c r="A2259">
        <v>2257</v>
      </c>
      <c r="B2259" t="s">
        <v>2397</v>
      </c>
      <c r="C2259" t="s">
        <v>5947</v>
      </c>
      <c r="D2259" t="s">
        <v>2348</v>
      </c>
      <c r="E2259" t="s">
        <v>3743</v>
      </c>
    </row>
    <row r="2260" spans="1:5">
      <c r="A2260">
        <v>2258</v>
      </c>
      <c r="B2260" t="s">
        <v>2398</v>
      </c>
      <c r="C2260" t="s">
        <v>5948</v>
      </c>
      <c r="D2260" t="s">
        <v>2348</v>
      </c>
      <c r="E2260" t="s">
        <v>3743</v>
      </c>
    </row>
    <row r="2261" spans="1:5">
      <c r="A2261">
        <v>2259</v>
      </c>
      <c r="B2261" t="s">
        <v>2399</v>
      </c>
      <c r="C2261" t="s">
        <v>5949</v>
      </c>
      <c r="D2261" t="s">
        <v>2348</v>
      </c>
      <c r="E2261" t="s">
        <v>3743</v>
      </c>
    </row>
    <row r="2262" spans="1:5">
      <c r="A2262">
        <v>2260</v>
      </c>
      <c r="B2262" t="s">
        <v>2400</v>
      </c>
      <c r="C2262" t="s">
        <v>5950</v>
      </c>
      <c r="D2262" t="s">
        <v>2348</v>
      </c>
      <c r="E2262" t="s">
        <v>3743</v>
      </c>
    </row>
    <row r="2263" spans="1:5">
      <c r="A2263">
        <v>2261</v>
      </c>
      <c r="B2263" t="s">
        <v>2401</v>
      </c>
      <c r="C2263" t="s">
        <v>5951</v>
      </c>
      <c r="D2263" t="s">
        <v>2348</v>
      </c>
      <c r="E2263" t="s">
        <v>3743</v>
      </c>
    </row>
    <row r="2264" spans="1:5">
      <c r="A2264">
        <v>2262</v>
      </c>
      <c r="B2264" t="s">
        <v>2402</v>
      </c>
      <c r="C2264" t="s">
        <v>5952</v>
      </c>
      <c r="D2264" t="s">
        <v>2348</v>
      </c>
      <c r="E2264" t="s">
        <v>3743</v>
      </c>
    </row>
    <row r="2265" spans="1:5">
      <c r="A2265">
        <v>2263</v>
      </c>
      <c r="B2265" t="s">
        <v>2403</v>
      </c>
      <c r="C2265" t="s">
        <v>5953</v>
      </c>
      <c r="D2265" t="s">
        <v>2348</v>
      </c>
      <c r="E2265" t="s">
        <v>3743</v>
      </c>
    </row>
    <row r="2266" spans="1:5">
      <c r="A2266">
        <v>2264</v>
      </c>
      <c r="B2266" t="s">
        <v>2404</v>
      </c>
      <c r="C2266" t="s">
        <v>5954</v>
      </c>
      <c r="D2266" t="s">
        <v>2348</v>
      </c>
      <c r="E2266" t="s">
        <v>3743</v>
      </c>
    </row>
    <row r="2267" spans="1:5">
      <c r="A2267">
        <v>2265</v>
      </c>
      <c r="B2267" t="s">
        <v>2405</v>
      </c>
      <c r="C2267" t="s">
        <v>5955</v>
      </c>
      <c r="D2267" t="s">
        <v>2348</v>
      </c>
      <c r="E2267" t="s">
        <v>3743</v>
      </c>
    </row>
    <row r="2268" spans="1:5">
      <c r="A2268">
        <v>2266</v>
      </c>
      <c r="B2268" t="s">
        <v>2406</v>
      </c>
      <c r="C2268" t="s">
        <v>5956</v>
      </c>
      <c r="D2268" t="s">
        <v>2348</v>
      </c>
      <c r="E2268" t="s">
        <v>3743</v>
      </c>
    </row>
    <row r="2269" spans="1:5">
      <c r="A2269">
        <v>2267</v>
      </c>
      <c r="B2269" t="s">
        <v>2407</v>
      </c>
      <c r="C2269" t="s">
        <v>5957</v>
      </c>
      <c r="D2269" t="s">
        <v>2348</v>
      </c>
      <c r="E2269" t="s">
        <v>3743</v>
      </c>
    </row>
    <row r="2270" spans="1:5">
      <c r="A2270">
        <v>2268</v>
      </c>
      <c r="B2270" t="s">
        <v>2408</v>
      </c>
      <c r="C2270" t="s">
        <v>5958</v>
      </c>
      <c r="D2270" t="s">
        <v>2348</v>
      </c>
      <c r="E2270" t="s">
        <v>3743</v>
      </c>
    </row>
    <row r="2271" spans="1:5">
      <c r="A2271">
        <v>2269</v>
      </c>
      <c r="B2271" t="s">
        <v>2409</v>
      </c>
      <c r="C2271" t="s">
        <v>5959</v>
      </c>
      <c r="D2271" t="s">
        <v>2348</v>
      </c>
      <c r="E2271" t="s">
        <v>3743</v>
      </c>
    </row>
    <row r="2272" spans="1:5">
      <c r="A2272">
        <v>2270</v>
      </c>
      <c r="B2272" t="s">
        <v>2410</v>
      </c>
      <c r="C2272" t="s">
        <v>5960</v>
      </c>
      <c r="D2272" t="s">
        <v>2348</v>
      </c>
      <c r="E2272" t="s">
        <v>3743</v>
      </c>
    </row>
    <row r="2273" spans="1:5">
      <c r="A2273">
        <v>2271</v>
      </c>
      <c r="B2273" t="s">
        <v>2411</v>
      </c>
      <c r="C2273" t="s">
        <v>5961</v>
      </c>
      <c r="D2273" t="s">
        <v>2348</v>
      </c>
      <c r="E2273" t="s">
        <v>3743</v>
      </c>
    </row>
    <row r="2274" spans="1:5">
      <c r="A2274">
        <v>2272</v>
      </c>
      <c r="B2274" t="s">
        <v>2412</v>
      </c>
      <c r="C2274" t="s">
        <v>5962</v>
      </c>
      <c r="D2274" t="s">
        <v>2348</v>
      </c>
      <c r="E2274" t="s">
        <v>3743</v>
      </c>
    </row>
    <row r="2275" spans="1:5">
      <c r="A2275">
        <v>2273</v>
      </c>
      <c r="B2275" t="s">
        <v>2413</v>
      </c>
      <c r="C2275" t="s">
        <v>5963</v>
      </c>
      <c r="D2275" t="s">
        <v>2348</v>
      </c>
      <c r="E2275" t="s">
        <v>3743</v>
      </c>
    </row>
    <row r="2276" spans="1:5">
      <c r="A2276">
        <v>2274</v>
      </c>
      <c r="B2276" t="s">
        <v>2414</v>
      </c>
      <c r="C2276" t="s">
        <v>5964</v>
      </c>
      <c r="D2276" t="s">
        <v>2348</v>
      </c>
      <c r="E2276" t="s">
        <v>3743</v>
      </c>
    </row>
    <row r="2277" spans="1:5">
      <c r="A2277">
        <v>2275</v>
      </c>
      <c r="B2277" t="s">
        <v>2415</v>
      </c>
      <c r="C2277" t="s">
        <v>5965</v>
      </c>
      <c r="D2277" t="s">
        <v>2348</v>
      </c>
      <c r="E2277" t="s">
        <v>3743</v>
      </c>
    </row>
    <row r="2278" spans="1:5">
      <c r="A2278">
        <v>2276</v>
      </c>
      <c r="B2278" t="s">
        <v>2416</v>
      </c>
      <c r="C2278" t="s">
        <v>5966</v>
      </c>
      <c r="D2278" t="s">
        <v>2348</v>
      </c>
      <c r="E2278" t="s">
        <v>3743</v>
      </c>
    </row>
    <row r="2279" spans="1:5">
      <c r="A2279">
        <v>2277</v>
      </c>
      <c r="B2279" t="s">
        <v>2417</v>
      </c>
      <c r="C2279" t="s">
        <v>5967</v>
      </c>
      <c r="D2279" t="s">
        <v>2348</v>
      </c>
      <c r="E2279" t="s">
        <v>3743</v>
      </c>
    </row>
    <row r="2280" spans="1:5">
      <c r="A2280">
        <v>2278</v>
      </c>
      <c r="B2280" t="s">
        <v>2418</v>
      </c>
      <c r="C2280" t="s">
        <v>5968</v>
      </c>
      <c r="D2280" t="s">
        <v>2348</v>
      </c>
      <c r="E2280" t="s">
        <v>3743</v>
      </c>
    </row>
    <row r="2281" spans="1:5">
      <c r="A2281">
        <v>2279</v>
      </c>
      <c r="B2281" t="s">
        <v>2419</v>
      </c>
      <c r="C2281" t="s">
        <v>5969</v>
      </c>
      <c r="D2281" t="s">
        <v>2348</v>
      </c>
      <c r="E2281" t="s">
        <v>3743</v>
      </c>
    </row>
    <row r="2282" spans="1:5">
      <c r="A2282">
        <v>2280</v>
      </c>
      <c r="B2282" t="s">
        <v>2420</v>
      </c>
      <c r="C2282" t="s">
        <v>5970</v>
      </c>
      <c r="D2282" t="s">
        <v>2348</v>
      </c>
      <c r="E2282" t="s">
        <v>3743</v>
      </c>
    </row>
    <row r="2283" spans="1:5">
      <c r="A2283">
        <v>2281</v>
      </c>
      <c r="B2283" t="s">
        <v>2421</v>
      </c>
      <c r="C2283" t="s">
        <v>5971</v>
      </c>
      <c r="D2283" t="s">
        <v>2348</v>
      </c>
      <c r="E2283" t="s">
        <v>3743</v>
      </c>
    </row>
    <row r="2284" spans="1:5">
      <c r="A2284">
        <v>2282</v>
      </c>
      <c r="B2284" t="s">
        <v>2422</v>
      </c>
      <c r="C2284" t="s">
        <v>5972</v>
      </c>
      <c r="D2284" t="s">
        <v>2348</v>
      </c>
      <c r="E2284" t="s">
        <v>3743</v>
      </c>
    </row>
    <row r="2285" spans="1:5">
      <c r="A2285">
        <v>2283</v>
      </c>
      <c r="B2285" t="s">
        <v>2423</v>
      </c>
      <c r="C2285" t="s">
        <v>5973</v>
      </c>
      <c r="D2285" t="s">
        <v>2348</v>
      </c>
      <c r="E2285" t="s">
        <v>3743</v>
      </c>
    </row>
    <row r="2286" spans="1:5">
      <c r="A2286">
        <v>2284</v>
      </c>
      <c r="B2286" t="s">
        <v>2424</v>
      </c>
      <c r="C2286" t="s">
        <v>5974</v>
      </c>
      <c r="D2286" t="s">
        <v>2348</v>
      </c>
      <c r="E2286" t="s">
        <v>3743</v>
      </c>
    </row>
    <row r="2287" spans="1:5">
      <c r="A2287">
        <v>2285</v>
      </c>
      <c r="B2287" t="s">
        <v>2425</v>
      </c>
      <c r="C2287" t="s">
        <v>5975</v>
      </c>
      <c r="D2287" t="s">
        <v>2348</v>
      </c>
      <c r="E2287" t="s">
        <v>3743</v>
      </c>
    </row>
    <row r="2288" spans="1:5">
      <c r="A2288">
        <v>2286</v>
      </c>
      <c r="B2288" t="s">
        <v>2426</v>
      </c>
      <c r="C2288" t="s">
        <v>5976</v>
      </c>
      <c r="D2288" t="s">
        <v>2348</v>
      </c>
      <c r="E2288" t="s">
        <v>3743</v>
      </c>
    </row>
    <row r="2289" spans="1:5">
      <c r="A2289">
        <v>2287</v>
      </c>
      <c r="B2289" t="s">
        <v>2427</v>
      </c>
      <c r="C2289" t="s">
        <v>5977</v>
      </c>
      <c r="D2289" t="s">
        <v>2348</v>
      </c>
      <c r="E2289" t="s">
        <v>3743</v>
      </c>
    </row>
    <row r="2290" spans="1:5">
      <c r="A2290">
        <v>2288</v>
      </c>
      <c r="B2290" t="s">
        <v>2428</v>
      </c>
      <c r="C2290" t="s">
        <v>5978</v>
      </c>
      <c r="D2290" t="s">
        <v>2348</v>
      </c>
      <c r="E2290" t="s">
        <v>3743</v>
      </c>
    </row>
    <row r="2291" spans="1:5">
      <c r="A2291">
        <v>2289</v>
      </c>
      <c r="B2291" t="s">
        <v>2429</v>
      </c>
      <c r="C2291" t="s">
        <v>5979</v>
      </c>
      <c r="D2291" t="s">
        <v>2348</v>
      </c>
      <c r="E2291" t="s">
        <v>3743</v>
      </c>
    </row>
    <row r="2292" spans="1:5">
      <c r="A2292">
        <v>2290</v>
      </c>
      <c r="B2292" t="s">
        <v>2430</v>
      </c>
      <c r="C2292" t="s">
        <v>5980</v>
      </c>
      <c r="D2292" t="s">
        <v>2348</v>
      </c>
      <c r="E2292" t="s">
        <v>3743</v>
      </c>
    </row>
    <row r="2293" spans="1:5">
      <c r="A2293">
        <v>2291</v>
      </c>
      <c r="B2293" t="s">
        <v>2431</v>
      </c>
      <c r="C2293" t="s">
        <v>5981</v>
      </c>
      <c r="D2293" t="s">
        <v>2348</v>
      </c>
      <c r="E2293" t="s">
        <v>3743</v>
      </c>
    </row>
    <row r="2294" spans="1:5">
      <c r="A2294">
        <v>2292</v>
      </c>
      <c r="B2294" t="s">
        <v>2432</v>
      </c>
      <c r="C2294" t="s">
        <v>5982</v>
      </c>
      <c r="D2294" t="s">
        <v>2348</v>
      </c>
      <c r="E2294" t="s">
        <v>3743</v>
      </c>
    </row>
    <row r="2295" spans="1:5">
      <c r="A2295">
        <v>2293</v>
      </c>
      <c r="B2295" t="s">
        <v>2433</v>
      </c>
      <c r="C2295" t="s">
        <v>5983</v>
      </c>
      <c r="D2295" t="s">
        <v>2348</v>
      </c>
      <c r="E2295" t="s">
        <v>3743</v>
      </c>
    </row>
    <row r="2296" spans="1:5">
      <c r="A2296">
        <v>2294</v>
      </c>
      <c r="B2296" t="s">
        <v>2434</v>
      </c>
      <c r="C2296" t="s">
        <v>5984</v>
      </c>
      <c r="D2296" t="s">
        <v>2348</v>
      </c>
      <c r="E2296" t="s">
        <v>3743</v>
      </c>
    </row>
    <row r="2297" spans="1:5">
      <c r="A2297">
        <v>2295</v>
      </c>
      <c r="B2297" t="s">
        <v>2435</v>
      </c>
      <c r="C2297" t="s">
        <v>5985</v>
      </c>
      <c r="D2297" t="s">
        <v>2348</v>
      </c>
      <c r="E2297" t="s">
        <v>3743</v>
      </c>
    </row>
    <row r="2298" spans="1:5">
      <c r="A2298">
        <v>2296</v>
      </c>
      <c r="B2298" t="s">
        <v>2436</v>
      </c>
      <c r="C2298" t="s">
        <v>5986</v>
      </c>
      <c r="D2298" t="s">
        <v>2348</v>
      </c>
      <c r="E2298" t="s">
        <v>3743</v>
      </c>
    </row>
    <row r="2299" spans="1:5">
      <c r="A2299">
        <v>2297</v>
      </c>
      <c r="B2299" t="s">
        <v>2437</v>
      </c>
      <c r="C2299" t="s">
        <v>5987</v>
      </c>
      <c r="D2299" t="s">
        <v>2348</v>
      </c>
      <c r="E2299" t="s">
        <v>3743</v>
      </c>
    </row>
    <row r="2300" spans="1:5">
      <c r="A2300">
        <v>2298</v>
      </c>
      <c r="B2300" t="s">
        <v>2438</v>
      </c>
      <c r="C2300" t="s">
        <v>5988</v>
      </c>
      <c r="D2300" t="s">
        <v>2348</v>
      </c>
      <c r="E2300" t="s">
        <v>3743</v>
      </c>
    </row>
    <row r="2301" spans="1:5">
      <c r="A2301">
        <v>2299</v>
      </c>
      <c r="B2301" t="s">
        <v>2439</v>
      </c>
      <c r="C2301" t="s">
        <v>5989</v>
      </c>
      <c r="D2301" t="s">
        <v>2348</v>
      </c>
      <c r="E2301" t="s">
        <v>3743</v>
      </c>
    </row>
    <row r="2302" spans="1:5">
      <c r="A2302">
        <v>2300</v>
      </c>
      <c r="B2302" t="s">
        <v>2440</v>
      </c>
      <c r="C2302" t="s">
        <v>5990</v>
      </c>
      <c r="D2302" t="s">
        <v>2348</v>
      </c>
      <c r="E2302" t="s">
        <v>3743</v>
      </c>
    </row>
    <row r="2303" spans="1:5">
      <c r="A2303">
        <v>2301</v>
      </c>
      <c r="B2303" t="s">
        <v>2441</v>
      </c>
      <c r="C2303" t="s">
        <v>5991</v>
      </c>
      <c r="D2303" t="s">
        <v>2348</v>
      </c>
      <c r="E2303" t="s">
        <v>3743</v>
      </c>
    </row>
    <row r="2304" spans="1:5">
      <c r="A2304">
        <v>2302</v>
      </c>
      <c r="B2304" t="s">
        <v>2442</v>
      </c>
      <c r="C2304" t="s">
        <v>5992</v>
      </c>
      <c r="D2304" t="s">
        <v>2348</v>
      </c>
      <c r="E2304" t="s">
        <v>3743</v>
      </c>
    </row>
    <row r="2305" spans="1:5">
      <c r="A2305">
        <v>2303</v>
      </c>
      <c r="B2305" t="s">
        <v>2443</v>
      </c>
      <c r="C2305" t="s">
        <v>5993</v>
      </c>
      <c r="D2305" t="s">
        <v>2348</v>
      </c>
      <c r="E2305" t="s">
        <v>3743</v>
      </c>
    </row>
    <row r="2306" spans="1:5">
      <c r="A2306">
        <v>2304</v>
      </c>
      <c r="B2306" t="s">
        <v>2444</v>
      </c>
      <c r="C2306" t="s">
        <v>5994</v>
      </c>
      <c r="D2306" t="s">
        <v>2348</v>
      </c>
      <c r="E2306" t="s">
        <v>3743</v>
      </c>
    </row>
    <row r="2307" spans="1:5">
      <c r="A2307">
        <v>2305</v>
      </c>
      <c r="B2307" t="s">
        <v>2445</v>
      </c>
      <c r="C2307" t="s">
        <v>5995</v>
      </c>
      <c r="D2307" t="s">
        <v>2348</v>
      </c>
      <c r="E2307" t="s">
        <v>3743</v>
      </c>
    </row>
    <row r="2308" spans="1:5">
      <c r="A2308">
        <v>2306</v>
      </c>
      <c r="B2308" t="s">
        <v>2446</v>
      </c>
      <c r="C2308" t="s">
        <v>5996</v>
      </c>
      <c r="D2308" t="s">
        <v>2348</v>
      </c>
      <c r="E2308" t="s">
        <v>3743</v>
      </c>
    </row>
    <row r="2309" spans="1:5">
      <c r="A2309">
        <v>2307</v>
      </c>
      <c r="B2309" t="s">
        <v>2447</v>
      </c>
      <c r="C2309" t="s">
        <v>5997</v>
      </c>
      <c r="D2309" t="s">
        <v>2348</v>
      </c>
      <c r="E2309" t="s">
        <v>3743</v>
      </c>
    </row>
    <row r="2310" spans="1:5">
      <c r="A2310">
        <v>2308</v>
      </c>
      <c r="B2310" t="s">
        <v>2448</v>
      </c>
      <c r="C2310" t="s">
        <v>5998</v>
      </c>
      <c r="D2310" t="s">
        <v>2348</v>
      </c>
      <c r="E2310" t="s">
        <v>3743</v>
      </c>
    </row>
    <row r="2311" spans="1:5">
      <c r="A2311">
        <v>2309</v>
      </c>
      <c r="B2311" t="s">
        <v>2449</v>
      </c>
      <c r="C2311" t="s">
        <v>5999</v>
      </c>
      <c r="D2311" t="s">
        <v>2348</v>
      </c>
      <c r="E2311" t="s">
        <v>3743</v>
      </c>
    </row>
    <row r="2312" spans="1:5">
      <c r="A2312">
        <v>2310</v>
      </c>
      <c r="B2312" t="s">
        <v>2450</v>
      </c>
      <c r="C2312" t="s">
        <v>6000</v>
      </c>
      <c r="D2312" t="s">
        <v>2348</v>
      </c>
      <c r="E2312" t="s">
        <v>3743</v>
      </c>
    </row>
    <row r="2313" spans="1:5">
      <c r="A2313">
        <v>2311</v>
      </c>
      <c r="B2313" t="s">
        <v>2451</v>
      </c>
      <c r="C2313" t="s">
        <v>6001</v>
      </c>
      <c r="D2313" t="s">
        <v>2348</v>
      </c>
      <c r="E2313" t="s">
        <v>3743</v>
      </c>
    </row>
    <row r="2314" spans="1:5">
      <c r="A2314">
        <v>2312</v>
      </c>
      <c r="B2314" t="s">
        <v>2452</v>
      </c>
      <c r="C2314" t="s">
        <v>6002</v>
      </c>
      <c r="D2314" t="s">
        <v>2348</v>
      </c>
      <c r="E2314" t="s">
        <v>3743</v>
      </c>
    </row>
    <row r="2315" spans="1:5">
      <c r="A2315">
        <v>2313</v>
      </c>
      <c r="B2315" t="s">
        <v>2453</v>
      </c>
      <c r="C2315" t="s">
        <v>6003</v>
      </c>
      <c r="D2315" t="s">
        <v>2348</v>
      </c>
      <c r="E2315" t="s">
        <v>3743</v>
      </c>
    </row>
    <row r="2316" spans="1:5">
      <c r="A2316">
        <v>2314</v>
      </c>
      <c r="B2316" t="s">
        <v>2454</v>
      </c>
      <c r="C2316" t="s">
        <v>6004</v>
      </c>
      <c r="D2316" t="s">
        <v>2348</v>
      </c>
      <c r="E2316" t="s">
        <v>3743</v>
      </c>
    </row>
    <row r="2317" spans="1:5">
      <c r="A2317">
        <v>2315</v>
      </c>
      <c r="B2317" t="s">
        <v>2455</v>
      </c>
      <c r="C2317" t="s">
        <v>6005</v>
      </c>
      <c r="D2317" t="s">
        <v>2348</v>
      </c>
      <c r="E2317" t="s">
        <v>3743</v>
      </c>
    </row>
    <row r="2318" spans="1:5">
      <c r="A2318">
        <v>2316</v>
      </c>
      <c r="B2318" t="s">
        <v>2456</v>
      </c>
      <c r="C2318" t="s">
        <v>6006</v>
      </c>
      <c r="D2318" t="s">
        <v>2348</v>
      </c>
      <c r="E2318" t="s">
        <v>3743</v>
      </c>
    </row>
    <row r="2319" spans="1:5">
      <c r="A2319">
        <v>2317</v>
      </c>
      <c r="B2319" t="s">
        <v>2457</v>
      </c>
      <c r="C2319" t="s">
        <v>6007</v>
      </c>
      <c r="D2319" t="s">
        <v>2348</v>
      </c>
      <c r="E2319" t="s">
        <v>3743</v>
      </c>
    </row>
    <row r="2320" spans="1:5">
      <c r="A2320">
        <v>2318</v>
      </c>
      <c r="B2320" t="s">
        <v>2458</v>
      </c>
      <c r="C2320" t="s">
        <v>6008</v>
      </c>
      <c r="D2320" t="s">
        <v>2348</v>
      </c>
      <c r="E2320" t="s">
        <v>3743</v>
      </c>
    </row>
    <row r="2321" spans="1:5">
      <c r="A2321">
        <v>2319</v>
      </c>
      <c r="B2321" t="s">
        <v>2070</v>
      </c>
      <c r="C2321" t="s">
        <v>5624</v>
      </c>
      <c r="D2321" t="s">
        <v>2348</v>
      </c>
      <c r="E2321" t="s">
        <v>3743</v>
      </c>
    </row>
    <row r="2322" spans="1:5">
      <c r="A2322">
        <v>2320</v>
      </c>
      <c r="B2322" t="s">
        <v>2459</v>
      </c>
      <c r="C2322" t="s">
        <v>6009</v>
      </c>
      <c r="D2322" t="s">
        <v>2348</v>
      </c>
      <c r="E2322" t="s">
        <v>3743</v>
      </c>
    </row>
    <row r="2323" spans="1:5">
      <c r="A2323">
        <v>2321</v>
      </c>
      <c r="B2323" t="s">
        <v>2460</v>
      </c>
      <c r="C2323" t="s">
        <v>6010</v>
      </c>
      <c r="D2323" t="s">
        <v>2348</v>
      </c>
      <c r="E2323" t="s">
        <v>3743</v>
      </c>
    </row>
    <row r="2324" spans="1:5">
      <c r="A2324">
        <v>2322</v>
      </c>
      <c r="B2324" t="s">
        <v>2461</v>
      </c>
      <c r="C2324" t="s">
        <v>6011</v>
      </c>
      <c r="D2324" t="s">
        <v>2348</v>
      </c>
      <c r="E2324" t="s">
        <v>3743</v>
      </c>
    </row>
    <row r="2325" spans="1:5">
      <c r="A2325">
        <v>2323</v>
      </c>
      <c r="B2325" t="s">
        <v>2462</v>
      </c>
      <c r="C2325" t="s">
        <v>6012</v>
      </c>
      <c r="D2325" t="s">
        <v>2348</v>
      </c>
      <c r="E2325" t="s">
        <v>3743</v>
      </c>
    </row>
    <row r="2326" spans="1:5">
      <c r="A2326">
        <v>2324</v>
      </c>
      <c r="B2326" t="s">
        <v>2463</v>
      </c>
      <c r="C2326" t="s">
        <v>6013</v>
      </c>
      <c r="D2326" t="s">
        <v>2348</v>
      </c>
      <c r="E2326" t="s">
        <v>3743</v>
      </c>
    </row>
    <row r="2327" spans="1:5">
      <c r="A2327">
        <v>2325</v>
      </c>
      <c r="B2327" t="s">
        <v>2464</v>
      </c>
      <c r="C2327" t="s">
        <v>6014</v>
      </c>
      <c r="D2327" t="s">
        <v>2348</v>
      </c>
      <c r="E2327" t="s">
        <v>3743</v>
      </c>
    </row>
    <row r="2328" spans="1:5">
      <c r="A2328">
        <v>2326</v>
      </c>
      <c r="B2328" t="s">
        <v>2465</v>
      </c>
      <c r="C2328" t="s">
        <v>6015</v>
      </c>
      <c r="D2328" t="s">
        <v>2348</v>
      </c>
      <c r="E2328" t="s">
        <v>3743</v>
      </c>
    </row>
    <row r="2329" spans="1:5">
      <c r="A2329">
        <v>2327</v>
      </c>
      <c r="B2329" t="s">
        <v>2466</v>
      </c>
      <c r="C2329" t="s">
        <v>6016</v>
      </c>
      <c r="D2329" t="s">
        <v>2348</v>
      </c>
      <c r="E2329" t="s">
        <v>3743</v>
      </c>
    </row>
    <row r="2330" spans="1:5">
      <c r="A2330">
        <v>2328</v>
      </c>
      <c r="B2330" t="s">
        <v>2467</v>
      </c>
      <c r="C2330" t="s">
        <v>6017</v>
      </c>
      <c r="D2330" t="s">
        <v>2348</v>
      </c>
      <c r="E2330" t="s">
        <v>3743</v>
      </c>
    </row>
    <row r="2331" spans="1:5">
      <c r="A2331">
        <v>2329</v>
      </c>
      <c r="B2331" t="s">
        <v>2468</v>
      </c>
      <c r="C2331" t="s">
        <v>6018</v>
      </c>
      <c r="D2331" t="s">
        <v>2348</v>
      </c>
      <c r="E2331" t="s">
        <v>3743</v>
      </c>
    </row>
    <row r="2332" spans="1:5">
      <c r="A2332">
        <v>2330</v>
      </c>
      <c r="B2332" t="s">
        <v>2469</v>
      </c>
      <c r="C2332" t="s">
        <v>6019</v>
      </c>
      <c r="D2332" t="s">
        <v>2348</v>
      </c>
      <c r="E2332" t="s">
        <v>3743</v>
      </c>
    </row>
    <row r="2333" spans="1:5">
      <c r="A2333">
        <v>2331</v>
      </c>
      <c r="B2333" t="s">
        <v>2470</v>
      </c>
      <c r="C2333" t="s">
        <v>6020</v>
      </c>
      <c r="D2333" t="s">
        <v>2348</v>
      </c>
      <c r="E2333" t="s">
        <v>3743</v>
      </c>
    </row>
    <row r="2334" spans="1:5">
      <c r="A2334">
        <v>2332</v>
      </c>
      <c r="B2334" t="s">
        <v>2471</v>
      </c>
      <c r="C2334" t="s">
        <v>6021</v>
      </c>
      <c r="D2334" t="s">
        <v>2348</v>
      </c>
      <c r="E2334" t="s">
        <v>3743</v>
      </c>
    </row>
    <row r="2335" spans="1:5">
      <c r="A2335">
        <v>2333</v>
      </c>
      <c r="B2335" t="s">
        <v>2472</v>
      </c>
      <c r="C2335" t="s">
        <v>6022</v>
      </c>
      <c r="D2335" t="s">
        <v>2348</v>
      </c>
      <c r="E2335" t="s">
        <v>3743</v>
      </c>
    </row>
    <row r="2336" spans="1:5">
      <c r="A2336">
        <v>2334</v>
      </c>
      <c r="B2336" t="s">
        <v>2473</v>
      </c>
      <c r="C2336" t="s">
        <v>6023</v>
      </c>
      <c r="D2336" t="s">
        <v>2348</v>
      </c>
      <c r="E2336" t="s">
        <v>3743</v>
      </c>
    </row>
    <row r="2337" spans="1:5">
      <c r="A2337">
        <v>2335</v>
      </c>
      <c r="B2337" t="s">
        <v>2474</v>
      </c>
      <c r="C2337" t="s">
        <v>6024</v>
      </c>
      <c r="D2337" t="s">
        <v>2348</v>
      </c>
      <c r="E2337" t="s">
        <v>3743</v>
      </c>
    </row>
    <row r="2338" spans="1:5">
      <c r="A2338">
        <v>2336</v>
      </c>
      <c r="B2338" t="s">
        <v>2475</v>
      </c>
      <c r="C2338" t="s">
        <v>6025</v>
      </c>
      <c r="D2338" t="s">
        <v>2348</v>
      </c>
      <c r="E2338" t="s">
        <v>3743</v>
      </c>
    </row>
    <row r="2339" spans="1:5">
      <c r="A2339">
        <v>2337</v>
      </c>
      <c r="B2339" t="s">
        <v>2476</v>
      </c>
      <c r="C2339" t="s">
        <v>6026</v>
      </c>
      <c r="D2339" t="s">
        <v>2348</v>
      </c>
      <c r="E2339" t="s">
        <v>3743</v>
      </c>
    </row>
    <row r="2340" spans="1:5">
      <c r="A2340">
        <v>2338</v>
      </c>
      <c r="B2340" t="s">
        <v>2477</v>
      </c>
      <c r="C2340" t="s">
        <v>6027</v>
      </c>
      <c r="D2340" t="s">
        <v>2348</v>
      </c>
      <c r="E2340" t="s">
        <v>3743</v>
      </c>
    </row>
    <row r="2341" spans="1:5">
      <c r="A2341">
        <v>2339</v>
      </c>
      <c r="B2341" t="s">
        <v>2478</v>
      </c>
      <c r="C2341" t="s">
        <v>6028</v>
      </c>
      <c r="D2341" t="s">
        <v>2348</v>
      </c>
      <c r="E2341" t="s">
        <v>3743</v>
      </c>
    </row>
    <row r="2342" spans="1:5">
      <c r="A2342">
        <v>2340</v>
      </c>
      <c r="B2342" t="s">
        <v>2479</v>
      </c>
      <c r="C2342" t="s">
        <v>6029</v>
      </c>
      <c r="D2342" t="s">
        <v>2348</v>
      </c>
      <c r="E2342" t="s">
        <v>3743</v>
      </c>
    </row>
    <row r="2343" spans="1:5">
      <c r="A2343">
        <v>2341</v>
      </c>
      <c r="B2343" t="s">
        <v>2480</v>
      </c>
      <c r="C2343" t="s">
        <v>6030</v>
      </c>
      <c r="D2343" t="s">
        <v>2348</v>
      </c>
      <c r="E2343" t="s">
        <v>3743</v>
      </c>
    </row>
    <row r="2344" spans="1:5">
      <c r="A2344">
        <v>2342</v>
      </c>
      <c r="B2344" t="s">
        <v>2481</v>
      </c>
      <c r="C2344" t="s">
        <v>6031</v>
      </c>
      <c r="D2344" t="s">
        <v>2348</v>
      </c>
      <c r="E2344" t="s">
        <v>3743</v>
      </c>
    </row>
    <row r="2345" spans="1:5">
      <c r="A2345">
        <v>2343</v>
      </c>
      <c r="B2345" t="s">
        <v>2482</v>
      </c>
      <c r="C2345" t="s">
        <v>6032</v>
      </c>
      <c r="D2345" t="s">
        <v>2348</v>
      </c>
      <c r="E2345" t="s">
        <v>3743</v>
      </c>
    </row>
    <row r="2346" spans="1:5">
      <c r="A2346">
        <v>2344</v>
      </c>
      <c r="B2346" t="s">
        <v>2483</v>
      </c>
      <c r="C2346" t="s">
        <v>6033</v>
      </c>
      <c r="D2346" t="s">
        <v>2348</v>
      </c>
      <c r="E2346" t="s">
        <v>3743</v>
      </c>
    </row>
    <row r="2347" spans="1:5">
      <c r="A2347">
        <v>2345</v>
      </c>
      <c r="B2347" t="s">
        <v>2484</v>
      </c>
      <c r="C2347" t="s">
        <v>6034</v>
      </c>
      <c r="D2347" t="s">
        <v>2348</v>
      </c>
      <c r="E2347" t="s">
        <v>3743</v>
      </c>
    </row>
    <row r="2348" spans="1:5">
      <c r="A2348">
        <v>2346</v>
      </c>
      <c r="B2348" t="s">
        <v>2485</v>
      </c>
      <c r="C2348" t="s">
        <v>6035</v>
      </c>
      <c r="D2348" t="s">
        <v>2348</v>
      </c>
      <c r="E2348" t="s">
        <v>3743</v>
      </c>
    </row>
    <row r="2349" spans="1:5">
      <c r="A2349">
        <v>2347</v>
      </c>
      <c r="B2349" t="s">
        <v>2486</v>
      </c>
      <c r="C2349" t="s">
        <v>6036</v>
      </c>
      <c r="D2349" t="s">
        <v>2348</v>
      </c>
      <c r="E2349" t="s">
        <v>3743</v>
      </c>
    </row>
    <row r="2350" spans="1:5">
      <c r="A2350">
        <v>2348</v>
      </c>
      <c r="B2350" t="s">
        <v>2487</v>
      </c>
      <c r="C2350" t="s">
        <v>6037</v>
      </c>
      <c r="D2350" t="s">
        <v>2348</v>
      </c>
      <c r="E2350" t="s">
        <v>3743</v>
      </c>
    </row>
    <row r="2351" spans="1:5">
      <c r="A2351">
        <v>2349</v>
      </c>
      <c r="B2351" t="s">
        <v>2488</v>
      </c>
      <c r="C2351" t="s">
        <v>6038</v>
      </c>
      <c r="D2351" t="s">
        <v>2348</v>
      </c>
      <c r="E2351" t="s">
        <v>3743</v>
      </c>
    </row>
    <row r="2352" spans="1:5">
      <c r="A2352">
        <v>2350</v>
      </c>
      <c r="B2352" t="s">
        <v>2489</v>
      </c>
      <c r="C2352" t="s">
        <v>6039</v>
      </c>
      <c r="D2352" t="s">
        <v>2348</v>
      </c>
      <c r="E2352" t="s">
        <v>3743</v>
      </c>
    </row>
    <row r="2353" spans="1:5">
      <c r="A2353">
        <v>2351</v>
      </c>
      <c r="B2353" t="s">
        <v>2490</v>
      </c>
      <c r="C2353" t="s">
        <v>6040</v>
      </c>
      <c r="D2353" t="s">
        <v>2348</v>
      </c>
      <c r="E2353" t="s">
        <v>3743</v>
      </c>
    </row>
    <row r="2354" spans="1:5">
      <c r="A2354">
        <v>2352</v>
      </c>
      <c r="B2354" t="s">
        <v>2491</v>
      </c>
      <c r="C2354" t="s">
        <v>6041</v>
      </c>
      <c r="D2354" t="s">
        <v>2348</v>
      </c>
      <c r="E2354" t="s">
        <v>3743</v>
      </c>
    </row>
    <row r="2355" spans="1:5">
      <c r="A2355">
        <v>2353</v>
      </c>
      <c r="B2355" t="s">
        <v>2492</v>
      </c>
      <c r="C2355" t="s">
        <v>6042</v>
      </c>
      <c r="D2355" t="s">
        <v>2348</v>
      </c>
      <c r="E2355" t="s">
        <v>3743</v>
      </c>
    </row>
    <row r="2356" spans="1:5">
      <c r="A2356">
        <v>2354</v>
      </c>
      <c r="B2356" t="s">
        <v>2493</v>
      </c>
      <c r="C2356" t="s">
        <v>6043</v>
      </c>
      <c r="D2356" t="s">
        <v>2348</v>
      </c>
      <c r="E2356" t="s">
        <v>3743</v>
      </c>
    </row>
    <row r="2357" spans="1:5">
      <c r="A2357">
        <v>2355</v>
      </c>
      <c r="B2357" t="s">
        <v>2494</v>
      </c>
      <c r="C2357" t="s">
        <v>6044</v>
      </c>
      <c r="D2357" t="s">
        <v>2348</v>
      </c>
      <c r="E2357" t="s">
        <v>3743</v>
      </c>
    </row>
    <row r="2358" spans="1:5">
      <c r="A2358">
        <v>2356</v>
      </c>
      <c r="B2358" t="s">
        <v>2495</v>
      </c>
      <c r="C2358" t="s">
        <v>6045</v>
      </c>
      <c r="D2358" t="s">
        <v>2348</v>
      </c>
      <c r="E2358" t="s">
        <v>3743</v>
      </c>
    </row>
    <row r="2359" spans="1:5">
      <c r="A2359">
        <v>2357</v>
      </c>
      <c r="B2359" t="s">
        <v>2496</v>
      </c>
      <c r="C2359" t="s">
        <v>6046</v>
      </c>
      <c r="D2359" t="s">
        <v>2348</v>
      </c>
      <c r="E2359" t="s">
        <v>3743</v>
      </c>
    </row>
    <row r="2360" spans="1:5">
      <c r="A2360">
        <v>2358</v>
      </c>
      <c r="B2360" t="s">
        <v>2497</v>
      </c>
      <c r="C2360" t="s">
        <v>6047</v>
      </c>
      <c r="D2360" t="s">
        <v>2348</v>
      </c>
      <c r="E2360" t="s">
        <v>3743</v>
      </c>
    </row>
    <row r="2361" spans="1:5">
      <c r="A2361">
        <v>2359</v>
      </c>
      <c r="B2361" t="s">
        <v>2498</v>
      </c>
      <c r="C2361" t="s">
        <v>6048</v>
      </c>
      <c r="D2361" t="s">
        <v>2348</v>
      </c>
      <c r="E2361" t="s">
        <v>3743</v>
      </c>
    </row>
    <row r="2362" spans="1:5">
      <c r="A2362">
        <v>2360</v>
      </c>
      <c r="B2362" t="s">
        <v>2499</v>
      </c>
      <c r="C2362" t="s">
        <v>6049</v>
      </c>
      <c r="D2362" t="s">
        <v>2348</v>
      </c>
      <c r="E2362" t="s">
        <v>3743</v>
      </c>
    </row>
    <row r="2363" spans="1:5">
      <c r="A2363">
        <v>2361</v>
      </c>
      <c r="B2363" t="s">
        <v>2500</v>
      </c>
      <c r="C2363" t="s">
        <v>6050</v>
      </c>
      <c r="D2363" t="s">
        <v>2348</v>
      </c>
      <c r="E2363" t="s">
        <v>3743</v>
      </c>
    </row>
    <row r="2364" spans="1:5">
      <c r="A2364">
        <v>2362</v>
      </c>
      <c r="B2364" t="s">
        <v>2501</v>
      </c>
      <c r="C2364" t="s">
        <v>6051</v>
      </c>
      <c r="D2364" t="s">
        <v>2348</v>
      </c>
      <c r="E2364" t="s">
        <v>3743</v>
      </c>
    </row>
    <row r="2365" spans="1:5">
      <c r="A2365">
        <v>2363</v>
      </c>
      <c r="B2365" t="s">
        <v>2502</v>
      </c>
      <c r="C2365" t="s">
        <v>6052</v>
      </c>
      <c r="D2365" t="s">
        <v>2348</v>
      </c>
      <c r="E2365" t="s">
        <v>3743</v>
      </c>
    </row>
    <row r="2366" spans="1:5">
      <c r="A2366">
        <v>2364</v>
      </c>
      <c r="B2366" t="s">
        <v>2503</v>
      </c>
      <c r="C2366" t="s">
        <v>6053</v>
      </c>
      <c r="D2366" t="s">
        <v>2348</v>
      </c>
      <c r="E2366" t="s">
        <v>3743</v>
      </c>
    </row>
    <row r="2367" spans="1:5">
      <c r="A2367">
        <v>2365</v>
      </c>
      <c r="B2367" t="s">
        <v>2504</v>
      </c>
      <c r="C2367" t="s">
        <v>6054</v>
      </c>
      <c r="D2367" t="s">
        <v>2348</v>
      </c>
      <c r="E2367" t="s">
        <v>3743</v>
      </c>
    </row>
    <row r="2368" spans="1:5">
      <c r="A2368">
        <v>2366</v>
      </c>
      <c r="B2368" t="s">
        <v>2505</v>
      </c>
      <c r="C2368" t="s">
        <v>6055</v>
      </c>
      <c r="D2368" t="s">
        <v>2348</v>
      </c>
      <c r="E2368" t="s">
        <v>3743</v>
      </c>
    </row>
    <row r="2369" spans="1:5">
      <c r="A2369">
        <v>2367</v>
      </c>
      <c r="B2369" t="s">
        <v>2506</v>
      </c>
      <c r="C2369" t="s">
        <v>6056</v>
      </c>
      <c r="D2369" t="s">
        <v>2348</v>
      </c>
      <c r="E2369" t="s">
        <v>3743</v>
      </c>
    </row>
    <row r="2370" spans="1:5">
      <c r="A2370">
        <v>2368</v>
      </c>
      <c r="B2370" t="s">
        <v>2507</v>
      </c>
      <c r="C2370" t="s">
        <v>6057</v>
      </c>
      <c r="D2370" t="s">
        <v>2348</v>
      </c>
      <c r="E2370" t="s">
        <v>3743</v>
      </c>
    </row>
    <row r="2371" spans="1:5">
      <c r="A2371">
        <v>2369</v>
      </c>
      <c r="B2371" t="s">
        <v>2508</v>
      </c>
      <c r="C2371" t="s">
        <v>6058</v>
      </c>
      <c r="D2371" t="s">
        <v>2348</v>
      </c>
      <c r="E2371" t="s">
        <v>3743</v>
      </c>
    </row>
    <row r="2372" spans="1:5">
      <c r="A2372">
        <v>2370</v>
      </c>
      <c r="B2372" t="s">
        <v>2509</v>
      </c>
      <c r="C2372" t="s">
        <v>6059</v>
      </c>
      <c r="D2372" t="s">
        <v>2348</v>
      </c>
      <c r="E2372" t="s">
        <v>3743</v>
      </c>
    </row>
    <row r="2373" spans="1:5">
      <c r="A2373">
        <v>2371</v>
      </c>
      <c r="B2373" t="s">
        <v>2510</v>
      </c>
      <c r="C2373" t="s">
        <v>6060</v>
      </c>
      <c r="D2373" t="s">
        <v>2348</v>
      </c>
      <c r="E2373" t="s">
        <v>3743</v>
      </c>
    </row>
    <row r="2374" spans="1:5">
      <c r="A2374">
        <v>2372</v>
      </c>
      <c r="B2374" t="s">
        <v>2511</v>
      </c>
      <c r="C2374" t="s">
        <v>6061</v>
      </c>
      <c r="D2374" t="s">
        <v>2348</v>
      </c>
      <c r="E2374" t="s">
        <v>3743</v>
      </c>
    </row>
    <row r="2375" spans="1:5">
      <c r="A2375">
        <v>2373</v>
      </c>
      <c r="B2375" t="s">
        <v>2512</v>
      </c>
      <c r="C2375" t="s">
        <v>6062</v>
      </c>
      <c r="D2375" t="s">
        <v>2348</v>
      </c>
      <c r="E2375" t="s">
        <v>3743</v>
      </c>
    </row>
    <row r="2376" spans="1:5">
      <c r="A2376">
        <v>2374</v>
      </c>
      <c r="B2376" t="s">
        <v>2513</v>
      </c>
      <c r="C2376" t="s">
        <v>6063</v>
      </c>
      <c r="D2376" t="s">
        <v>2348</v>
      </c>
      <c r="E2376" t="s">
        <v>3743</v>
      </c>
    </row>
    <row r="2377" spans="1:5">
      <c r="A2377">
        <v>2375</v>
      </c>
      <c r="B2377" t="s">
        <v>2514</v>
      </c>
      <c r="C2377" t="s">
        <v>6064</v>
      </c>
      <c r="D2377" t="s">
        <v>2348</v>
      </c>
      <c r="E2377" t="s">
        <v>3743</v>
      </c>
    </row>
    <row r="2378" spans="1:5">
      <c r="A2378">
        <v>2376</v>
      </c>
      <c r="B2378" t="s">
        <v>2515</v>
      </c>
      <c r="C2378" t="s">
        <v>6065</v>
      </c>
      <c r="D2378" t="s">
        <v>2348</v>
      </c>
      <c r="E2378" t="s">
        <v>3743</v>
      </c>
    </row>
    <row r="2379" spans="1:5">
      <c r="A2379">
        <v>2377</v>
      </c>
      <c r="B2379" t="s">
        <v>2516</v>
      </c>
      <c r="C2379" t="s">
        <v>6066</v>
      </c>
      <c r="D2379" t="s">
        <v>2348</v>
      </c>
      <c r="E2379" t="s">
        <v>3743</v>
      </c>
    </row>
    <row r="2380" spans="1:5">
      <c r="A2380">
        <v>2378</v>
      </c>
      <c r="B2380" t="s">
        <v>2517</v>
      </c>
      <c r="C2380" t="s">
        <v>6067</v>
      </c>
      <c r="D2380" t="s">
        <v>2348</v>
      </c>
      <c r="E2380" t="s">
        <v>3743</v>
      </c>
    </row>
    <row r="2381" spans="1:5">
      <c r="A2381">
        <v>2379</v>
      </c>
      <c r="B2381" t="s">
        <v>2518</v>
      </c>
      <c r="C2381" t="s">
        <v>6068</v>
      </c>
      <c r="D2381" t="s">
        <v>2348</v>
      </c>
      <c r="E2381" t="s">
        <v>3743</v>
      </c>
    </row>
    <row r="2382" spans="1:5">
      <c r="A2382">
        <v>2380</v>
      </c>
      <c r="B2382" t="s">
        <v>2519</v>
      </c>
      <c r="C2382" t="s">
        <v>6069</v>
      </c>
      <c r="D2382" t="s">
        <v>2348</v>
      </c>
      <c r="E2382" t="s">
        <v>3743</v>
      </c>
    </row>
    <row r="2383" spans="1:5">
      <c r="A2383">
        <v>2381</v>
      </c>
      <c r="B2383" t="s">
        <v>2520</v>
      </c>
      <c r="C2383" t="s">
        <v>6070</v>
      </c>
      <c r="D2383" t="s">
        <v>2348</v>
      </c>
      <c r="E2383" t="s">
        <v>3743</v>
      </c>
    </row>
    <row r="2384" spans="1:5">
      <c r="A2384">
        <v>2382</v>
      </c>
      <c r="B2384" t="s">
        <v>2521</v>
      </c>
      <c r="C2384" t="s">
        <v>6071</v>
      </c>
      <c r="D2384" t="s">
        <v>2348</v>
      </c>
      <c r="E2384" t="s">
        <v>3743</v>
      </c>
    </row>
    <row r="2385" spans="1:5">
      <c r="A2385">
        <v>2383</v>
      </c>
      <c r="B2385" t="s">
        <v>2522</v>
      </c>
      <c r="C2385" t="s">
        <v>6072</v>
      </c>
      <c r="D2385" t="s">
        <v>2348</v>
      </c>
      <c r="E2385" t="s">
        <v>3743</v>
      </c>
    </row>
    <row r="2386" spans="1:5">
      <c r="A2386">
        <v>2384</v>
      </c>
      <c r="B2386" t="s">
        <v>2523</v>
      </c>
      <c r="C2386" t="s">
        <v>6073</v>
      </c>
      <c r="D2386" t="s">
        <v>2348</v>
      </c>
      <c r="E2386" t="s">
        <v>3743</v>
      </c>
    </row>
    <row r="2387" spans="1:5">
      <c r="A2387">
        <v>2385</v>
      </c>
      <c r="B2387" t="s">
        <v>2524</v>
      </c>
      <c r="C2387" t="s">
        <v>6074</v>
      </c>
      <c r="D2387" t="s">
        <v>2348</v>
      </c>
      <c r="E2387" t="s">
        <v>3743</v>
      </c>
    </row>
    <row r="2388" spans="1:5">
      <c r="A2388">
        <v>2386</v>
      </c>
      <c r="B2388" t="s">
        <v>2525</v>
      </c>
      <c r="C2388" t="s">
        <v>6075</v>
      </c>
      <c r="D2388" t="s">
        <v>2348</v>
      </c>
      <c r="E2388" t="s">
        <v>3743</v>
      </c>
    </row>
    <row r="2389" spans="1:5">
      <c r="A2389">
        <v>2387</v>
      </c>
      <c r="B2389" t="s">
        <v>2526</v>
      </c>
      <c r="C2389" t="s">
        <v>6076</v>
      </c>
      <c r="D2389" t="s">
        <v>2348</v>
      </c>
      <c r="E2389" t="s">
        <v>3743</v>
      </c>
    </row>
    <row r="2390" spans="1:5">
      <c r="A2390">
        <v>2388</v>
      </c>
      <c r="B2390" t="s">
        <v>2527</v>
      </c>
      <c r="C2390" t="s">
        <v>6077</v>
      </c>
      <c r="D2390" t="s">
        <v>2348</v>
      </c>
      <c r="E2390" t="s">
        <v>3743</v>
      </c>
    </row>
    <row r="2391" spans="1:5">
      <c r="A2391">
        <v>2389</v>
      </c>
      <c r="B2391" t="s">
        <v>2528</v>
      </c>
      <c r="C2391" t="s">
        <v>6078</v>
      </c>
      <c r="D2391" t="s">
        <v>2348</v>
      </c>
      <c r="E2391" t="s">
        <v>3743</v>
      </c>
    </row>
    <row r="2392" spans="1:5">
      <c r="A2392">
        <v>2390</v>
      </c>
      <c r="B2392" t="s">
        <v>2529</v>
      </c>
      <c r="C2392" t="s">
        <v>6079</v>
      </c>
      <c r="D2392" t="s">
        <v>2348</v>
      </c>
      <c r="E2392" t="s">
        <v>3743</v>
      </c>
    </row>
    <row r="2393" spans="1:5">
      <c r="A2393">
        <v>2391</v>
      </c>
      <c r="B2393" t="s">
        <v>2530</v>
      </c>
      <c r="C2393" t="s">
        <v>6080</v>
      </c>
      <c r="D2393" t="s">
        <v>2348</v>
      </c>
      <c r="E2393" t="s">
        <v>3743</v>
      </c>
    </row>
    <row r="2394" spans="1:5">
      <c r="A2394">
        <v>2392</v>
      </c>
      <c r="B2394" t="s">
        <v>2531</v>
      </c>
      <c r="C2394" t="s">
        <v>6081</v>
      </c>
      <c r="D2394" t="s">
        <v>2348</v>
      </c>
      <c r="E2394" t="s">
        <v>3743</v>
      </c>
    </row>
    <row r="2395" spans="1:5">
      <c r="A2395">
        <v>2393</v>
      </c>
      <c r="B2395" t="s">
        <v>2532</v>
      </c>
      <c r="C2395" t="s">
        <v>6082</v>
      </c>
      <c r="D2395" t="s">
        <v>2348</v>
      </c>
      <c r="E2395" t="s">
        <v>3743</v>
      </c>
    </row>
    <row r="2396" spans="1:5">
      <c r="A2396">
        <v>2394</v>
      </c>
      <c r="B2396" t="s">
        <v>2533</v>
      </c>
      <c r="C2396" t="s">
        <v>6083</v>
      </c>
      <c r="D2396" t="s">
        <v>2348</v>
      </c>
      <c r="E2396" t="s">
        <v>3743</v>
      </c>
    </row>
    <row r="2397" spans="1:5">
      <c r="A2397">
        <v>2395</v>
      </c>
      <c r="B2397" t="s">
        <v>2534</v>
      </c>
      <c r="C2397" t="s">
        <v>6084</v>
      </c>
      <c r="D2397" t="s">
        <v>2348</v>
      </c>
      <c r="E2397" t="s">
        <v>3743</v>
      </c>
    </row>
    <row r="2398" spans="1:5">
      <c r="A2398">
        <v>2396</v>
      </c>
      <c r="B2398" t="s">
        <v>2535</v>
      </c>
      <c r="C2398" t="s">
        <v>6085</v>
      </c>
      <c r="D2398" t="s">
        <v>2348</v>
      </c>
      <c r="E2398" t="s">
        <v>3743</v>
      </c>
    </row>
    <row r="2399" spans="1:5">
      <c r="A2399">
        <v>2397</v>
      </c>
      <c r="B2399" t="s">
        <v>2536</v>
      </c>
      <c r="C2399" t="s">
        <v>6086</v>
      </c>
      <c r="D2399" t="s">
        <v>2348</v>
      </c>
      <c r="E2399" t="s">
        <v>3743</v>
      </c>
    </row>
    <row r="2400" spans="1:5">
      <c r="A2400">
        <v>2398</v>
      </c>
      <c r="B2400" t="s">
        <v>2537</v>
      </c>
      <c r="C2400" t="s">
        <v>6087</v>
      </c>
      <c r="D2400" t="s">
        <v>2348</v>
      </c>
      <c r="E2400" t="s">
        <v>3743</v>
      </c>
    </row>
    <row r="2401" spans="1:5">
      <c r="A2401">
        <v>2399</v>
      </c>
      <c r="B2401" t="s">
        <v>2538</v>
      </c>
      <c r="C2401" t="s">
        <v>6088</v>
      </c>
      <c r="D2401" t="s">
        <v>2348</v>
      </c>
      <c r="E2401" t="s">
        <v>3743</v>
      </c>
    </row>
    <row r="2402" spans="1:5">
      <c r="A2402">
        <v>2400</v>
      </c>
      <c r="B2402" t="s">
        <v>2539</v>
      </c>
      <c r="C2402" t="s">
        <v>6089</v>
      </c>
      <c r="D2402" t="s">
        <v>2348</v>
      </c>
      <c r="E2402" t="s">
        <v>3743</v>
      </c>
    </row>
    <row r="2403" spans="1:5">
      <c r="A2403">
        <v>2401</v>
      </c>
      <c r="B2403" t="s">
        <v>2540</v>
      </c>
      <c r="C2403" t="s">
        <v>6090</v>
      </c>
      <c r="D2403" t="s">
        <v>2348</v>
      </c>
      <c r="E2403" t="s">
        <v>3743</v>
      </c>
    </row>
    <row r="2404" spans="1:5">
      <c r="A2404">
        <v>2402</v>
      </c>
      <c r="B2404" t="s">
        <v>2541</v>
      </c>
      <c r="C2404" t="s">
        <v>6091</v>
      </c>
      <c r="D2404" t="s">
        <v>2348</v>
      </c>
      <c r="E2404" t="s">
        <v>3743</v>
      </c>
    </row>
    <row r="2405" spans="1:5">
      <c r="A2405">
        <v>2403</v>
      </c>
      <c r="B2405" t="s">
        <v>2542</v>
      </c>
      <c r="C2405" t="s">
        <v>6092</v>
      </c>
      <c r="D2405" t="s">
        <v>2348</v>
      </c>
      <c r="E2405" t="s">
        <v>3743</v>
      </c>
    </row>
    <row r="2406" spans="1:5">
      <c r="A2406">
        <v>2404</v>
      </c>
      <c r="B2406" t="s">
        <v>2543</v>
      </c>
      <c r="C2406" t="s">
        <v>6093</v>
      </c>
      <c r="D2406" t="s">
        <v>2348</v>
      </c>
      <c r="E2406" t="s">
        <v>3743</v>
      </c>
    </row>
    <row r="2407" spans="1:5">
      <c r="A2407">
        <v>2405</v>
      </c>
      <c r="B2407" t="s">
        <v>2544</v>
      </c>
      <c r="C2407" t="s">
        <v>6094</v>
      </c>
      <c r="D2407" t="s">
        <v>2348</v>
      </c>
      <c r="E2407" t="s">
        <v>3743</v>
      </c>
    </row>
    <row r="2408" spans="1:5">
      <c r="A2408">
        <v>2406</v>
      </c>
      <c r="B2408" t="s">
        <v>2545</v>
      </c>
      <c r="C2408" t="s">
        <v>6095</v>
      </c>
      <c r="D2408" t="s">
        <v>2348</v>
      </c>
      <c r="E2408" t="s">
        <v>3743</v>
      </c>
    </row>
    <row r="2409" spans="1:5">
      <c r="A2409">
        <v>2407</v>
      </c>
      <c r="B2409" t="s">
        <v>2546</v>
      </c>
      <c r="C2409" t="s">
        <v>6096</v>
      </c>
      <c r="D2409" t="s">
        <v>2348</v>
      </c>
      <c r="E2409" t="s">
        <v>3743</v>
      </c>
    </row>
    <row r="2410" spans="1:5">
      <c r="A2410">
        <v>2408</v>
      </c>
      <c r="B2410" t="s">
        <v>2547</v>
      </c>
      <c r="C2410" t="s">
        <v>6097</v>
      </c>
      <c r="D2410" t="s">
        <v>2348</v>
      </c>
      <c r="E2410" t="s">
        <v>3743</v>
      </c>
    </row>
    <row r="2411" spans="1:5">
      <c r="A2411">
        <v>2409</v>
      </c>
      <c r="B2411" t="s">
        <v>2548</v>
      </c>
      <c r="C2411" t="s">
        <v>6098</v>
      </c>
      <c r="D2411" t="s">
        <v>2348</v>
      </c>
      <c r="E2411" t="s">
        <v>3743</v>
      </c>
    </row>
    <row r="2412" spans="1:5">
      <c r="A2412">
        <v>2410</v>
      </c>
      <c r="B2412" t="s">
        <v>2549</v>
      </c>
      <c r="C2412" t="s">
        <v>6099</v>
      </c>
      <c r="D2412" t="s">
        <v>2348</v>
      </c>
      <c r="E2412" t="s">
        <v>3743</v>
      </c>
    </row>
    <row r="2413" spans="1:5">
      <c r="A2413">
        <v>2411</v>
      </c>
      <c r="B2413" t="s">
        <v>2550</v>
      </c>
      <c r="C2413" t="s">
        <v>6100</v>
      </c>
      <c r="D2413" t="s">
        <v>2348</v>
      </c>
      <c r="E2413" t="s">
        <v>3743</v>
      </c>
    </row>
    <row r="2414" spans="1:5">
      <c r="A2414">
        <v>2412</v>
      </c>
      <c r="B2414" t="s">
        <v>2551</v>
      </c>
      <c r="C2414" t="s">
        <v>6101</v>
      </c>
      <c r="D2414" t="s">
        <v>2348</v>
      </c>
      <c r="E2414" t="s">
        <v>3743</v>
      </c>
    </row>
    <row r="2415" spans="1:5">
      <c r="A2415">
        <v>2413</v>
      </c>
      <c r="B2415" t="s">
        <v>2552</v>
      </c>
      <c r="C2415" t="s">
        <v>6102</v>
      </c>
      <c r="D2415" t="s">
        <v>2348</v>
      </c>
      <c r="E2415" t="s">
        <v>3743</v>
      </c>
    </row>
    <row r="2416" spans="1:5">
      <c r="A2416">
        <v>2414</v>
      </c>
      <c r="B2416" t="s">
        <v>2553</v>
      </c>
      <c r="C2416" t="s">
        <v>6103</v>
      </c>
      <c r="D2416" t="s">
        <v>2348</v>
      </c>
      <c r="E2416" t="s">
        <v>3743</v>
      </c>
    </row>
    <row r="2417" spans="1:5">
      <c r="A2417">
        <v>2415</v>
      </c>
      <c r="B2417" t="s">
        <v>2554</v>
      </c>
      <c r="C2417" t="s">
        <v>6104</v>
      </c>
      <c r="D2417" t="s">
        <v>2348</v>
      </c>
      <c r="E2417" t="s">
        <v>3743</v>
      </c>
    </row>
    <row r="2418" spans="1:5">
      <c r="A2418">
        <v>2416</v>
      </c>
      <c r="B2418" t="s">
        <v>2555</v>
      </c>
      <c r="C2418" t="s">
        <v>6105</v>
      </c>
      <c r="D2418" t="s">
        <v>2348</v>
      </c>
      <c r="E2418" t="s">
        <v>3743</v>
      </c>
    </row>
    <row r="2419" spans="1:5">
      <c r="A2419">
        <v>2417</v>
      </c>
      <c r="B2419" t="s">
        <v>2556</v>
      </c>
      <c r="C2419" t="s">
        <v>6106</v>
      </c>
      <c r="D2419" t="s">
        <v>2348</v>
      </c>
      <c r="E2419" t="s">
        <v>3743</v>
      </c>
    </row>
    <row r="2420" spans="1:5">
      <c r="A2420">
        <v>2418</v>
      </c>
      <c r="B2420" t="s">
        <v>2557</v>
      </c>
      <c r="C2420" t="s">
        <v>6107</v>
      </c>
      <c r="D2420" t="s">
        <v>2348</v>
      </c>
      <c r="E2420" t="s">
        <v>3743</v>
      </c>
    </row>
    <row r="2421" spans="1:5">
      <c r="A2421">
        <v>2419</v>
      </c>
      <c r="B2421" t="s">
        <v>2558</v>
      </c>
      <c r="C2421" t="s">
        <v>6108</v>
      </c>
      <c r="D2421" t="s">
        <v>2348</v>
      </c>
      <c r="E2421" t="s">
        <v>3743</v>
      </c>
    </row>
    <row r="2422" spans="1:5">
      <c r="A2422">
        <v>2420</v>
      </c>
      <c r="B2422" t="s">
        <v>7367</v>
      </c>
      <c r="C2422" t="s">
        <v>7368</v>
      </c>
      <c r="D2422" t="s">
        <v>2348</v>
      </c>
      <c r="E2422" t="s">
        <v>3743</v>
      </c>
    </row>
    <row r="2423" spans="1:5">
      <c r="A2423">
        <v>2421</v>
      </c>
      <c r="B2423" t="s">
        <v>2559</v>
      </c>
      <c r="C2423" t="s">
        <v>6109</v>
      </c>
      <c r="D2423" t="s">
        <v>2348</v>
      </c>
      <c r="E2423" t="s">
        <v>3743</v>
      </c>
    </row>
    <row r="2424" spans="1:5">
      <c r="A2424">
        <v>2422</v>
      </c>
      <c r="B2424" t="s">
        <v>2560</v>
      </c>
      <c r="C2424" t="s">
        <v>6110</v>
      </c>
      <c r="D2424" t="s">
        <v>2348</v>
      </c>
      <c r="E2424" t="s">
        <v>3743</v>
      </c>
    </row>
    <row r="2425" spans="1:5">
      <c r="A2425">
        <v>2423</v>
      </c>
      <c r="B2425" t="s">
        <v>2334</v>
      </c>
      <c r="C2425" t="s">
        <v>5886</v>
      </c>
      <c r="D2425" t="s">
        <v>2348</v>
      </c>
      <c r="E2425" t="s">
        <v>3743</v>
      </c>
    </row>
    <row r="2426" spans="1:5">
      <c r="A2426">
        <v>2424</v>
      </c>
      <c r="B2426" t="s">
        <v>2561</v>
      </c>
      <c r="C2426" t="s">
        <v>6111</v>
      </c>
      <c r="D2426" t="s">
        <v>2348</v>
      </c>
      <c r="E2426" t="s">
        <v>3743</v>
      </c>
    </row>
    <row r="2427" spans="1:5">
      <c r="A2427">
        <v>2425</v>
      </c>
      <c r="B2427" t="s">
        <v>2562</v>
      </c>
      <c r="C2427" t="s">
        <v>6112</v>
      </c>
      <c r="D2427" t="s">
        <v>2348</v>
      </c>
      <c r="E2427" t="s">
        <v>3743</v>
      </c>
    </row>
    <row r="2428" spans="1:5">
      <c r="A2428">
        <v>2426</v>
      </c>
      <c r="B2428" t="s">
        <v>2563</v>
      </c>
      <c r="C2428" t="s">
        <v>6113</v>
      </c>
      <c r="D2428" t="s">
        <v>2348</v>
      </c>
      <c r="E2428" t="s">
        <v>3743</v>
      </c>
    </row>
    <row r="2429" spans="1:5">
      <c r="A2429">
        <v>2427</v>
      </c>
      <c r="B2429" t="s">
        <v>2564</v>
      </c>
      <c r="C2429" t="s">
        <v>6114</v>
      </c>
      <c r="D2429" t="s">
        <v>2348</v>
      </c>
      <c r="E2429" t="s">
        <v>3743</v>
      </c>
    </row>
    <row r="2430" spans="1:5">
      <c r="A2430">
        <v>2428</v>
      </c>
      <c r="B2430" t="s">
        <v>2565</v>
      </c>
      <c r="C2430" t="s">
        <v>6115</v>
      </c>
      <c r="D2430" t="s">
        <v>2348</v>
      </c>
      <c r="E2430" t="s">
        <v>3743</v>
      </c>
    </row>
    <row r="2431" spans="1:5">
      <c r="A2431">
        <v>2429</v>
      </c>
      <c r="B2431" t="s">
        <v>2566</v>
      </c>
      <c r="C2431" t="s">
        <v>6116</v>
      </c>
      <c r="D2431" t="s">
        <v>2567</v>
      </c>
      <c r="E2431" t="s">
        <v>156</v>
      </c>
    </row>
    <row r="2432" spans="1:5">
      <c r="A2432">
        <v>2430</v>
      </c>
      <c r="B2432" t="s">
        <v>2568</v>
      </c>
      <c r="C2432" t="s">
        <v>6117</v>
      </c>
      <c r="D2432" t="s">
        <v>2567</v>
      </c>
      <c r="E2432" t="s">
        <v>156</v>
      </c>
    </row>
    <row r="2433" spans="1:5">
      <c r="A2433">
        <v>2431</v>
      </c>
      <c r="B2433" t="s">
        <v>2351</v>
      </c>
      <c r="C2433" t="s">
        <v>5902</v>
      </c>
      <c r="D2433" t="s">
        <v>2567</v>
      </c>
      <c r="E2433" t="s">
        <v>156</v>
      </c>
    </row>
    <row r="2434" spans="1:5">
      <c r="A2434">
        <v>2432</v>
      </c>
      <c r="B2434" t="s">
        <v>2569</v>
      </c>
      <c r="C2434" t="s">
        <v>6118</v>
      </c>
      <c r="D2434" t="s">
        <v>2567</v>
      </c>
      <c r="E2434" t="s">
        <v>156</v>
      </c>
    </row>
    <row r="2435" spans="1:5">
      <c r="A2435">
        <v>2433</v>
      </c>
      <c r="B2435" t="s">
        <v>2570</v>
      </c>
      <c r="C2435" t="s">
        <v>6119</v>
      </c>
      <c r="D2435" t="s">
        <v>2567</v>
      </c>
      <c r="E2435" t="s">
        <v>156</v>
      </c>
    </row>
    <row r="2436" spans="1:5">
      <c r="A2436">
        <v>2434</v>
      </c>
      <c r="B2436" t="s">
        <v>2571</v>
      </c>
      <c r="C2436" t="s">
        <v>7369</v>
      </c>
      <c r="D2436" t="s">
        <v>2567</v>
      </c>
      <c r="E2436" t="s">
        <v>156</v>
      </c>
    </row>
    <row r="2437" spans="1:5">
      <c r="A2437">
        <v>2435</v>
      </c>
      <c r="B2437" t="s">
        <v>2352</v>
      </c>
      <c r="C2437" t="s">
        <v>5903</v>
      </c>
      <c r="D2437" t="s">
        <v>2567</v>
      </c>
      <c r="E2437" t="s">
        <v>156</v>
      </c>
    </row>
    <row r="2438" spans="1:5">
      <c r="A2438">
        <v>2436</v>
      </c>
      <c r="B2438" t="s">
        <v>2572</v>
      </c>
      <c r="C2438" t="s">
        <v>6120</v>
      </c>
      <c r="D2438" t="s">
        <v>2567</v>
      </c>
      <c r="E2438" t="s">
        <v>156</v>
      </c>
    </row>
    <row r="2439" spans="1:5">
      <c r="A2439">
        <v>2437</v>
      </c>
      <c r="B2439" t="s">
        <v>2573</v>
      </c>
      <c r="C2439" t="s">
        <v>6121</v>
      </c>
      <c r="D2439" t="s">
        <v>2567</v>
      </c>
      <c r="E2439" t="s">
        <v>156</v>
      </c>
    </row>
    <row r="2440" spans="1:5">
      <c r="A2440">
        <v>2438</v>
      </c>
      <c r="B2440" t="s">
        <v>2574</v>
      </c>
      <c r="C2440" t="s">
        <v>6122</v>
      </c>
      <c r="D2440" t="s">
        <v>2567</v>
      </c>
      <c r="E2440" t="s">
        <v>156</v>
      </c>
    </row>
    <row r="2441" spans="1:5">
      <c r="A2441">
        <v>2439</v>
      </c>
      <c r="B2441" t="s">
        <v>2575</v>
      </c>
      <c r="C2441" t="s">
        <v>6123</v>
      </c>
      <c r="D2441" t="s">
        <v>2567</v>
      </c>
      <c r="E2441" t="s">
        <v>156</v>
      </c>
    </row>
    <row r="2442" spans="1:5">
      <c r="A2442">
        <v>2440</v>
      </c>
      <c r="B2442" t="s">
        <v>2576</v>
      </c>
      <c r="C2442" t="s">
        <v>6124</v>
      </c>
      <c r="D2442" t="s">
        <v>2567</v>
      </c>
      <c r="E2442" t="s">
        <v>156</v>
      </c>
    </row>
    <row r="2443" spans="1:5">
      <c r="A2443">
        <v>2441</v>
      </c>
      <c r="B2443" t="s">
        <v>2577</v>
      </c>
      <c r="C2443" t="s">
        <v>6125</v>
      </c>
      <c r="D2443" t="s">
        <v>2567</v>
      </c>
      <c r="E2443" t="s">
        <v>156</v>
      </c>
    </row>
    <row r="2444" spans="1:5">
      <c r="A2444">
        <v>2442</v>
      </c>
      <c r="B2444" t="s">
        <v>2578</v>
      </c>
      <c r="C2444" t="s">
        <v>6126</v>
      </c>
      <c r="D2444" t="s">
        <v>2567</v>
      </c>
      <c r="E2444" t="s">
        <v>156</v>
      </c>
    </row>
    <row r="2445" spans="1:5">
      <c r="A2445">
        <v>2443</v>
      </c>
      <c r="B2445" t="s">
        <v>2579</v>
      </c>
      <c r="C2445" t="s">
        <v>6127</v>
      </c>
      <c r="D2445" t="s">
        <v>2567</v>
      </c>
      <c r="E2445" t="s">
        <v>156</v>
      </c>
    </row>
    <row r="2446" spans="1:5">
      <c r="A2446">
        <v>2444</v>
      </c>
      <c r="B2446" t="s">
        <v>2580</v>
      </c>
      <c r="C2446" t="s">
        <v>6128</v>
      </c>
      <c r="D2446" t="s">
        <v>2567</v>
      </c>
      <c r="E2446" t="s">
        <v>156</v>
      </c>
    </row>
    <row r="2447" spans="1:5">
      <c r="A2447">
        <v>2445</v>
      </c>
      <c r="B2447" t="s">
        <v>2581</v>
      </c>
      <c r="C2447" t="s">
        <v>6129</v>
      </c>
      <c r="D2447" t="s">
        <v>2567</v>
      </c>
      <c r="E2447" t="s">
        <v>156</v>
      </c>
    </row>
    <row r="2448" spans="1:5">
      <c r="A2448">
        <v>2446</v>
      </c>
      <c r="B2448" t="s">
        <v>2582</v>
      </c>
      <c r="C2448" t="s">
        <v>6130</v>
      </c>
      <c r="D2448" t="s">
        <v>2567</v>
      </c>
      <c r="E2448" t="s">
        <v>156</v>
      </c>
    </row>
    <row r="2449" spans="1:5">
      <c r="A2449">
        <v>2447</v>
      </c>
      <c r="B2449" t="s">
        <v>2359</v>
      </c>
      <c r="C2449" t="s">
        <v>5910</v>
      </c>
      <c r="D2449" t="s">
        <v>2567</v>
      </c>
      <c r="E2449" t="s">
        <v>156</v>
      </c>
    </row>
    <row r="2450" spans="1:5">
      <c r="A2450">
        <v>2448</v>
      </c>
      <c r="B2450" t="s">
        <v>2583</v>
      </c>
      <c r="C2450" t="s">
        <v>6131</v>
      </c>
      <c r="D2450" t="s">
        <v>2567</v>
      </c>
      <c r="E2450" t="s">
        <v>156</v>
      </c>
    </row>
    <row r="2451" spans="1:5">
      <c r="A2451">
        <v>2449</v>
      </c>
      <c r="B2451" t="s">
        <v>2584</v>
      </c>
      <c r="C2451" t="s">
        <v>6132</v>
      </c>
      <c r="D2451" t="s">
        <v>2567</v>
      </c>
      <c r="E2451" t="s">
        <v>156</v>
      </c>
    </row>
    <row r="2452" spans="1:5">
      <c r="A2452">
        <v>2450</v>
      </c>
      <c r="B2452" t="s">
        <v>2585</v>
      </c>
      <c r="C2452" t="s">
        <v>6133</v>
      </c>
      <c r="D2452" t="s">
        <v>2567</v>
      </c>
      <c r="E2452" t="s">
        <v>156</v>
      </c>
    </row>
    <row r="2453" spans="1:5">
      <c r="A2453">
        <v>2451</v>
      </c>
      <c r="B2453" t="s">
        <v>2586</v>
      </c>
      <c r="C2453" t="s">
        <v>6134</v>
      </c>
      <c r="D2453" t="s">
        <v>2567</v>
      </c>
      <c r="E2453" t="s">
        <v>156</v>
      </c>
    </row>
    <row r="2454" spans="1:5">
      <c r="A2454">
        <v>2452</v>
      </c>
      <c r="B2454" t="s">
        <v>2587</v>
      </c>
      <c r="C2454" t="s">
        <v>6135</v>
      </c>
      <c r="D2454" t="s">
        <v>2567</v>
      </c>
      <c r="E2454" t="s">
        <v>156</v>
      </c>
    </row>
    <row r="2455" spans="1:5">
      <c r="A2455">
        <v>2453</v>
      </c>
      <c r="B2455" t="s">
        <v>2588</v>
      </c>
      <c r="C2455" t="s">
        <v>6136</v>
      </c>
      <c r="D2455" t="s">
        <v>2567</v>
      </c>
      <c r="E2455" t="s">
        <v>156</v>
      </c>
    </row>
    <row r="2456" spans="1:5">
      <c r="A2456">
        <v>2454</v>
      </c>
      <c r="B2456" t="s">
        <v>2589</v>
      </c>
      <c r="C2456" t="s">
        <v>6137</v>
      </c>
      <c r="D2456" t="s">
        <v>2567</v>
      </c>
      <c r="E2456" t="s">
        <v>156</v>
      </c>
    </row>
    <row r="2457" spans="1:5">
      <c r="A2457">
        <v>2455</v>
      </c>
      <c r="B2457" t="s">
        <v>2590</v>
      </c>
      <c r="C2457" t="s">
        <v>6138</v>
      </c>
      <c r="D2457" t="s">
        <v>2567</v>
      </c>
      <c r="E2457" t="s">
        <v>156</v>
      </c>
    </row>
    <row r="2458" spans="1:5">
      <c r="A2458">
        <v>2456</v>
      </c>
      <c r="B2458" t="s">
        <v>2591</v>
      </c>
      <c r="C2458" t="s">
        <v>6139</v>
      </c>
      <c r="D2458" t="s">
        <v>2567</v>
      </c>
      <c r="E2458" t="s">
        <v>156</v>
      </c>
    </row>
    <row r="2459" spans="1:5">
      <c r="A2459">
        <v>2457</v>
      </c>
      <c r="B2459" t="s">
        <v>2592</v>
      </c>
      <c r="C2459" t="s">
        <v>6140</v>
      </c>
      <c r="D2459" t="s">
        <v>2567</v>
      </c>
      <c r="E2459" t="s">
        <v>156</v>
      </c>
    </row>
    <row r="2460" spans="1:5">
      <c r="A2460">
        <v>2458</v>
      </c>
      <c r="B2460" t="s">
        <v>2593</v>
      </c>
      <c r="C2460" t="s">
        <v>6141</v>
      </c>
      <c r="D2460" t="s">
        <v>2567</v>
      </c>
      <c r="E2460" t="s">
        <v>156</v>
      </c>
    </row>
    <row r="2461" spans="1:5">
      <c r="A2461">
        <v>2459</v>
      </c>
      <c r="B2461" t="s">
        <v>2378</v>
      </c>
      <c r="C2461" t="s">
        <v>5929</v>
      </c>
      <c r="D2461" t="s">
        <v>2567</v>
      </c>
      <c r="E2461" t="s">
        <v>156</v>
      </c>
    </row>
    <row r="2462" spans="1:5">
      <c r="A2462">
        <v>2460</v>
      </c>
      <c r="B2462" t="s">
        <v>2594</v>
      </c>
      <c r="C2462" t="s">
        <v>6142</v>
      </c>
      <c r="D2462" t="s">
        <v>2567</v>
      </c>
      <c r="E2462" t="s">
        <v>156</v>
      </c>
    </row>
    <row r="2463" spans="1:5">
      <c r="A2463">
        <v>2461</v>
      </c>
      <c r="B2463" t="s">
        <v>2379</v>
      </c>
      <c r="C2463" t="s">
        <v>5930</v>
      </c>
      <c r="D2463" t="s">
        <v>2567</v>
      </c>
      <c r="E2463" t="s">
        <v>156</v>
      </c>
    </row>
    <row r="2464" spans="1:5">
      <c r="A2464">
        <v>2462</v>
      </c>
      <c r="B2464" t="s">
        <v>2595</v>
      </c>
      <c r="C2464" t="s">
        <v>6143</v>
      </c>
      <c r="D2464" t="s">
        <v>2567</v>
      </c>
      <c r="E2464" t="s">
        <v>156</v>
      </c>
    </row>
    <row r="2465" spans="1:5">
      <c r="A2465">
        <v>2463</v>
      </c>
      <c r="B2465" t="s">
        <v>2596</v>
      </c>
      <c r="C2465" t="s">
        <v>6144</v>
      </c>
      <c r="D2465" t="s">
        <v>2567</v>
      </c>
      <c r="E2465" t="s">
        <v>156</v>
      </c>
    </row>
    <row r="2466" spans="1:5">
      <c r="A2466">
        <v>2464</v>
      </c>
      <c r="B2466" t="s">
        <v>2597</v>
      </c>
      <c r="C2466" t="s">
        <v>6145</v>
      </c>
      <c r="D2466" t="s">
        <v>2567</v>
      </c>
      <c r="E2466" t="s">
        <v>156</v>
      </c>
    </row>
    <row r="2467" spans="1:5">
      <c r="A2467">
        <v>2465</v>
      </c>
      <c r="B2467" t="s">
        <v>2598</v>
      </c>
      <c r="C2467" t="s">
        <v>6146</v>
      </c>
      <c r="D2467" t="s">
        <v>2567</v>
      </c>
      <c r="E2467" t="s">
        <v>156</v>
      </c>
    </row>
    <row r="2468" spans="1:5">
      <c r="A2468">
        <v>2466</v>
      </c>
      <c r="B2468" t="s">
        <v>2599</v>
      </c>
      <c r="C2468" t="s">
        <v>6147</v>
      </c>
      <c r="D2468" t="s">
        <v>2567</v>
      </c>
      <c r="E2468" t="s">
        <v>156</v>
      </c>
    </row>
    <row r="2469" spans="1:5">
      <c r="A2469">
        <v>2467</v>
      </c>
      <c r="B2469" t="s">
        <v>2600</v>
      </c>
      <c r="C2469" t="s">
        <v>6148</v>
      </c>
      <c r="D2469" t="s">
        <v>2567</v>
      </c>
      <c r="E2469" t="s">
        <v>156</v>
      </c>
    </row>
    <row r="2470" spans="1:5">
      <c r="A2470">
        <v>2468</v>
      </c>
      <c r="B2470" t="s">
        <v>2601</v>
      </c>
      <c r="C2470" t="s">
        <v>6149</v>
      </c>
      <c r="D2470" t="s">
        <v>2567</v>
      </c>
      <c r="E2470" t="s">
        <v>156</v>
      </c>
    </row>
    <row r="2471" spans="1:5">
      <c r="A2471">
        <v>2469</v>
      </c>
      <c r="B2471" t="s">
        <v>2602</v>
      </c>
      <c r="C2471" t="s">
        <v>6150</v>
      </c>
      <c r="D2471" t="s">
        <v>2567</v>
      </c>
      <c r="E2471" t="s">
        <v>156</v>
      </c>
    </row>
    <row r="2472" spans="1:5">
      <c r="A2472">
        <v>2470</v>
      </c>
      <c r="B2472" t="s">
        <v>2603</v>
      </c>
      <c r="C2472" t="s">
        <v>6151</v>
      </c>
      <c r="D2472" t="s">
        <v>2567</v>
      </c>
      <c r="E2472" t="s">
        <v>156</v>
      </c>
    </row>
    <row r="2473" spans="1:5">
      <c r="A2473">
        <v>2471</v>
      </c>
      <c r="B2473" t="s">
        <v>2604</v>
      </c>
      <c r="C2473" t="s">
        <v>6152</v>
      </c>
      <c r="D2473" t="s">
        <v>2567</v>
      </c>
      <c r="E2473" t="s">
        <v>156</v>
      </c>
    </row>
    <row r="2474" spans="1:5">
      <c r="A2474">
        <v>2472</v>
      </c>
      <c r="B2474" t="s">
        <v>2605</v>
      </c>
      <c r="C2474" t="s">
        <v>6153</v>
      </c>
      <c r="D2474" t="s">
        <v>2567</v>
      </c>
      <c r="E2474" t="s">
        <v>156</v>
      </c>
    </row>
    <row r="2475" spans="1:5">
      <c r="A2475">
        <v>2473</v>
      </c>
      <c r="B2475" t="s">
        <v>2606</v>
      </c>
      <c r="C2475" t="s">
        <v>7370</v>
      </c>
      <c r="D2475" t="s">
        <v>2567</v>
      </c>
      <c r="E2475" t="s">
        <v>156</v>
      </c>
    </row>
    <row r="2476" spans="1:5">
      <c r="A2476">
        <v>2474</v>
      </c>
      <c r="B2476" t="s">
        <v>2607</v>
      </c>
      <c r="C2476" t="s">
        <v>6154</v>
      </c>
      <c r="D2476" t="s">
        <v>2567</v>
      </c>
      <c r="E2476" t="s">
        <v>156</v>
      </c>
    </row>
    <row r="2477" spans="1:5">
      <c r="A2477">
        <v>2475</v>
      </c>
      <c r="B2477" t="s">
        <v>2608</v>
      </c>
      <c r="C2477" t="s">
        <v>6155</v>
      </c>
      <c r="D2477" t="s">
        <v>2567</v>
      </c>
      <c r="E2477" t="s">
        <v>156</v>
      </c>
    </row>
    <row r="2478" spans="1:5">
      <c r="A2478">
        <v>2476</v>
      </c>
      <c r="B2478" t="s">
        <v>2609</v>
      </c>
      <c r="C2478" t="s">
        <v>6156</v>
      </c>
      <c r="D2478" t="s">
        <v>2567</v>
      </c>
      <c r="E2478" t="s">
        <v>156</v>
      </c>
    </row>
    <row r="2479" spans="1:5">
      <c r="A2479">
        <v>2477</v>
      </c>
      <c r="B2479" t="s">
        <v>2610</v>
      </c>
      <c r="C2479" t="s">
        <v>6157</v>
      </c>
      <c r="D2479" t="s">
        <v>2567</v>
      </c>
      <c r="E2479" t="s">
        <v>156</v>
      </c>
    </row>
    <row r="2480" spans="1:5">
      <c r="A2480">
        <v>2478</v>
      </c>
      <c r="B2480" t="s">
        <v>2611</v>
      </c>
      <c r="C2480" t="s">
        <v>6158</v>
      </c>
      <c r="D2480" t="s">
        <v>2567</v>
      </c>
      <c r="E2480" t="s">
        <v>156</v>
      </c>
    </row>
    <row r="2481" spans="1:5">
      <c r="A2481">
        <v>2479</v>
      </c>
      <c r="B2481" t="s">
        <v>2612</v>
      </c>
      <c r="C2481" t="s">
        <v>6159</v>
      </c>
      <c r="D2481" t="s">
        <v>2567</v>
      </c>
      <c r="E2481" t="s">
        <v>156</v>
      </c>
    </row>
    <row r="2482" spans="1:5">
      <c r="A2482">
        <v>2480</v>
      </c>
      <c r="B2482" t="s">
        <v>2613</v>
      </c>
      <c r="C2482" t="s">
        <v>6160</v>
      </c>
      <c r="D2482" t="s">
        <v>2567</v>
      </c>
      <c r="E2482" t="s">
        <v>156</v>
      </c>
    </row>
    <row r="2483" spans="1:5">
      <c r="A2483">
        <v>2481</v>
      </c>
      <c r="B2483" t="s">
        <v>2614</v>
      </c>
      <c r="C2483" t="s">
        <v>6161</v>
      </c>
      <c r="D2483" t="s">
        <v>2567</v>
      </c>
      <c r="E2483" t="s">
        <v>156</v>
      </c>
    </row>
    <row r="2484" spans="1:5">
      <c r="A2484">
        <v>2482</v>
      </c>
      <c r="B2484" t="s">
        <v>2615</v>
      </c>
      <c r="C2484" t="s">
        <v>6162</v>
      </c>
      <c r="D2484" t="s">
        <v>2567</v>
      </c>
      <c r="E2484" t="s">
        <v>156</v>
      </c>
    </row>
    <row r="2485" spans="1:5">
      <c r="A2485">
        <v>2483</v>
      </c>
      <c r="B2485" t="s">
        <v>2616</v>
      </c>
      <c r="C2485" t="s">
        <v>6163</v>
      </c>
      <c r="D2485" t="s">
        <v>2567</v>
      </c>
      <c r="E2485" t="s">
        <v>156</v>
      </c>
    </row>
    <row r="2486" spans="1:5">
      <c r="A2486">
        <v>2484</v>
      </c>
      <c r="B2486" t="s">
        <v>2617</v>
      </c>
      <c r="C2486" t="s">
        <v>6164</v>
      </c>
      <c r="D2486" t="s">
        <v>2567</v>
      </c>
      <c r="E2486" t="s">
        <v>156</v>
      </c>
    </row>
    <row r="2487" spans="1:5">
      <c r="A2487">
        <v>2485</v>
      </c>
      <c r="B2487" t="s">
        <v>2618</v>
      </c>
      <c r="C2487" t="s">
        <v>6165</v>
      </c>
      <c r="D2487" t="s">
        <v>2567</v>
      </c>
      <c r="E2487" t="s">
        <v>156</v>
      </c>
    </row>
    <row r="2488" spans="1:5">
      <c r="A2488">
        <v>2486</v>
      </c>
      <c r="B2488" t="s">
        <v>2619</v>
      </c>
      <c r="C2488" t="s">
        <v>6166</v>
      </c>
      <c r="D2488" t="s">
        <v>2567</v>
      </c>
      <c r="E2488" t="s">
        <v>156</v>
      </c>
    </row>
    <row r="2489" spans="1:5">
      <c r="A2489">
        <v>2487</v>
      </c>
      <c r="B2489" t="s">
        <v>2620</v>
      </c>
      <c r="C2489" t="s">
        <v>6167</v>
      </c>
      <c r="D2489" t="s">
        <v>2567</v>
      </c>
      <c r="E2489" t="s">
        <v>156</v>
      </c>
    </row>
    <row r="2490" spans="1:5">
      <c r="A2490">
        <v>2488</v>
      </c>
      <c r="B2490" t="s">
        <v>2621</v>
      </c>
      <c r="C2490" t="s">
        <v>6168</v>
      </c>
      <c r="D2490" t="s">
        <v>2567</v>
      </c>
      <c r="E2490" t="s">
        <v>156</v>
      </c>
    </row>
    <row r="2491" spans="1:5">
      <c r="A2491">
        <v>2489</v>
      </c>
      <c r="B2491" t="s">
        <v>2622</v>
      </c>
      <c r="C2491" t="s">
        <v>6169</v>
      </c>
      <c r="D2491" t="s">
        <v>2567</v>
      </c>
      <c r="E2491" t="s">
        <v>156</v>
      </c>
    </row>
    <row r="2492" spans="1:5">
      <c r="A2492">
        <v>2490</v>
      </c>
      <c r="B2492" t="s">
        <v>2623</v>
      </c>
      <c r="C2492" t="s">
        <v>6170</v>
      </c>
      <c r="D2492" t="s">
        <v>2567</v>
      </c>
      <c r="E2492" t="s">
        <v>156</v>
      </c>
    </row>
    <row r="2493" spans="1:5">
      <c r="A2493">
        <v>2491</v>
      </c>
      <c r="B2493" t="s">
        <v>2624</v>
      </c>
      <c r="C2493" t="s">
        <v>6171</v>
      </c>
      <c r="D2493" t="s">
        <v>2567</v>
      </c>
      <c r="E2493" t="s">
        <v>156</v>
      </c>
    </row>
    <row r="2494" spans="1:5">
      <c r="A2494">
        <v>2492</v>
      </c>
      <c r="B2494" t="s">
        <v>2625</v>
      </c>
      <c r="C2494" t="s">
        <v>6172</v>
      </c>
      <c r="D2494" t="s">
        <v>2567</v>
      </c>
      <c r="E2494" t="s">
        <v>156</v>
      </c>
    </row>
    <row r="2495" spans="1:5">
      <c r="A2495">
        <v>2493</v>
      </c>
      <c r="B2495" t="s">
        <v>2626</v>
      </c>
      <c r="C2495" t="s">
        <v>6173</v>
      </c>
      <c r="D2495" t="s">
        <v>2567</v>
      </c>
      <c r="E2495" t="s">
        <v>156</v>
      </c>
    </row>
    <row r="2496" spans="1:5">
      <c r="A2496">
        <v>2494</v>
      </c>
      <c r="B2496" t="s">
        <v>2627</v>
      </c>
      <c r="C2496" t="s">
        <v>6174</v>
      </c>
      <c r="D2496" t="s">
        <v>2567</v>
      </c>
      <c r="E2496" t="s">
        <v>156</v>
      </c>
    </row>
    <row r="2497" spans="1:5">
      <c r="A2497">
        <v>2495</v>
      </c>
      <c r="B2497" t="s">
        <v>2628</v>
      </c>
      <c r="C2497" t="s">
        <v>6175</v>
      </c>
      <c r="D2497" t="s">
        <v>2567</v>
      </c>
      <c r="E2497" t="s">
        <v>156</v>
      </c>
    </row>
    <row r="2498" spans="1:5">
      <c r="A2498">
        <v>2496</v>
      </c>
      <c r="B2498" t="s">
        <v>2629</v>
      </c>
      <c r="C2498" t="s">
        <v>7371</v>
      </c>
      <c r="D2498" t="s">
        <v>2567</v>
      </c>
      <c r="E2498" t="s">
        <v>156</v>
      </c>
    </row>
    <row r="2499" spans="1:5">
      <c r="A2499">
        <v>2497</v>
      </c>
      <c r="B2499" t="s">
        <v>2630</v>
      </c>
      <c r="C2499" t="s">
        <v>6176</v>
      </c>
      <c r="D2499" t="s">
        <v>2567</v>
      </c>
      <c r="E2499" t="s">
        <v>156</v>
      </c>
    </row>
    <row r="2500" spans="1:5">
      <c r="A2500">
        <v>2498</v>
      </c>
      <c r="B2500" t="s">
        <v>2631</v>
      </c>
      <c r="C2500" t="s">
        <v>6177</v>
      </c>
      <c r="D2500" t="s">
        <v>2567</v>
      </c>
      <c r="E2500" t="s">
        <v>156</v>
      </c>
    </row>
    <row r="2501" spans="1:5">
      <c r="A2501">
        <v>2499</v>
      </c>
      <c r="B2501" t="s">
        <v>2632</v>
      </c>
      <c r="C2501" t="s">
        <v>6178</v>
      </c>
      <c r="D2501" t="s">
        <v>2567</v>
      </c>
      <c r="E2501" t="s">
        <v>156</v>
      </c>
    </row>
    <row r="2502" spans="1:5">
      <c r="A2502">
        <v>2500</v>
      </c>
      <c r="B2502" t="s">
        <v>2633</v>
      </c>
      <c r="C2502" t="s">
        <v>6179</v>
      </c>
      <c r="D2502" t="s">
        <v>2567</v>
      </c>
      <c r="E2502" t="s">
        <v>156</v>
      </c>
    </row>
    <row r="2503" spans="1:5">
      <c r="A2503">
        <v>2501</v>
      </c>
      <c r="B2503" t="s">
        <v>2634</v>
      </c>
      <c r="C2503" t="s">
        <v>6180</v>
      </c>
      <c r="D2503" t="s">
        <v>2567</v>
      </c>
      <c r="E2503" t="s">
        <v>156</v>
      </c>
    </row>
    <row r="2504" spans="1:5">
      <c r="A2504">
        <v>2502</v>
      </c>
      <c r="B2504" t="s">
        <v>2635</v>
      </c>
      <c r="C2504" t="s">
        <v>6181</v>
      </c>
      <c r="D2504" t="s">
        <v>2567</v>
      </c>
      <c r="E2504" t="s">
        <v>156</v>
      </c>
    </row>
    <row r="2505" spans="1:5">
      <c r="A2505">
        <v>2503</v>
      </c>
      <c r="B2505" t="s">
        <v>2636</v>
      </c>
      <c r="C2505" t="s">
        <v>6182</v>
      </c>
      <c r="D2505" t="s">
        <v>2567</v>
      </c>
      <c r="E2505" t="s">
        <v>156</v>
      </c>
    </row>
    <row r="2506" spans="1:5">
      <c r="A2506">
        <v>2504</v>
      </c>
      <c r="B2506" t="s">
        <v>2406</v>
      </c>
      <c r="C2506" t="s">
        <v>5956</v>
      </c>
      <c r="D2506" t="s">
        <v>2567</v>
      </c>
      <c r="E2506" t="s">
        <v>156</v>
      </c>
    </row>
    <row r="2507" spans="1:5">
      <c r="A2507">
        <v>2505</v>
      </c>
      <c r="B2507" t="s">
        <v>2637</v>
      </c>
      <c r="C2507" t="s">
        <v>6183</v>
      </c>
      <c r="D2507" t="s">
        <v>2567</v>
      </c>
      <c r="E2507" t="s">
        <v>156</v>
      </c>
    </row>
    <row r="2508" spans="1:5">
      <c r="A2508">
        <v>2506</v>
      </c>
      <c r="B2508" t="s">
        <v>2638</v>
      </c>
      <c r="C2508" t="s">
        <v>6184</v>
      </c>
      <c r="D2508" t="s">
        <v>2567</v>
      </c>
      <c r="E2508" t="s">
        <v>156</v>
      </c>
    </row>
    <row r="2509" spans="1:5">
      <c r="A2509">
        <v>2507</v>
      </c>
      <c r="B2509" t="s">
        <v>452</v>
      </c>
      <c r="C2509" t="s">
        <v>4026</v>
      </c>
      <c r="D2509" t="s">
        <v>2567</v>
      </c>
      <c r="E2509" t="s">
        <v>156</v>
      </c>
    </row>
    <row r="2510" spans="1:5">
      <c r="A2510">
        <v>2508</v>
      </c>
      <c r="B2510" t="s">
        <v>2639</v>
      </c>
      <c r="C2510" t="s">
        <v>6185</v>
      </c>
      <c r="D2510" t="s">
        <v>2567</v>
      </c>
      <c r="E2510" t="s">
        <v>156</v>
      </c>
    </row>
    <row r="2511" spans="1:5">
      <c r="A2511">
        <v>2509</v>
      </c>
      <c r="B2511" t="s">
        <v>2640</v>
      </c>
      <c r="C2511" t="s">
        <v>6186</v>
      </c>
      <c r="D2511" t="s">
        <v>2567</v>
      </c>
      <c r="E2511" t="s">
        <v>156</v>
      </c>
    </row>
    <row r="2512" spans="1:5">
      <c r="A2512">
        <v>2510</v>
      </c>
      <c r="B2512" t="s">
        <v>2420</v>
      </c>
      <c r="C2512" t="s">
        <v>5970</v>
      </c>
      <c r="D2512" t="s">
        <v>2567</v>
      </c>
      <c r="E2512" t="s">
        <v>156</v>
      </c>
    </row>
    <row r="2513" spans="1:5">
      <c r="A2513">
        <v>2511</v>
      </c>
      <c r="B2513" t="s">
        <v>2641</v>
      </c>
      <c r="C2513" t="s">
        <v>6187</v>
      </c>
      <c r="D2513" t="s">
        <v>2567</v>
      </c>
      <c r="E2513" t="s">
        <v>156</v>
      </c>
    </row>
    <row r="2514" spans="1:5">
      <c r="A2514">
        <v>2512</v>
      </c>
      <c r="B2514" t="s">
        <v>2642</v>
      </c>
      <c r="C2514" t="s">
        <v>6188</v>
      </c>
      <c r="D2514" t="s">
        <v>2567</v>
      </c>
      <c r="E2514" t="s">
        <v>156</v>
      </c>
    </row>
    <row r="2515" spans="1:5">
      <c r="A2515">
        <v>2513</v>
      </c>
      <c r="B2515" t="s">
        <v>2643</v>
      </c>
      <c r="C2515" t="s">
        <v>6189</v>
      </c>
      <c r="D2515" t="s">
        <v>2567</v>
      </c>
      <c r="E2515" t="s">
        <v>156</v>
      </c>
    </row>
    <row r="2516" spans="1:5">
      <c r="A2516">
        <v>2514</v>
      </c>
      <c r="B2516" t="s">
        <v>2644</v>
      </c>
      <c r="C2516" t="s">
        <v>6190</v>
      </c>
      <c r="D2516" t="s">
        <v>2567</v>
      </c>
      <c r="E2516" t="s">
        <v>156</v>
      </c>
    </row>
    <row r="2517" spans="1:5">
      <c r="A2517">
        <v>2515</v>
      </c>
      <c r="B2517" t="s">
        <v>2645</v>
      </c>
      <c r="C2517" t="s">
        <v>6191</v>
      </c>
      <c r="D2517" t="s">
        <v>2567</v>
      </c>
      <c r="E2517" t="s">
        <v>156</v>
      </c>
    </row>
    <row r="2518" spans="1:5">
      <c r="A2518">
        <v>2516</v>
      </c>
      <c r="B2518" t="s">
        <v>2646</v>
      </c>
      <c r="C2518" t="s">
        <v>6192</v>
      </c>
      <c r="D2518" t="s">
        <v>2567</v>
      </c>
      <c r="E2518" t="s">
        <v>156</v>
      </c>
    </row>
    <row r="2519" spans="1:5">
      <c r="A2519">
        <v>2517</v>
      </c>
      <c r="B2519" t="s">
        <v>2647</v>
      </c>
      <c r="C2519" t="s">
        <v>7372</v>
      </c>
      <c r="D2519" t="s">
        <v>2567</v>
      </c>
      <c r="E2519" t="s">
        <v>156</v>
      </c>
    </row>
    <row r="2520" spans="1:5">
      <c r="A2520">
        <v>2518</v>
      </c>
      <c r="B2520" t="s">
        <v>2648</v>
      </c>
      <c r="C2520" t="s">
        <v>6193</v>
      </c>
      <c r="D2520" t="s">
        <v>2567</v>
      </c>
      <c r="E2520" t="s">
        <v>156</v>
      </c>
    </row>
    <row r="2521" spans="1:5">
      <c r="A2521">
        <v>2519</v>
      </c>
      <c r="B2521" t="s">
        <v>2649</v>
      </c>
      <c r="C2521" t="s">
        <v>6194</v>
      </c>
      <c r="D2521" t="s">
        <v>2567</v>
      </c>
      <c r="E2521" t="s">
        <v>156</v>
      </c>
    </row>
    <row r="2522" spans="1:5">
      <c r="A2522">
        <v>2520</v>
      </c>
      <c r="B2522" t="s">
        <v>2650</v>
      </c>
      <c r="C2522" t="s">
        <v>6195</v>
      </c>
      <c r="D2522" t="s">
        <v>2567</v>
      </c>
      <c r="E2522" t="s">
        <v>156</v>
      </c>
    </row>
    <row r="2523" spans="1:5">
      <c r="A2523">
        <v>2521</v>
      </c>
      <c r="B2523" t="s">
        <v>2651</v>
      </c>
      <c r="C2523" t="s">
        <v>6196</v>
      </c>
      <c r="D2523" t="s">
        <v>2567</v>
      </c>
      <c r="E2523" t="s">
        <v>156</v>
      </c>
    </row>
    <row r="2524" spans="1:5">
      <c r="A2524">
        <v>2522</v>
      </c>
      <c r="B2524" t="s">
        <v>2652</v>
      </c>
      <c r="C2524" t="s">
        <v>6197</v>
      </c>
      <c r="D2524" t="s">
        <v>2567</v>
      </c>
      <c r="E2524" t="s">
        <v>156</v>
      </c>
    </row>
    <row r="2525" spans="1:5">
      <c r="A2525">
        <v>2523</v>
      </c>
      <c r="B2525" t="s">
        <v>1111</v>
      </c>
      <c r="C2525" t="s">
        <v>4675</v>
      </c>
      <c r="D2525" t="s">
        <v>2567</v>
      </c>
      <c r="E2525" t="s">
        <v>156</v>
      </c>
    </row>
    <row r="2526" spans="1:5">
      <c r="A2526">
        <v>2524</v>
      </c>
      <c r="B2526" t="s">
        <v>2435</v>
      </c>
      <c r="C2526" t="s">
        <v>5985</v>
      </c>
      <c r="D2526" t="s">
        <v>2567</v>
      </c>
      <c r="E2526" t="s">
        <v>156</v>
      </c>
    </row>
    <row r="2527" spans="1:5">
      <c r="A2527">
        <v>2525</v>
      </c>
      <c r="B2527" t="s">
        <v>2653</v>
      </c>
      <c r="C2527" t="s">
        <v>6198</v>
      </c>
      <c r="D2527" t="s">
        <v>2567</v>
      </c>
      <c r="E2527" t="s">
        <v>156</v>
      </c>
    </row>
    <row r="2528" spans="1:5">
      <c r="A2528">
        <v>2526</v>
      </c>
      <c r="B2528" t="s">
        <v>2438</v>
      </c>
      <c r="C2528" t="s">
        <v>5988</v>
      </c>
      <c r="D2528" t="s">
        <v>2567</v>
      </c>
      <c r="E2528" t="s">
        <v>156</v>
      </c>
    </row>
    <row r="2529" spans="1:5">
      <c r="A2529">
        <v>2527</v>
      </c>
      <c r="B2529" t="s">
        <v>2654</v>
      </c>
      <c r="C2529" t="s">
        <v>6199</v>
      </c>
      <c r="D2529" t="s">
        <v>2567</v>
      </c>
      <c r="E2529" t="s">
        <v>156</v>
      </c>
    </row>
    <row r="2530" spans="1:5">
      <c r="A2530">
        <v>2528</v>
      </c>
      <c r="B2530" t="s">
        <v>2655</v>
      </c>
      <c r="C2530" t="s">
        <v>6200</v>
      </c>
      <c r="D2530" t="s">
        <v>2567</v>
      </c>
      <c r="E2530" t="s">
        <v>156</v>
      </c>
    </row>
    <row r="2531" spans="1:5">
      <c r="A2531">
        <v>2529</v>
      </c>
      <c r="B2531" t="s">
        <v>2656</v>
      </c>
      <c r="C2531" t="s">
        <v>6201</v>
      </c>
      <c r="D2531" t="s">
        <v>2567</v>
      </c>
      <c r="E2531" t="s">
        <v>156</v>
      </c>
    </row>
    <row r="2532" spans="1:5">
      <c r="A2532">
        <v>2530</v>
      </c>
      <c r="B2532" t="s">
        <v>2657</v>
      </c>
      <c r="C2532" t="s">
        <v>6202</v>
      </c>
      <c r="D2532" t="s">
        <v>2567</v>
      </c>
      <c r="E2532" t="s">
        <v>156</v>
      </c>
    </row>
    <row r="2533" spans="1:5">
      <c r="A2533">
        <v>2531</v>
      </c>
      <c r="B2533" t="s">
        <v>2658</v>
      </c>
      <c r="C2533" t="s">
        <v>6203</v>
      </c>
      <c r="D2533" t="s">
        <v>2567</v>
      </c>
      <c r="E2533" t="s">
        <v>156</v>
      </c>
    </row>
    <row r="2534" spans="1:5">
      <c r="A2534">
        <v>2532</v>
      </c>
      <c r="B2534" t="s">
        <v>2443</v>
      </c>
      <c r="C2534" t="s">
        <v>5993</v>
      </c>
      <c r="D2534" t="s">
        <v>2567</v>
      </c>
      <c r="E2534" t="s">
        <v>156</v>
      </c>
    </row>
    <row r="2535" spans="1:5">
      <c r="A2535">
        <v>2533</v>
      </c>
      <c r="B2535" t="s">
        <v>2659</v>
      </c>
      <c r="C2535" t="s">
        <v>6204</v>
      </c>
      <c r="D2535" t="s">
        <v>2567</v>
      </c>
      <c r="E2535" t="s">
        <v>156</v>
      </c>
    </row>
    <row r="2536" spans="1:5">
      <c r="A2536">
        <v>2534</v>
      </c>
      <c r="B2536" t="s">
        <v>2660</v>
      </c>
      <c r="C2536" t="s">
        <v>6205</v>
      </c>
      <c r="D2536" t="s">
        <v>2567</v>
      </c>
      <c r="E2536" t="s">
        <v>156</v>
      </c>
    </row>
    <row r="2537" spans="1:5">
      <c r="A2537">
        <v>2535</v>
      </c>
      <c r="B2537" t="s">
        <v>2661</v>
      </c>
      <c r="C2537" t="s">
        <v>6206</v>
      </c>
      <c r="D2537" t="s">
        <v>2567</v>
      </c>
      <c r="E2537" t="s">
        <v>156</v>
      </c>
    </row>
    <row r="2538" spans="1:5">
      <c r="A2538">
        <v>2536</v>
      </c>
      <c r="B2538" t="s">
        <v>2662</v>
      </c>
      <c r="C2538" t="s">
        <v>6207</v>
      </c>
      <c r="D2538" t="s">
        <v>2567</v>
      </c>
      <c r="E2538" t="s">
        <v>156</v>
      </c>
    </row>
    <row r="2539" spans="1:5">
      <c r="A2539">
        <v>2537</v>
      </c>
      <c r="B2539" t="s">
        <v>2663</v>
      </c>
      <c r="C2539" t="s">
        <v>6208</v>
      </c>
      <c r="D2539" t="s">
        <v>2567</v>
      </c>
      <c r="E2539" t="s">
        <v>156</v>
      </c>
    </row>
    <row r="2540" spans="1:5">
      <c r="A2540">
        <v>2538</v>
      </c>
      <c r="B2540" t="s">
        <v>2664</v>
      </c>
      <c r="C2540" t="s">
        <v>6209</v>
      </c>
      <c r="D2540" t="s">
        <v>2567</v>
      </c>
      <c r="E2540" t="s">
        <v>156</v>
      </c>
    </row>
    <row r="2541" spans="1:5">
      <c r="A2541">
        <v>2539</v>
      </c>
      <c r="B2541" t="s">
        <v>2665</v>
      </c>
      <c r="C2541" t="s">
        <v>6210</v>
      </c>
      <c r="D2541" t="s">
        <v>2567</v>
      </c>
      <c r="E2541" t="s">
        <v>156</v>
      </c>
    </row>
    <row r="2542" spans="1:5">
      <c r="A2542">
        <v>2540</v>
      </c>
      <c r="B2542" t="s">
        <v>2666</v>
      </c>
      <c r="C2542" t="s">
        <v>6211</v>
      </c>
      <c r="D2542" t="s">
        <v>2567</v>
      </c>
      <c r="E2542" t="s">
        <v>156</v>
      </c>
    </row>
    <row r="2543" spans="1:5">
      <c r="A2543">
        <v>2541</v>
      </c>
      <c r="B2543" t="s">
        <v>7373</v>
      </c>
      <c r="C2543" t="s">
        <v>7374</v>
      </c>
      <c r="D2543" t="s">
        <v>2567</v>
      </c>
      <c r="E2543" t="s">
        <v>156</v>
      </c>
    </row>
    <row r="2544" spans="1:5">
      <c r="A2544">
        <v>2542</v>
      </c>
      <c r="B2544" t="s">
        <v>2667</v>
      </c>
      <c r="C2544" t="s">
        <v>6212</v>
      </c>
      <c r="D2544" t="s">
        <v>2567</v>
      </c>
      <c r="E2544" t="s">
        <v>156</v>
      </c>
    </row>
    <row r="2545" spans="1:5">
      <c r="A2545">
        <v>2543</v>
      </c>
      <c r="B2545" t="s">
        <v>2668</v>
      </c>
      <c r="C2545" t="s">
        <v>6213</v>
      </c>
      <c r="D2545" t="s">
        <v>2567</v>
      </c>
      <c r="E2545" t="s">
        <v>156</v>
      </c>
    </row>
    <row r="2546" spans="1:5">
      <c r="A2546">
        <v>2544</v>
      </c>
      <c r="B2546" t="s">
        <v>2669</v>
      </c>
      <c r="C2546" t="s">
        <v>6214</v>
      </c>
      <c r="D2546" t="s">
        <v>2567</v>
      </c>
      <c r="E2546" t="s">
        <v>156</v>
      </c>
    </row>
    <row r="2547" spans="1:5">
      <c r="A2547">
        <v>2545</v>
      </c>
      <c r="B2547" t="s">
        <v>2670</v>
      </c>
      <c r="C2547" t="s">
        <v>6215</v>
      </c>
      <c r="D2547" t="s">
        <v>2567</v>
      </c>
      <c r="E2547" t="s">
        <v>156</v>
      </c>
    </row>
    <row r="2548" spans="1:5">
      <c r="A2548">
        <v>2546</v>
      </c>
      <c r="B2548" t="s">
        <v>2671</v>
      </c>
      <c r="C2548" t="s">
        <v>6216</v>
      </c>
      <c r="D2548" t="s">
        <v>2567</v>
      </c>
      <c r="E2548" t="s">
        <v>156</v>
      </c>
    </row>
    <row r="2549" spans="1:5">
      <c r="A2549">
        <v>2547</v>
      </c>
      <c r="B2549" t="s">
        <v>2672</v>
      </c>
      <c r="C2549" t="s">
        <v>6217</v>
      </c>
      <c r="D2549" t="s">
        <v>2567</v>
      </c>
      <c r="E2549" t="s">
        <v>156</v>
      </c>
    </row>
    <row r="2550" spans="1:5">
      <c r="A2550">
        <v>2548</v>
      </c>
      <c r="B2550" t="s">
        <v>2673</v>
      </c>
      <c r="C2550" t="s">
        <v>6218</v>
      </c>
      <c r="D2550" t="s">
        <v>2567</v>
      </c>
      <c r="E2550" t="s">
        <v>156</v>
      </c>
    </row>
    <row r="2551" spans="1:5">
      <c r="A2551">
        <v>2549</v>
      </c>
      <c r="B2551" t="s">
        <v>2674</v>
      </c>
      <c r="C2551" t="s">
        <v>6219</v>
      </c>
      <c r="D2551" t="s">
        <v>2567</v>
      </c>
      <c r="E2551" t="s">
        <v>156</v>
      </c>
    </row>
    <row r="2552" spans="1:5">
      <c r="A2552">
        <v>2550</v>
      </c>
      <c r="B2552" t="s">
        <v>2675</v>
      </c>
      <c r="C2552" t="s">
        <v>6220</v>
      </c>
      <c r="D2552" t="s">
        <v>2567</v>
      </c>
      <c r="E2552" t="s">
        <v>156</v>
      </c>
    </row>
    <row r="2553" spans="1:5">
      <c r="A2553">
        <v>2551</v>
      </c>
      <c r="B2553" t="s">
        <v>2676</v>
      </c>
      <c r="C2553" t="s">
        <v>6221</v>
      </c>
      <c r="D2553" t="s">
        <v>2567</v>
      </c>
      <c r="E2553" t="s">
        <v>156</v>
      </c>
    </row>
    <row r="2554" spans="1:5">
      <c r="A2554">
        <v>2552</v>
      </c>
      <c r="B2554" t="s">
        <v>2677</v>
      </c>
      <c r="C2554" t="s">
        <v>6222</v>
      </c>
      <c r="D2554" t="s">
        <v>2567</v>
      </c>
      <c r="E2554" t="s">
        <v>156</v>
      </c>
    </row>
    <row r="2555" spans="1:5">
      <c r="A2555">
        <v>2553</v>
      </c>
      <c r="B2555" t="s">
        <v>2678</v>
      </c>
      <c r="C2555" t="s">
        <v>6223</v>
      </c>
      <c r="D2555" t="s">
        <v>2567</v>
      </c>
      <c r="E2555" t="s">
        <v>156</v>
      </c>
    </row>
    <row r="2556" spans="1:5">
      <c r="A2556">
        <v>2554</v>
      </c>
      <c r="B2556" t="s">
        <v>2679</v>
      </c>
      <c r="C2556" t="s">
        <v>6224</v>
      </c>
      <c r="D2556" t="s">
        <v>2567</v>
      </c>
      <c r="E2556" t="s">
        <v>156</v>
      </c>
    </row>
    <row r="2557" spans="1:5">
      <c r="A2557">
        <v>2555</v>
      </c>
      <c r="B2557" t="s">
        <v>2680</v>
      </c>
      <c r="C2557" t="s">
        <v>6225</v>
      </c>
      <c r="D2557" t="s">
        <v>2567</v>
      </c>
      <c r="E2557" t="s">
        <v>156</v>
      </c>
    </row>
    <row r="2558" spans="1:5">
      <c r="A2558">
        <v>2556</v>
      </c>
      <c r="B2558" t="s">
        <v>2681</v>
      </c>
      <c r="C2558" t="s">
        <v>6226</v>
      </c>
      <c r="D2558" t="s">
        <v>2567</v>
      </c>
      <c r="E2558" t="s">
        <v>156</v>
      </c>
    </row>
    <row r="2559" spans="1:5">
      <c r="A2559">
        <v>2557</v>
      </c>
      <c r="B2559" t="s">
        <v>2682</v>
      </c>
      <c r="C2559" t="s">
        <v>6227</v>
      </c>
      <c r="D2559" t="s">
        <v>2567</v>
      </c>
      <c r="E2559" t="s">
        <v>156</v>
      </c>
    </row>
    <row r="2560" spans="1:5">
      <c r="A2560">
        <v>2558</v>
      </c>
      <c r="B2560" t="s">
        <v>2683</v>
      </c>
      <c r="C2560" t="s">
        <v>6228</v>
      </c>
      <c r="D2560" t="s">
        <v>2567</v>
      </c>
      <c r="E2560" t="s">
        <v>156</v>
      </c>
    </row>
    <row r="2561" spans="1:5">
      <c r="A2561">
        <v>2559</v>
      </c>
      <c r="B2561" t="s">
        <v>2684</v>
      </c>
      <c r="C2561" t="s">
        <v>6229</v>
      </c>
      <c r="D2561" t="s">
        <v>2567</v>
      </c>
      <c r="E2561" t="s">
        <v>156</v>
      </c>
    </row>
    <row r="2562" spans="1:5">
      <c r="A2562">
        <v>2560</v>
      </c>
      <c r="B2562" t="s">
        <v>2685</v>
      </c>
      <c r="C2562" t="s">
        <v>6230</v>
      </c>
      <c r="D2562" t="s">
        <v>2567</v>
      </c>
      <c r="E2562" t="s">
        <v>156</v>
      </c>
    </row>
    <row r="2563" spans="1:5">
      <c r="A2563">
        <v>2561</v>
      </c>
      <c r="B2563" t="s">
        <v>2686</v>
      </c>
      <c r="C2563" t="s">
        <v>6231</v>
      </c>
      <c r="D2563" t="s">
        <v>2567</v>
      </c>
      <c r="E2563" t="s">
        <v>156</v>
      </c>
    </row>
    <row r="2564" spans="1:5">
      <c r="A2564">
        <v>2562</v>
      </c>
      <c r="B2564" t="s">
        <v>2687</v>
      </c>
      <c r="C2564" t="s">
        <v>6232</v>
      </c>
      <c r="D2564" t="s">
        <v>2567</v>
      </c>
      <c r="E2564" t="s">
        <v>156</v>
      </c>
    </row>
    <row r="2565" spans="1:5">
      <c r="A2565">
        <v>2563</v>
      </c>
      <c r="B2565" t="s">
        <v>2688</v>
      </c>
      <c r="C2565" t="s">
        <v>6233</v>
      </c>
      <c r="D2565" t="s">
        <v>2567</v>
      </c>
      <c r="E2565" t="s">
        <v>156</v>
      </c>
    </row>
    <row r="2566" spans="1:5">
      <c r="A2566">
        <v>2564</v>
      </c>
      <c r="B2566" t="s">
        <v>2689</v>
      </c>
      <c r="C2566" t="s">
        <v>6234</v>
      </c>
      <c r="D2566" t="s">
        <v>2567</v>
      </c>
      <c r="E2566" t="s">
        <v>156</v>
      </c>
    </row>
    <row r="2567" spans="1:5">
      <c r="A2567">
        <v>2565</v>
      </c>
      <c r="B2567" t="s">
        <v>2690</v>
      </c>
      <c r="C2567" t="s">
        <v>6235</v>
      </c>
      <c r="D2567" t="s">
        <v>2567</v>
      </c>
      <c r="E2567" t="s">
        <v>156</v>
      </c>
    </row>
    <row r="2568" spans="1:5">
      <c r="A2568">
        <v>2566</v>
      </c>
      <c r="B2568" t="s">
        <v>2691</v>
      </c>
      <c r="C2568" t="s">
        <v>6236</v>
      </c>
      <c r="D2568" t="s">
        <v>2567</v>
      </c>
      <c r="E2568" t="s">
        <v>156</v>
      </c>
    </row>
    <row r="2569" spans="1:5">
      <c r="A2569">
        <v>2567</v>
      </c>
      <c r="B2569" t="s">
        <v>2692</v>
      </c>
      <c r="C2569" t="s">
        <v>6237</v>
      </c>
      <c r="D2569" t="s">
        <v>2567</v>
      </c>
      <c r="E2569" t="s">
        <v>156</v>
      </c>
    </row>
    <row r="2570" spans="1:5">
      <c r="A2570">
        <v>2568</v>
      </c>
      <c r="B2570" t="s">
        <v>2693</v>
      </c>
      <c r="C2570" t="s">
        <v>6238</v>
      </c>
      <c r="D2570" t="s">
        <v>2567</v>
      </c>
      <c r="E2570" t="s">
        <v>156</v>
      </c>
    </row>
    <row r="2571" spans="1:5">
      <c r="A2571">
        <v>2569</v>
      </c>
      <c r="B2571" t="s">
        <v>2694</v>
      </c>
      <c r="C2571" t="s">
        <v>6239</v>
      </c>
      <c r="D2571" t="s">
        <v>2567</v>
      </c>
      <c r="E2571" t="s">
        <v>156</v>
      </c>
    </row>
    <row r="2572" spans="1:5">
      <c r="A2572">
        <v>2570</v>
      </c>
      <c r="B2572" t="s">
        <v>2695</v>
      </c>
      <c r="C2572" t="s">
        <v>6240</v>
      </c>
      <c r="D2572" t="s">
        <v>2567</v>
      </c>
      <c r="E2572" t="s">
        <v>156</v>
      </c>
    </row>
    <row r="2573" spans="1:5">
      <c r="A2573">
        <v>2571</v>
      </c>
      <c r="B2573" t="s">
        <v>2696</v>
      </c>
      <c r="C2573" t="s">
        <v>6241</v>
      </c>
      <c r="D2573" t="s">
        <v>2567</v>
      </c>
      <c r="E2573" t="s">
        <v>156</v>
      </c>
    </row>
    <row r="2574" spans="1:5">
      <c r="A2574">
        <v>2572</v>
      </c>
      <c r="B2574" t="s">
        <v>2697</v>
      </c>
      <c r="C2574" t="s">
        <v>6242</v>
      </c>
      <c r="D2574" t="s">
        <v>2567</v>
      </c>
      <c r="E2574" t="s">
        <v>156</v>
      </c>
    </row>
    <row r="2575" spans="1:5">
      <c r="A2575">
        <v>2573</v>
      </c>
      <c r="B2575" t="s">
        <v>2698</v>
      </c>
      <c r="C2575" t="s">
        <v>6243</v>
      </c>
      <c r="D2575" t="s">
        <v>2567</v>
      </c>
      <c r="E2575" t="s">
        <v>156</v>
      </c>
    </row>
    <row r="2576" spans="1:5">
      <c r="A2576">
        <v>2574</v>
      </c>
      <c r="B2576" t="s">
        <v>2699</v>
      </c>
      <c r="C2576" t="s">
        <v>6244</v>
      </c>
      <c r="D2576" t="s">
        <v>2567</v>
      </c>
      <c r="E2576" t="s">
        <v>156</v>
      </c>
    </row>
    <row r="2577" spans="1:5">
      <c r="A2577">
        <v>2575</v>
      </c>
      <c r="B2577" t="s">
        <v>2700</v>
      </c>
      <c r="C2577" t="s">
        <v>6245</v>
      </c>
      <c r="D2577" t="s">
        <v>2567</v>
      </c>
      <c r="E2577" t="s">
        <v>156</v>
      </c>
    </row>
    <row r="2578" spans="1:5">
      <c r="A2578">
        <v>2576</v>
      </c>
      <c r="B2578" t="s">
        <v>2701</v>
      </c>
      <c r="C2578" t="s">
        <v>6246</v>
      </c>
      <c r="D2578" t="s">
        <v>2567</v>
      </c>
      <c r="E2578" t="s">
        <v>156</v>
      </c>
    </row>
    <row r="2579" spans="1:5">
      <c r="A2579">
        <v>2577</v>
      </c>
      <c r="B2579" t="s">
        <v>2702</v>
      </c>
      <c r="C2579" t="s">
        <v>6247</v>
      </c>
      <c r="D2579" t="s">
        <v>2567</v>
      </c>
      <c r="E2579" t="s">
        <v>156</v>
      </c>
    </row>
    <row r="2580" spans="1:5">
      <c r="A2580">
        <v>2578</v>
      </c>
      <c r="B2580" t="s">
        <v>2703</v>
      </c>
      <c r="C2580" t="s">
        <v>6248</v>
      </c>
      <c r="D2580" t="s">
        <v>2567</v>
      </c>
      <c r="E2580" t="s">
        <v>156</v>
      </c>
    </row>
    <row r="2581" spans="1:5">
      <c r="A2581">
        <v>2579</v>
      </c>
      <c r="B2581" t="s">
        <v>2704</v>
      </c>
      <c r="C2581" t="s">
        <v>6249</v>
      </c>
      <c r="D2581" t="s">
        <v>2567</v>
      </c>
      <c r="E2581" t="s">
        <v>156</v>
      </c>
    </row>
    <row r="2582" spans="1:5">
      <c r="A2582">
        <v>2580</v>
      </c>
      <c r="B2582" t="s">
        <v>2705</v>
      </c>
      <c r="C2582" t="s">
        <v>6250</v>
      </c>
      <c r="D2582" t="s">
        <v>2567</v>
      </c>
      <c r="E2582" t="s">
        <v>156</v>
      </c>
    </row>
    <row r="2583" spans="1:5">
      <c r="A2583">
        <v>2581</v>
      </c>
      <c r="B2583" t="s">
        <v>2706</v>
      </c>
      <c r="C2583" t="s">
        <v>6251</v>
      </c>
      <c r="D2583" t="s">
        <v>2567</v>
      </c>
      <c r="E2583" t="s">
        <v>156</v>
      </c>
    </row>
    <row r="2584" spans="1:5">
      <c r="A2584">
        <v>2582</v>
      </c>
      <c r="B2584" t="s">
        <v>2707</v>
      </c>
      <c r="C2584" t="s">
        <v>6252</v>
      </c>
      <c r="D2584" t="s">
        <v>2567</v>
      </c>
      <c r="E2584" t="s">
        <v>156</v>
      </c>
    </row>
    <row r="2585" spans="1:5">
      <c r="A2585">
        <v>2583</v>
      </c>
      <c r="B2585" t="s">
        <v>2708</v>
      </c>
      <c r="C2585" t="s">
        <v>6253</v>
      </c>
      <c r="D2585" t="s">
        <v>2567</v>
      </c>
      <c r="E2585" t="s">
        <v>156</v>
      </c>
    </row>
    <row r="2586" spans="1:5">
      <c r="A2586">
        <v>2584</v>
      </c>
      <c r="B2586" t="s">
        <v>2709</v>
      </c>
      <c r="C2586" t="s">
        <v>6254</v>
      </c>
      <c r="D2586" t="s">
        <v>2567</v>
      </c>
      <c r="E2586" t="s">
        <v>156</v>
      </c>
    </row>
    <row r="2587" spans="1:5">
      <c r="A2587">
        <v>2585</v>
      </c>
      <c r="B2587" t="s">
        <v>2710</v>
      </c>
      <c r="C2587" t="s">
        <v>6255</v>
      </c>
      <c r="D2587" t="s">
        <v>2567</v>
      </c>
      <c r="E2587" t="s">
        <v>156</v>
      </c>
    </row>
    <row r="2588" spans="1:5">
      <c r="A2588">
        <v>2586</v>
      </c>
      <c r="B2588" t="s">
        <v>2711</v>
      </c>
      <c r="C2588" t="s">
        <v>6256</v>
      </c>
      <c r="D2588" t="s">
        <v>2567</v>
      </c>
      <c r="E2588" t="s">
        <v>156</v>
      </c>
    </row>
    <row r="2589" spans="1:5">
      <c r="A2589">
        <v>2587</v>
      </c>
      <c r="B2589" t="s">
        <v>2712</v>
      </c>
      <c r="C2589" t="s">
        <v>6257</v>
      </c>
      <c r="D2589" t="s">
        <v>2567</v>
      </c>
      <c r="E2589" t="s">
        <v>156</v>
      </c>
    </row>
    <row r="2590" spans="1:5">
      <c r="A2590">
        <v>2588</v>
      </c>
      <c r="B2590" t="s">
        <v>2713</v>
      </c>
      <c r="C2590" t="s">
        <v>6258</v>
      </c>
      <c r="D2590" t="s">
        <v>2567</v>
      </c>
      <c r="E2590" t="s">
        <v>156</v>
      </c>
    </row>
    <row r="2591" spans="1:5">
      <c r="A2591">
        <v>2589</v>
      </c>
      <c r="B2591" t="s">
        <v>2714</v>
      </c>
      <c r="C2591" t="s">
        <v>6259</v>
      </c>
      <c r="D2591" t="s">
        <v>2567</v>
      </c>
      <c r="E2591" t="s">
        <v>156</v>
      </c>
    </row>
    <row r="2592" spans="1:5">
      <c r="A2592">
        <v>2590</v>
      </c>
      <c r="B2592" t="s">
        <v>1297</v>
      </c>
      <c r="C2592" t="s">
        <v>4858</v>
      </c>
      <c r="D2592" t="s">
        <v>2567</v>
      </c>
      <c r="E2592" t="s">
        <v>156</v>
      </c>
    </row>
    <row r="2593" spans="1:5">
      <c r="A2593">
        <v>2591</v>
      </c>
      <c r="B2593" t="s">
        <v>2715</v>
      </c>
      <c r="C2593" t="s">
        <v>6260</v>
      </c>
      <c r="D2593" t="s">
        <v>2567</v>
      </c>
      <c r="E2593" t="s">
        <v>156</v>
      </c>
    </row>
    <row r="2594" spans="1:5">
      <c r="A2594">
        <v>2592</v>
      </c>
      <c r="B2594" t="s">
        <v>2716</v>
      </c>
      <c r="C2594" t="s">
        <v>6261</v>
      </c>
      <c r="D2594" t="s">
        <v>2567</v>
      </c>
      <c r="E2594" t="s">
        <v>156</v>
      </c>
    </row>
    <row r="2595" spans="1:5">
      <c r="A2595">
        <v>2593</v>
      </c>
      <c r="B2595" t="s">
        <v>2717</v>
      </c>
      <c r="C2595" t="s">
        <v>6262</v>
      </c>
      <c r="D2595" t="s">
        <v>2567</v>
      </c>
      <c r="E2595" t="s">
        <v>156</v>
      </c>
    </row>
    <row r="2596" spans="1:5">
      <c r="A2596">
        <v>2594</v>
      </c>
      <c r="B2596" t="s">
        <v>2718</v>
      </c>
      <c r="C2596" t="s">
        <v>6263</v>
      </c>
      <c r="D2596" t="s">
        <v>2567</v>
      </c>
      <c r="E2596" t="s">
        <v>156</v>
      </c>
    </row>
    <row r="2597" spans="1:5">
      <c r="A2597">
        <v>2595</v>
      </c>
      <c r="B2597" t="s">
        <v>2719</v>
      </c>
      <c r="C2597" t="s">
        <v>6264</v>
      </c>
      <c r="D2597" t="s">
        <v>2567</v>
      </c>
      <c r="E2597" t="s">
        <v>156</v>
      </c>
    </row>
    <row r="2598" spans="1:5">
      <c r="A2598">
        <v>2596</v>
      </c>
      <c r="B2598" t="s">
        <v>2720</v>
      </c>
      <c r="C2598" t="s">
        <v>6265</v>
      </c>
      <c r="D2598" t="s">
        <v>2567</v>
      </c>
      <c r="E2598" t="s">
        <v>156</v>
      </c>
    </row>
    <row r="2599" spans="1:5">
      <c r="A2599">
        <v>2597</v>
      </c>
      <c r="B2599" t="s">
        <v>2721</v>
      </c>
      <c r="C2599" t="s">
        <v>6266</v>
      </c>
      <c r="D2599" t="s">
        <v>2567</v>
      </c>
      <c r="E2599" t="s">
        <v>156</v>
      </c>
    </row>
    <row r="2600" spans="1:5">
      <c r="A2600">
        <v>2598</v>
      </c>
      <c r="B2600" t="s">
        <v>2722</v>
      </c>
      <c r="C2600" t="s">
        <v>6267</v>
      </c>
      <c r="D2600" t="s">
        <v>2567</v>
      </c>
      <c r="E2600" t="s">
        <v>156</v>
      </c>
    </row>
    <row r="2601" spans="1:5">
      <c r="A2601">
        <v>2599</v>
      </c>
      <c r="B2601" t="s">
        <v>2723</v>
      </c>
      <c r="C2601" t="s">
        <v>6268</v>
      </c>
      <c r="D2601" t="s">
        <v>2567</v>
      </c>
      <c r="E2601" t="s">
        <v>156</v>
      </c>
    </row>
    <row r="2602" spans="1:5">
      <c r="A2602">
        <v>2600</v>
      </c>
      <c r="B2602" t="s">
        <v>2724</v>
      </c>
      <c r="C2602" t="s">
        <v>6269</v>
      </c>
      <c r="D2602" t="s">
        <v>2567</v>
      </c>
      <c r="E2602" t="s">
        <v>156</v>
      </c>
    </row>
    <row r="2603" spans="1:5">
      <c r="A2603">
        <v>2601</v>
      </c>
      <c r="B2603" t="s">
        <v>2725</v>
      </c>
      <c r="C2603" t="s">
        <v>6270</v>
      </c>
      <c r="D2603" t="s">
        <v>2567</v>
      </c>
      <c r="E2603" t="s">
        <v>156</v>
      </c>
    </row>
    <row r="2604" spans="1:5">
      <c r="A2604">
        <v>2602</v>
      </c>
      <c r="B2604" t="s">
        <v>2726</v>
      </c>
      <c r="C2604" t="s">
        <v>6271</v>
      </c>
      <c r="D2604" t="s">
        <v>2567</v>
      </c>
      <c r="E2604" t="s">
        <v>156</v>
      </c>
    </row>
    <row r="2605" spans="1:5">
      <c r="A2605">
        <v>2603</v>
      </c>
      <c r="B2605" t="s">
        <v>2727</v>
      </c>
      <c r="C2605" t="s">
        <v>6272</v>
      </c>
      <c r="D2605" t="s">
        <v>2567</v>
      </c>
      <c r="E2605" t="s">
        <v>156</v>
      </c>
    </row>
    <row r="2606" spans="1:5">
      <c r="A2606">
        <v>2604</v>
      </c>
      <c r="B2606" t="s">
        <v>2728</v>
      </c>
      <c r="C2606" t="s">
        <v>6273</v>
      </c>
      <c r="D2606" t="s">
        <v>2567</v>
      </c>
      <c r="E2606" t="s">
        <v>156</v>
      </c>
    </row>
    <row r="2607" spans="1:5">
      <c r="A2607">
        <v>2605</v>
      </c>
      <c r="B2607" t="s">
        <v>2729</v>
      </c>
      <c r="C2607" t="s">
        <v>6274</v>
      </c>
      <c r="D2607" t="s">
        <v>2567</v>
      </c>
      <c r="E2607" t="s">
        <v>156</v>
      </c>
    </row>
    <row r="2608" spans="1:5">
      <c r="A2608">
        <v>2606</v>
      </c>
      <c r="B2608" t="s">
        <v>2730</v>
      </c>
      <c r="C2608" t="s">
        <v>6275</v>
      </c>
      <c r="D2608" t="s">
        <v>2567</v>
      </c>
      <c r="E2608" t="s">
        <v>156</v>
      </c>
    </row>
    <row r="2609" spans="1:5">
      <c r="A2609">
        <v>2607</v>
      </c>
      <c r="B2609" t="s">
        <v>2731</v>
      </c>
      <c r="C2609" t="s">
        <v>6276</v>
      </c>
      <c r="D2609" t="s">
        <v>2567</v>
      </c>
      <c r="E2609" t="s">
        <v>156</v>
      </c>
    </row>
    <row r="2610" spans="1:5">
      <c r="A2610">
        <v>2608</v>
      </c>
      <c r="B2610" t="s">
        <v>2732</v>
      </c>
      <c r="C2610" t="s">
        <v>6277</v>
      </c>
      <c r="D2610" t="s">
        <v>2567</v>
      </c>
      <c r="E2610" t="s">
        <v>156</v>
      </c>
    </row>
    <row r="2611" spans="1:5">
      <c r="A2611">
        <v>2609</v>
      </c>
      <c r="B2611" t="s">
        <v>2733</v>
      </c>
      <c r="C2611" t="s">
        <v>6278</v>
      </c>
      <c r="D2611" t="s">
        <v>2567</v>
      </c>
      <c r="E2611" t="s">
        <v>156</v>
      </c>
    </row>
    <row r="2612" spans="1:5">
      <c r="A2612">
        <v>2610</v>
      </c>
      <c r="B2612" t="s">
        <v>2734</v>
      </c>
      <c r="C2612" t="s">
        <v>6279</v>
      </c>
      <c r="D2612" t="s">
        <v>2567</v>
      </c>
      <c r="E2612" t="s">
        <v>156</v>
      </c>
    </row>
    <row r="2613" spans="1:5">
      <c r="A2613">
        <v>2611</v>
      </c>
      <c r="B2613" t="s">
        <v>2735</v>
      </c>
      <c r="C2613" t="s">
        <v>6280</v>
      </c>
      <c r="D2613" t="s">
        <v>2567</v>
      </c>
      <c r="E2613" t="s">
        <v>156</v>
      </c>
    </row>
    <row r="2614" spans="1:5">
      <c r="A2614">
        <v>2612</v>
      </c>
      <c r="B2614" t="s">
        <v>2736</v>
      </c>
      <c r="C2614" t="s">
        <v>6281</v>
      </c>
      <c r="D2614" t="s">
        <v>2567</v>
      </c>
      <c r="E2614" t="s">
        <v>156</v>
      </c>
    </row>
    <row r="2615" spans="1:5">
      <c r="A2615">
        <v>2613</v>
      </c>
      <c r="B2615" t="s">
        <v>2737</v>
      </c>
      <c r="C2615" t="s">
        <v>6282</v>
      </c>
      <c r="D2615" t="s">
        <v>2567</v>
      </c>
      <c r="E2615" t="s">
        <v>156</v>
      </c>
    </row>
    <row r="2616" spans="1:5">
      <c r="A2616">
        <v>2614</v>
      </c>
      <c r="B2616" t="s">
        <v>2738</v>
      </c>
      <c r="C2616" t="s">
        <v>6283</v>
      </c>
      <c r="D2616" t="s">
        <v>2567</v>
      </c>
      <c r="E2616" t="s">
        <v>156</v>
      </c>
    </row>
    <row r="2617" spans="1:5">
      <c r="A2617">
        <v>2615</v>
      </c>
      <c r="B2617" t="s">
        <v>2739</v>
      </c>
      <c r="C2617" t="s">
        <v>6284</v>
      </c>
      <c r="D2617" t="s">
        <v>2567</v>
      </c>
      <c r="E2617" t="s">
        <v>156</v>
      </c>
    </row>
    <row r="2618" spans="1:5">
      <c r="A2618">
        <v>2616</v>
      </c>
      <c r="B2618" t="s">
        <v>2740</v>
      </c>
      <c r="C2618" t="s">
        <v>6285</v>
      </c>
      <c r="D2618" t="s">
        <v>2567</v>
      </c>
      <c r="E2618" t="s">
        <v>156</v>
      </c>
    </row>
    <row r="2619" spans="1:5">
      <c r="A2619">
        <v>2617</v>
      </c>
      <c r="B2619" t="s">
        <v>2741</v>
      </c>
      <c r="C2619" t="s">
        <v>6286</v>
      </c>
      <c r="D2619" t="s">
        <v>2567</v>
      </c>
      <c r="E2619" t="s">
        <v>156</v>
      </c>
    </row>
    <row r="2620" spans="1:5">
      <c r="A2620">
        <v>2618</v>
      </c>
      <c r="B2620" t="s">
        <v>2742</v>
      </c>
      <c r="C2620" t="s">
        <v>6287</v>
      </c>
      <c r="D2620" t="s">
        <v>2567</v>
      </c>
      <c r="E2620" t="s">
        <v>156</v>
      </c>
    </row>
    <row r="2621" spans="1:5">
      <c r="A2621">
        <v>2619</v>
      </c>
      <c r="B2621" t="s">
        <v>2743</v>
      </c>
      <c r="C2621" t="s">
        <v>6288</v>
      </c>
      <c r="D2621" t="s">
        <v>2567</v>
      </c>
      <c r="E2621" t="s">
        <v>156</v>
      </c>
    </row>
    <row r="2622" spans="1:5">
      <c r="A2622">
        <v>2620</v>
      </c>
      <c r="B2622" t="s">
        <v>2744</v>
      </c>
      <c r="C2622" t="s">
        <v>6289</v>
      </c>
      <c r="D2622" t="s">
        <v>2567</v>
      </c>
      <c r="E2622" t="s">
        <v>156</v>
      </c>
    </row>
    <row r="2623" spans="1:5">
      <c r="A2623">
        <v>2621</v>
      </c>
      <c r="B2623" t="s">
        <v>2745</v>
      </c>
      <c r="C2623" t="s">
        <v>6290</v>
      </c>
      <c r="D2623" t="s">
        <v>2567</v>
      </c>
      <c r="E2623" t="s">
        <v>156</v>
      </c>
    </row>
    <row r="2624" spans="1:5">
      <c r="A2624">
        <v>2622</v>
      </c>
      <c r="B2624" t="s">
        <v>2746</v>
      </c>
      <c r="C2624" t="s">
        <v>6291</v>
      </c>
      <c r="D2624" t="s">
        <v>2567</v>
      </c>
      <c r="E2624" t="s">
        <v>156</v>
      </c>
    </row>
    <row r="2625" spans="1:5">
      <c r="A2625">
        <v>2623</v>
      </c>
      <c r="B2625" t="s">
        <v>7375</v>
      </c>
      <c r="C2625" t="s">
        <v>7376</v>
      </c>
      <c r="D2625" t="s">
        <v>2567</v>
      </c>
      <c r="E2625" t="s">
        <v>156</v>
      </c>
    </row>
    <row r="2626" spans="1:5">
      <c r="A2626">
        <v>2624</v>
      </c>
      <c r="B2626" t="s">
        <v>7377</v>
      </c>
      <c r="C2626" t="s">
        <v>7378</v>
      </c>
      <c r="D2626" t="s">
        <v>2567</v>
      </c>
      <c r="E2626" t="s">
        <v>156</v>
      </c>
    </row>
    <row r="2627" spans="1:5">
      <c r="A2627">
        <v>2625</v>
      </c>
      <c r="B2627" t="s">
        <v>2747</v>
      </c>
      <c r="C2627" t="s">
        <v>6292</v>
      </c>
      <c r="D2627" t="s">
        <v>2567</v>
      </c>
      <c r="E2627" t="s">
        <v>156</v>
      </c>
    </row>
    <row r="2628" spans="1:5">
      <c r="A2628">
        <v>2626</v>
      </c>
      <c r="B2628" t="s">
        <v>2461</v>
      </c>
      <c r="C2628" t="s">
        <v>6011</v>
      </c>
      <c r="D2628" t="s">
        <v>2567</v>
      </c>
      <c r="E2628" t="s">
        <v>156</v>
      </c>
    </row>
    <row r="2629" spans="1:5">
      <c r="A2629">
        <v>2627</v>
      </c>
      <c r="B2629" t="s">
        <v>2748</v>
      </c>
      <c r="C2629" t="s">
        <v>6293</v>
      </c>
      <c r="D2629" t="s">
        <v>2567</v>
      </c>
      <c r="E2629" t="s">
        <v>156</v>
      </c>
    </row>
    <row r="2630" spans="1:5">
      <c r="A2630">
        <v>2628</v>
      </c>
      <c r="B2630" t="s">
        <v>2749</v>
      </c>
      <c r="C2630" t="s">
        <v>6294</v>
      </c>
      <c r="D2630" t="s">
        <v>2567</v>
      </c>
      <c r="E2630" t="s">
        <v>156</v>
      </c>
    </row>
    <row r="2631" spans="1:5">
      <c r="A2631">
        <v>2629</v>
      </c>
      <c r="B2631" t="s">
        <v>2750</v>
      </c>
      <c r="C2631" t="s">
        <v>6295</v>
      </c>
      <c r="D2631" t="s">
        <v>2567</v>
      </c>
      <c r="E2631" t="s">
        <v>156</v>
      </c>
    </row>
    <row r="2632" spans="1:5">
      <c r="A2632">
        <v>2630</v>
      </c>
      <c r="B2632" t="s">
        <v>2751</v>
      </c>
      <c r="C2632" t="s">
        <v>6296</v>
      </c>
      <c r="D2632" t="s">
        <v>2567</v>
      </c>
      <c r="E2632" t="s">
        <v>156</v>
      </c>
    </row>
    <row r="2633" spans="1:5">
      <c r="A2633">
        <v>2631</v>
      </c>
      <c r="B2633" t="s">
        <v>2752</v>
      </c>
      <c r="C2633" t="s">
        <v>6297</v>
      </c>
      <c r="D2633" t="s">
        <v>2567</v>
      </c>
      <c r="E2633" t="s">
        <v>156</v>
      </c>
    </row>
    <row r="2634" spans="1:5">
      <c r="A2634">
        <v>2632</v>
      </c>
      <c r="B2634" t="s">
        <v>2753</v>
      </c>
      <c r="C2634" t="s">
        <v>6298</v>
      </c>
      <c r="D2634" t="s">
        <v>2567</v>
      </c>
      <c r="E2634" t="s">
        <v>156</v>
      </c>
    </row>
    <row r="2635" spans="1:5">
      <c r="A2635">
        <v>2633</v>
      </c>
      <c r="B2635" t="s">
        <v>2754</v>
      </c>
      <c r="C2635" t="s">
        <v>6299</v>
      </c>
      <c r="D2635" t="s">
        <v>2567</v>
      </c>
      <c r="E2635" t="s">
        <v>156</v>
      </c>
    </row>
    <row r="2636" spans="1:5">
      <c r="A2636">
        <v>2634</v>
      </c>
      <c r="B2636" t="s">
        <v>2755</v>
      </c>
      <c r="C2636" t="s">
        <v>6300</v>
      </c>
      <c r="D2636" t="s">
        <v>2567</v>
      </c>
      <c r="E2636" t="s">
        <v>156</v>
      </c>
    </row>
    <row r="2637" spans="1:5">
      <c r="A2637">
        <v>2635</v>
      </c>
      <c r="B2637" t="s">
        <v>2756</v>
      </c>
      <c r="C2637" t="s">
        <v>6301</v>
      </c>
      <c r="D2637" t="s">
        <v>2567</v>
      </c>
      <c r="E2637" t="s">
        <v>156</v>
      </c>
    </row>
    <row r="2638" spans="1:5">
      <c r="A2638">
        <v>2636</v>
      </c>
      <c r="B2638" t="s">
        <v>2757</v>
      </c>
      <c r="C2638" t="s">
        <v>6302</v>
      </c>
      <c r="D2638" t="s">
        <v>2567</v>
      </c>
      <c r="E2638" t="s">
        <v>156</v>
      </c>
    </row>
    <row r="2639" spans="1:5">
      <c r="A2639">
        <v>2637</v>
      </c>
      <c r="B2639" t="s">
        <v>2474</v>
      </c>
      <c r="C2639" t="s">
        <v>6024</v>
      </c>
      <c r="D2639" t="s">
        <v>2567</v>
      </c>
      <c r="E2639" t="s">
        <v>156</v>
      </c>
    </row>
    <row r="2640" spans="1:5">
      <c r="A2640">
        <v>2638</v>
      </c>
      <c r="B2640" t="s">
        <v>2758</v>
      </c>
      <c r="C2640" t="s">
        <v>6303</v>
      </c>
      <c r="D2640" t="s">
        <v>2567</v>
      </c>
      <c r="E2640" t="s">
        <v>156</v>
      </c>
    </row>
    <row r="2641" spans="1:5">
      <c r="A2641">
        <v>2639</v>
      </c>
      <c r="B2641" t="s">
        <v>2759</v>
      </c>
      <c r="C2641" t="s">
        <v>6304</v>
      </c>
      <c r="D2641" t="s">
        <v>2567</v>
      </c>
      <c r="E2641" t="s">
        <v>156</v>
      </c>
    </row>
    <row r="2642" spans="1:5">
      <c r="A2642">
        <v>2640</v>
      </c>
      <c r="B2642" t="s">
        <v>2760</v>
      </c>
      <c r="C2642" t="s">
        <v>6305</v>
      </c>
      <c r="D2642" t="s">
        <v>2567</v>
      </c>
      <c r="E2642" t="s">
        <v>156</v>
      </c>
    </row>
    <row r="2643" spans="1:5">
      <c r="A2643">
        <v>2641</v>
      </c>
      <c r="B2643" t="s">
        <v>2761</v>
      </c>
      <c r="C2643" t="s">
        <v>6306</v>
      </c>
      <c r="D2643" t="s">
        <v>2567</v>
      </c>
      <c r="E2643" t="s">
        <v>156</v>
      </c>
    </row>
    <row r="2644" spans="1:5">
      <c r="A2644">
        <v>2642</v>
      </c>
      <c r="B2644" t="s">
        <v>2762</v>
      </c>
      <c r="C2644" t="s">
        <v>6307</v>
      </c>
      <c r="D2644" t="s">
        <v>2567</v>
      </c>
      <c r="E2644" t="s">
        <v>156</v>
      </c>
    </row>
    <row r="2645" spans="1:5">
      <c r="A2645">
        <v>2643</v>
      </c>
      <c r="B2645" t="s">
        <v>2479</v>
      </c>
      <c r="C2645" t="s">
        <v>6029</v>
      </c>
      <c r="D2645" t="s">
        <v>2567</v>
      </c>
      <c r="E2645" t="s">
        <v>156</v>
      </c>
    </row>
    <row r="2646" spans="1:5">
      <c r="A2646">
        <v>2644</v>
      </c>
      <c r="B2646" t="s">
        <v>2763</v>
      </c>
      <c r="C2646" t="s">
        <v>6308</v>
      </c>
      <c r="D2646" t="s">
        <v>2567</v>
      </c>
      <c r="E2646" t="s">
        <v>156</v>
      </c>
    </row>
    <row r="2647" spans="1:5">
      <c r="A2647">
        <v>2645</v>
      </c>
      <c r="B2647" t="s">
        <v>2764</v>
      </c>
      <c r="C2647" t="s">
        <v>6309</v>
      </c>
      <c r="D2647" t="s">
        <v>2567</v>
      </c>
      <c r="E2647" t="s">
        <v>156</v>
      </c>
    </row>
    <row r="2648" spans="1:5">
      <c r="A2648">
        <v>2646</v>
      </c>
      <c r="B2648" t="s">
        <v>2765</v>
      </c>
      <c r="C2648" t="s">
        <v>6310</v>
      </c>
      <c r="D2648" t="s">
        <v>2567</v>
      </c>
      <c r="E2648" t="s">
        <v>156</v>
      </c>
    </row>
    <row r="2649" spans="1:5">
      <c r="A2649">
        <v>2647</v>
      </c>
      <c r="B2649" t="s">
        <v>2766</v>
      </c>
      <c r="C2649" t="s">
        <v>6311</v>
      </c>
      <c r="D2649" t="s">
        <v>2567</v>
      </c>
      <c r="E2649" t="s">
        <v>156</v>
      </c>
    </row>
    <row r="2650" spans="1:5">
      <c r="A2650">
        <v>2648</v>
      </c>
      <c r="B2650" t="s">
        <v>2767</v>
      </c>
      <c r="C2650" t="s">
        <v>6312</v>
      </c>
      <c r="D2650" t="s">
        <v>2567</v>
      </c>
      <c r="E2650" t="s">
        <v>156</v>
      </c>
    </row>
    <row r="2651" spans="1:5">
      <c r="A2651">
        <v>2649</v>
      </c>
      <c r="B2651" t="s">
        <v>2768</v>
      </c>
      <c r="C2651" t="s">
        <v>6313</v>
      </c>
      <c r="D2651" t="s">
        <v>2567</v>
      </c>
      <c r="E2651" t="s">
        <v>156</v>
      </c>
    </row>
    <row r="2652" spans="1:5">
      <c r="A2652">
        <v>2650</v>
      </c>
      <c r="B2652" t="s">
        <v>2769</v>
      </c>
      <c r="C2652" t="s">
        <v>6314</v>
      </c>
      <c r="D2652" t="s">
        <v>2567</v>
      </c>
      <c r="E2652" t="s">
        <v>156</v>
      </c>
    </row>
    <row r="2653" spans="1:5">
      <c r="A2653">
        <v>2651</v>
      </c>
      <c r="B2653" t="s">
        <v>2770</v>
      </c>
      <c r="C2653" t="s">
        <v>6315</v>
      </c>
      <c r="D2653" t="s">
        <v>2567</v>
      </c>
      <c r="E2653" t="s">
        <v>156</v>
      </c>
    </row>
    <row r="2654" spans="1:5">
      <c r="A2654">
        <v>2652</v>
      </c>
      <c r="B2654" t="s">
        <v>2771</v>
      </c>
      <c r="C2654" t="s">
        <v>6316</v>
      </c>
      <c r="D2654" t="s">
        <v>2567</v>
      </c>
      <c r="E2654" t="s">
        <v>156</v>
      </c>
    </row>
    <row r="2655" spans="1:5">
      <c r="A2655">
        <v>2653</v>
      </c>
      <c r="B2655" t="s">
        <v>2772</v>
      </c>
      <c r="C2655" t="s">
        <v>6317</v>
      </c>
      <c r="D2655" t="s">
        <v>2567</v>
      </c>
      <c r="E2655" t="s">
        <v>156</v>
      </c>
    </row>
    <row r="2656" spans="1:5">
      <c r="A2656">
        <v>2654</v>
      </c>
      <c r="B2656" t="s">
        <v>2773</v>
      </c>
      <c r="C2656" t="s">
        <v>6318</v>
      </c>
      <c r="D2656" t="s">
        <v>2567</v>
      </c>
      <c r="E2656" t="s">
        <v>156</v>
      </c>
    </row>
    <row r="2657" spans="1:5">
      <c r="A2657">
        <v>2655</v>
      </c>
      <c r="B2657" t="s">
        <v>2774</v>
      </c>
      <c r="C2657" t="s">
        <v>6319</v>
      </c>
      <c r="D2657" t="s">
        <v>2567</v>
      </c>
      <c r="E2657" t="s">
        <v>156</v>
      </c>
    </row>
    <row r="2658" spans="1:5">
      <c r="A2658">
        <v>2656</v>
      </c>
      <c r="B2658" t="s">
        <v>2497</v>
      </c>
      <c r="C2658" t="s">
        <v>6047</v>
      </c>
      <c r="D2658" t="s">
        <v>2567</v>
      </c>
      <c r="E2658" t="s">
        <v>156</v>
      </c>
    </row>
    <row r="2659" spans="1:5">
      <c r="A2659">
        <v>2657</v>
      </c>
      <c r="B2659" t="s">
        <v>2775</v>
      </c>
      <c r="C2659" t="s">
        <v>6320</v>
      </c>
      <c r="D2659" t="s">
        <v>2567</v>
      </c>
      <c r="E2659" t="s">
        <v>156</v>
      </c>
    </row>
    <row r="2660" spans="1:5">
      <c r="A2660">
        <v>2658</v>
      </c>
      <c r="B2660" t="s">
        <v>2776</v>
      </c>
      <c r="C2660" t="s">
        <v>6321</v>
      </c>
      <c r="D2660" t="s">
        <v>2567</v>
      </c>
      <c r="E2660" t="s">
        <v>156</v>
      </c>
    </row>
    <row r="2661" spans="1:5">
      <c r="A2661">
        <v>2659</v>
      </c>
      <c r="B2661" t="s">
        <v>2777</v>
      </c>
      <c r="C2661" t="s">
        <v>6322</v>
      </c>
      <c r="D2661" t="s">
        <v>2567</v>
      </c>
      <c r="E2661" t="s">
        <v>156</v>
      </c>
    </row>
    <row r="2662" spans="1:5">
      <c r="A2662">
        <v>2660</v>
      </c>
      <c r="B2662" t="s">
        <v>675</v>
      </c>
      <c r="C2662" t="s">
        <v>4248</v>
      </c>
      <c r="D2662" t="s">
        <v>2567</v>
      </c>
      <c r="E2662" t="s">
        <v>156</v>
      </c>
    </row>
    <row r="2663" spans="1:5">
      <c r="A2663">
        <v>2661</v>
      </c>
      <c r="B2663" t="s">
        <v>2778</v>
      </c>
      <c r="C2663" t="s">
        <v>6323</v>
      </c>
      <c r="D2663" t="s">
        <v>2567</v>
      </c>
      <c r="E2663" t="s">
        <v>156</v>
      </c>
    </row>
    <row r="2664" spans="1:5">
      <c r="A2664">
        <v>2662</v>
      </c>
      <c r="B2664" t="s">
        <v>2779</v>
      </c>
      <c r="C2664" t="s">
        <v>6324</v>
      </c>
      <c r="D2664" t="s">
        <v>2567</v>
      </c>
      <c r="E2664" t="s">
        <v>156</v>
      </c>
    </row>
    <row r="2665" spans="1:5">
      <c r="A2665">
        <v>2663</v>
      </c>
      <c r="B2665" t="s">
        <v>2780</v>
      </c>
      <c r="C2665" t="s">
        <v>6325</v>
      </c>
      <c r="D2665" t="s">
        <v>2567</v>
      </c>
      <c r="E2665" t="s">
        <v>156</v>
      </c>
    </row>
    <row r="2666" spans="1:5">
      <c r="A2666">
        <v>2664</v>
      </c>
      <c r="B2666" t="s">
        <v>2781</v>
      </c>
      <c r="C2666" t="s">
        <v>6326</v>
      </c>
      <c r="D2666" t="s">
        <v>2567</v>
      </c>
      <c r="E2666" t="s">
        <v>156</v>
      </c>
    </row>
    <row r="2667" spans="1:5">
      <c r="A2667">
        <v>2665</v>
      </c>
      <c r="B2667" t="s">
        <v>2782</v>
      </c>
      <c r="C2667" t="s">
        <v>6327</v>
      </c>
      <c r="D2667" t="s">
        <v>2567</v>
      </c>
      <c r="E2667" t="s">
        <v>156</v>
      </c>
    </row>
    <row r="2668" spans="1:5">
      <c r="A2668">
        <v>2666</v>
      </c>
      <c r="B2668" t="s">
        <v>2783</v>
      </c>
      <c r="C2668" t="s">
        <v>6328</v>
      </c>
      <c r="D2668" t="s">
        <v>2567</v>
      </c>
      <c r="E2668" t="s">
        <v>156</v>
      </c>
    </row>
    <row r="2669" spans="1:5">
      <c r="A2669">
        <v>2667</v>
      </c>
      <c r="B2669" t="s">
        <v>2784</v>
      </c>
      <c r="C2669" t="s">
        <v>6329</v>
      </c>
      <c r="D2669" t="s">
        <v>2567</v>
      </c>
      <c r="E2669" t="s">
        <v>156</v>
      </c>
    </row>
    <row r="2670" spans="1:5">
      <c r="A2670">
        <v>2668</v>
      </c>
      <c r="B2670" t="s">
        <v>2785</v>
      </c>
      <c r="C2670" t="s">
        <v>6330</v>
      </c>
      <c r="D2670" t="s">
        <v>2567</v>
      </c>
      <c r="E2670" t="s">
        <v>156</v>
      </c>
    </row>
    <row r="2671" spans="1:5">
      <c r="A2671">
        <v>2669</v>
      </c>
      <c r="B2671" t="s">
        <v>2786</v>
      </c>
      <c r="C2671" t="s">
        <v>6331</v>
      </c>
      <c r="D2671" t="s">
        <v>2567</v>
      </c>
      <c r="E2671" t="s">
        <v>156</v>
      </c>
    </row>
    <row r="2672" spans="1:5">
      <c r="A2672">
        <v>2670</v>
      </c>
      <c r="B2672" t="s">
        <v>2787</v>
      </c>
      <c r="C2672" t="s">
        <v>6332</v>
      </c>
      <c r="D2672" t="s">
        <v>2567</v>
      </c>
      <c r="E2672" t="s">
        <v>156</v>
      </c>
    </row>
    <row r="2673" spans="1:5">
      <c r="A2673">
        <v>2671</v>
      </c>
      <c r="B2673" t="s">
        <v>2788</v>
      </c>
      <c r="C2673" t="s">
        <v>6333</v>
      </c>
      <c r="D2673" t="s">
        <v>2567</v>
      </c>
      <c r="E2673" t="s">
        <v>156</v>
      </c>
    </row>
    <row r="2674" spans="1:5">
      <c r="A2674">
        <v>2672</v>
      </c>
      <c r="B2674" t="s">
        <v>2789</v>
      </c>
      <c r="C2674" t="s">
        <v>6334</v>
      </c>
      <c r="D2674" t="s">
        <v>2567</v>
      </c>
      <c r="E2674" t="s">
        <v>156</v>
      </c>
    </row>
    <row r="2675" spans="1:5">
      <c r="A2675">
        <v>2673</v>
      </c>
      <c r="B2675" t="s">
        <v>2790</v>
      </c>
      <c r="C2675" t="s">
        <v>6335</v>
      </c>
      <c r="D2675" t="s">
        <v>2567</v>
      </c>
      <c r="E2675" t="s">
        <v>156</v>
      </c>
    </row>
    <row r="2676" spans="1:5">
      <c r="A2676">
        <v>2674</v>
      </c>
      <c r="B2676" t="s">
        <v>2510</v>
      </c>
      <c r="C2676" t="s">
        <v>6060</v>
      </c>
      <c r="D2676" t="s">
        <v>2567</v>
      </c>
      <c r="E2676" t="s">
        <v>156</v>
      </c>
    </row>
    <row r="2677" spans="1:5">
      <c r="A2677">
        <v>2675</v>
      </c>
      <c r="B2677" t="s">
        <v>2791</v>
      </c>
      <c r="C2677" t="s">
        <v>6336</v>
      </c>
      <c r="D2677" t="s">
        <v>2567</v>
      </c>
      <c r="E2677" t="s">
        <v>156</v>
      </c>
    </row>
    <row r="2678" spans="1:5">
      <c r="A2678">
        <v>2676</v>
      </c>
      <c r="B2678" t="s">
        <v>2792</v>
      </c>
      <c r="C2678" t="s">
        <v>6337</v>
      </c>
      <c r="D2678" t="s">
        <v>2567</v>
      </c>
      <c r="E2678" t="s">
        <v>156</v>
      </c>
    </row>
    <row r="2679" spans="1:5">
      <c r="A2679">
        <v>2677</v>
      </c>
      <c r="B2679" t="s">
        <v>2793</v>
      </c>
      <c r="C2679" t="s">
        <v>6338</v>
      </c>
      <c r="D2679" t="s">
        <v>2567</v>
      </c>
      <c r="E2679" t="s">
        <v>156</v>
      </c>
    </row>
    <row r="2680" spans="1:5">
      <c r="A2680">
        <v>2678</v>
      </c>
      <c r="B2680" t="s">
        <v>2794</v>
      </c>
      <c r="C2680" t="s">
        <v>6339</v>
      </c>
      <c r="D2680" t="s">
        <v>2567</v>
      </c>
      <c r="E2680" t="s">
        <v>156</v>
      </c>
    </row>
    <row r="2681" spans="1:5">
      <c r="A2681">
        <v>2679</v>
      </c>
      <c r="B2681" t="s">
        <v>2795</v>
      </c>
      <c r="C2681" t="s">
        <v>6340</v>
      </c>
      <c r="D2681" t="s">
        <v>2567</v>
      </c>
      <c r="E2681" t="s">
        <v>156</v>
      </c>
    </row>
    <row r="2682" spans="1:5">
      <c r="A2682">
        <v>2680</v>
      </c>
      <c r="B2682" t="s">
        <v>2796</v>
      </c>
      <c r="C2682" t="s">
        <v>6341</v>
      </c>
      <c r="D2682" t="s">
        <v>2567</v>
      </c>
      <c r="E2682" t="s">
        <v>156</v>
      </c>
    </row>
    <row r="2683" spans="1:5">
      <c r="A2683">
        <v>2681</v>
      </c>
      <c r="B2683" t="s">
        <v>2797</v>
      </c>
      <c r="C2683" t="s">
        <v>6342</v>
      </c>
      <c r="D2683" t="s">
        <v>2567</v>
      </c>
      <c r="E2683" t="s">
        <v>156</v>
      </c>
    </row>
    <row r="2684" spans="1:5">
      <c r="A2684">
        <v>2682</v>
      </c>
      <c r="B2684" t="s">
        <v>2516</v>
      </c>
      <c r="C2684" t="s">
        <v>6066</v>
      </c>
      <c r="D2684" t="s">
        <v>2567</v>
      </c>
      <c r="E2684" t="s">
        <v>156</v>
      </c>
    </row>
    <row r="2685" spans="1:5">
      <c r="A2685">
        <v>2683</v>
      </c>
      <c r="B2685" t="s">
        <v>2798</v>
      </c>
      <c r="C2685" t="s">
        <v>6343</v>
      </c>
      <c r="D2685" t="s">
        <v>2567</v>
      </c>
      <c r="E2685" t="s">
        <v>156</v>
      </c>
    </row>
    <row r="2686" spans="1:5">
      <c r="A2686">
        <v>2684</v>
      </c>
      <c r="B2686" t="s">
        <v>2799</v>
      </c>
      <c r="C2686" t="s">
        <v>6344</v>
      </c>
      <c r="D2686" t="s">
        <v>2567</v>
      </c>
      <c r="E2686" t="s">
        <v>156</v>
      </c>
    </row>
    <row r="2687" spans="1:5">
      <c r="A2687">
        <v>2685</v>
      </c>
      <c r="B2687" t="s">
        <v>2800</v>
      </c>
      <c r="C2687" t="s">
        <v>6345</v>
      </c>
      <c r="D2687" t="s">
        <v>2567</v>
      </c>
      <c r="E2687" t="s">
        <v>156</v>
      </c>
    </row>
    <row r="2688" spans="1:5">
      <c r="A2688">
        <v>2686</v>
      </c>
      <c r="B2688" t="s">
        <v>2801</v>
      </c>
      <c r="C2688" t="s">
        <v>6346</v>
      </c>
      <c r="D2688" t="s">
        <v>2567</v>
      </c>
      <c r="E2688" t="s">
        <v>156</v>
      </c>
    </row>
    <row r="2689" spans="1:5">
      <c r="A2689">
        <v>2687</v>
      </c>
      <c r="B2689" t="s">
        <v>2802</v>
      </c>
      <c r="C2689" t="s">
        <v>6347</v>
      </c>
      <c r="D2689" t="s">
        <v>2567</v>
      </c>
      <c r="E2689" t="s">
        <v>156</v>
      </c>
    </row>
    <row r="2690" spans="1:5">
      <c r="A2690">
        <v>2688</v>
      </c>
      <c r="B2690" t="s">
        <v>2532</v>
      </c>
      <c r="C2690" t="s">
        <v>6082</v>
      </c>
      <c r="D2690" t="s">
        <v>2567</v>
      </c>
      <c r="E2690" t="s">
        <v>156</v>
      </c>
    </row>
    <row r="2691" spans="1:5">
      <c r="A2691">
        <v>2689</v>
      </c>
      <c r="B2691" t="s">
        <v>2803</v>
      </c>
      <c r="C2691" t="s">
        <v>6348</v>
      </c>
      <c r="D2691" t="s">
        <v>2567</v>
      </c>
      <c r="E2691" t="s">
        <v>156</v>
      </c>
    </row>
    <row r="2692" spans="1:5">
      <c r="A2692">
        <v>2690</v>
      </c>
      <c r="B2692" t="s">
        <v>2804</v>
      </c>
      <c r="C2692" t="s">
        <v>6349</v>
      </c>
      <c r="D2692" t="s">
        <v>2567</v>
      </c>
      <c r="E2692" t="s">
        <v>156</v>
      </c>
    </row>
    <row r="2693" spans="1:5">
      <c r="A2693">
        <v>2691</v>
      </c>
      <c r="B2693" t="s">
        <v>2805</v>
      </c>
      <c r="C2693" t="s">
        <v>6350</v>
      </c>
      <c r="D2693" t="s">
        <v>2567</v>
      </c>
      <c r="E2693" t="s">
        <v>156</v>
      </c>
    </row>
    <row r="2694" spans="1:5">
      <c r="A2694">
        <v>2692</v>
      </c>
      <c r="B2694" t="s">
        <v>2806</v>
      </c>
      <c r="C2694" t="s">
        <v>6351</v>
      </c>
      <c r="D2694" t="s">
        <v>2567</v>
      </c>
      <c r="E2694" t="s">
        <v>156</v>
      </c>
    </row>
    <row r="2695" spans="1:5">
      <c r="A2695">
        <v>2693</v>
      </c>
      <c r="B2695" t="s">
        <v>2807</v>
      </c>
      <c r="C2695" t="s">
        <v>6352</v>
      </c>
      <c r="D2695" t="s">
        <v>2567</v>
      </c>
      <c r="E2695" t="s">
        <v>156</v>
      </c>
    </row>
    <row r="2696" spans="1:5">
      <c r="A2696">
        <v>2694</v>
      </c>
      <c r="B2696" t="s">
        <v>2808</v>
      </c>
      <c r="C2696" t="s">
        <v>6353</v>
      </c>
      <c r="D2696" t="s">
        <v>2567</v>
      </c>
      <c r="E2696" t="s">
        <v>156</v>
      </c>
    </row>
    <row r="2697" spans="1:5">
      <c r="A2697">
        <v>2695</v>
      </c>
      <c r="B2697" t="s">
        <v>2809</v>
      </c>
      <c r="C2697" t="s">
        <v>6354</v>
      </c>
      <c r="D2697" t="s">
        <v>2567</v>
      </c>
      <c r="E2697" t="s">
        <v>156</v>
      </c>
    </row>
    <row r="2698" spans="1:5">
      <c r="A2698">
        <v>2696</v>
      </c>
      <c r="B2698" t="s">
        <v>2810</v>
      </c>
      <c r="C2698" t="s">
        <v>6355</v>
      </c>
      <c r="D2698" t="s">
        <v>2567</v>
      </c>
      <c r="E2698" t="s">
        <v>156</v>
      </c>
    </row>
    <row r="2699" spans="1:5">
      <c r="A2699">
        <v>2697</v>
      </c>
      <c r="B2699" t="s">
        <v>2811</v>
      </c>
      <c r="C2699" t="s">
        <v>6356</v>
      </c>
      <c r="D2699" t="s">
        <v>2567</v>
      </c>
      <c r="E2699" t="s">
        <v>156</v>
      </c>
    </row>
    <row r="2700" spans="1:5">
      <c r="A2700">
        <v>2698</v>
      </c>
      <c r="B2700" t="s">
        <v>2812</v>
      </c>
      <c r="C2700" t="s">
        <v>6357</v>
      </c>
      <c r="D2700" t="s">
        <v>2567</v>
      </c>
      <c r="E2700" t="s">
        <v>156</v>
      </c>
    </row>
    <row r="2701" spans="1:5">
      <c r="A2701">
        <v>2699</v>
      </c>
      <c r="B2701" t="s">
        <v>2813</v>
      </c>
      <c r="C2701" t="s">
        <v>6358</v>
      </c>
      <c r="D2701" t="s">
        <v>2567</v>
      </c>
      <c r="E2701" t="s">
        <v>156</v>
      </c>
    </row>
    <row r="2702" spans="1:5">
      <c r="A2702">
        <v>2700</v>
      </c>
      <c r="B2702" t="s">
        <v>2547</v>
      </c>
      <c r="C2702" t="s">
        <v>6097</v>
      </c>
      <c r="D2702" t="s">
        <v>2567</v>
      </c>
      <c r="E2702" t="s">
        <v>156</v>
      </c>
    </row>
    <row r="2703" spans="1:5">
      <c r="A2703">
        <v>2701</v>
      </c>
      <c r="B2703" t="s">
        <v>2814</v>
      </c>
      <c r="C2703" t="s">
        <v>6359</v>
      </c>
      <c r="D2703" t="s">
        <v>2567</v>
      </c>
      <c r="E2703" t="s">
        <v>156</v>
      </c>
    </row>
    <row r="2704" spans="1:5">
      <c r="A2704">
        <v>2702</v>
      </c>
      <c r="B2704" t="s">
        <v>2815</v>
      </c>
      <c r="C2704" t="s">
        <v>6360</v>
      </c>
      <c r="D2704" t="s">
        <v>2567</v>
      </c>
      <c r="E2704" t="s">
        <v>156</v>
      </c>
    </row>
    <row r="2705" spans="1:5">
      <c r="A2705">
        <v>2703</v>
      </c>
      <c r="B2705" t="s">
        <v>2816</v>
      </c>
      <c r="C2705" t="s">
        <v>6361</v>
      </c>
      <c r="D2705" t="s">
        <v>2567</v>
      </c>
      <c r="E2705" t="s">
        <v>156</v>
      </c>
    </row>
    <row r="2706" spans="1:5">
      <c r="A2706">
        <v>2704</v>
      </c>
      <c r="B2706" t="s">
        <v>2817</v>
      </c>
      <c r="C2706" t="s">
        <v>6362</v>
      </c>
      <c r="D2706" t="s">
        <v>2567</v>
      </c>
      <c r="E2706" t="s">
        <v>156</v>
      </c>
    </row>
    <row r="2707" spans="1:5">
      <c r="A2707">
        <v>2705</v>
      </c>
      <c r="B2707" t="s">
        <v>2818</v>
      </c>
      <c r="C2707" t="s">
        <v>6363</v>
      </c>
      <c r="D2707" t="s">
        <v>2567</v>
      </c>
      <c r="E2707" t="s">
        <v>156</v>
      </c>
    </row>
    <row r="2708" spans="1:5">
      <c r="A2708">
        <v>2706</v>
      </c>
      <c r="B2708" t="s">
        <v>2819</v>
      </c>
      <c r="C2708" t="s">
        <v>6364</v>
      </c>
      <c r="D2708" t="s">
        <v>2567</v>
      </c>
      <c r="E2708" t="s">
        <v>156</v>
      </c>
    </row>
    <row r="2709" spans="1:5">
      <c r="A2709">
        <v>2707</v>
      </c>
      <c r="B2709" t="s">
        <v>2820</v>
      </c>
      <c r="C2709" t="s">
        <v>6365</v>
      </c>
      <c r="D2709" t="s">
        <v>2567</v>
      </c>
      <c r="E2709" t="s">
        <v>156</v>
      </c>
    </row>
    <row r="2710" spans="1:5">
      <c r="A2710">
        <v>2708</v>
      </c>
      <c r="B2710" t="s">
        <v>2821</v>
      </c>
      <c r="C2710" t="s">
        <v>6366</v>
      </c>
      <c r="D2710" t="s">
        <v>2567</v>
      </c>
      <c r="E2710" t="s">
        <v>156</v>
      </c>
    </row>
    <row r="2711" spans="1:5">
      <c r="A2711">
        <v>2709</v>
      </c>
      <c r="B2711" t="s">
        <v>2822</v>
      </c>
      <c r="C2711" t="s">
        <v>6367</v>
      </c>
      <c r="D2711" t="s">
        <v>2567</v>
      </c>
      <c r="E2711" t="s">
        <v>156</v>
      </c>
    </row>
    <row r="2712" spans="1:5">
      <c r="A2712">
        <v>2710</v>
      </c>
      <c r="B2712" t="s">
        <v>2823</v>
      </c>
      <c r="C2712" t="s">
        <v>6368</v>
      </c>
      <c r="D2712" t="s">
        <v>2567</v>
      </c>
      <c r="E2712" t="s">
        <v>156</v>
      </c>
    </row>
    <row r="2713" spans="1:5">
      <c r="A2713">
        <v>2711</v>
      </c>
      <c r="B2713" t="s">
        <v>2824</v>
      </c>
      <c r="C2713" t="s">
        <v>6369</v>
      </c>
      <c r="D2713" t="s">
        <v>2567</v>
      </c>
      <c r="E2713" t="s">
        <v>156</v>
      </c>
    </row>
    <row r="2714" spans="1:5">
      <c r="A2714">
        <v>2712</v>
      </c>
      <c r="B2714" t="s">
        <v>2825</v>
      </c>
      <c r="C2714" t="s">
        <v>6370</v>
      </c>
      <c r="D2714" t="s">
        <v>2567</v>
      </c>
      <c r="E2714" t="s">
        <v>156</v>
      </c>
    </row>
    <row r="2715" spans="1:5">
      <c r="A2715">
        <v>2713</v>
      </c>
      <c r="B2715" t="s">
        <v>2826</v>
      </c>
      <c r="C2715" t="s">
        <v>6371</v>
      </c>
      <c r="D2715" t="s">
        <v>2567</v>
      </c>
      <c r="E2715" t="s">
        <v>156</v>
      </c>
    </row>
    <row r="2716" spans="1:5">
      <c r="A2716">
        <v>2714</v>
      </c>
      <c r="B2716" t="s">
        <v>2827</v>
      </c>
      <c r="C2716" t="s">
        <v>6372</v>
      </c>
      <c r="D2716" t="s">
        <v>2567</v>
      </c>
      <c r="E2716" t="s">
        <v>156</v>
      </c>
    </row>
    <row r="2717" spans="1:5">
      <c r="A2717">
        <v>2715</v>
      </c>
      <c r="B2717" t="s">
        <v>2828</v>
      </c>
      <c r="C2717" t="s">
        <v>6373</v>
      </c>
      <c r="D2717" t="s">
        <v>2567</v>
      </c>
      <c r="E2717" t="s">
        <v>156</v>
      </c>
    </row>
    <row r="2718" spans="1:5">
      <c r="A2718">
        <v>2716</v>
      </c>
      <c r="B2718" t="s">
        <v>2829</v>
      </c>
      <c r="C2718" t="s">
        <v>6374</v>
      </c>
      <c r="D2718" t="s">
        <v>2567</v>
      </c>
      <c r="E2718" t="s">
        <v>156</v>
      </c>
    </row>
    <row r="2719" spans="1:5">
      <c r="A2719">
        <v>2717</v>
      </c>
      <c r="B2719" t="s">
        <v>2830</v>
      </c>
      <c r="C2719" t="s">
        <v>6375</v>
      </c>
      <c r="D2719" t="s">
        <v>2567</v>
      </c>
      <c r="E2719" t="s">
        <v>156</v>
      </c>
    </row>
    <row r="2720" spans="1:5">
      <c r="A2720">
        <v>2718</v>
      </c>
      <c r="B2720" t="s">
        <v>2831</v>
      </c>
      <c r="C2720" t="s">
        <v>6376</v>
      </c>
      <c r="D2720" t="s">
        <v>2567</v>
      </c>
      <c r="E2720" t="s">
        <v>156</v>
      </c>
    </row>
    <row r="2721" spans="1:5">
      <c r="A2721">
        <v>2719</v>
      </c>
      <c r="B2721" t="s">
        <v>2832</v>
      </c>
      <c r="C2721" t="s">
        <v>6377</v>
      </c>
      <c r="D2721" t="s">
        <v>2567</v>
      </c>
      <c r="E2721" t="s">
        <v>156</v>
      </c>
    </row>
    <row r="2722" spans="1:5">
      <c r="A2722">
        <v>2720</v>
      </c>
      <c r="B2722" t="s">
        <v>2833</v>
      </c>
      <c r="C2722" t="s">
        <v>6378</v>
      </c>
      <c r="D2722" t="s">
        <v>2567</v>
      </c>
      <c r="E2722" t="s">
        <v>156</v>
      </c>
    </row>
    <row r="2723" spans="1:5">
      <c r="A2723">
        <v>2721</v>
      </c>
      <c r="B2723" t="s">
        <v>816</v>
      </c>
      <c r="C2723" t="s">
        <v>4387</v>
      </c>
      <c r="D2723" t="s">
        <v>2567</v>
      </c>
      <c r="E2723" t="s">
        <v>156</v>
      </c>
    </row>
    <row r="2724" spans="1:5">
      <c r="A2724">
        <v>2722</v>
      </c>
      <c r="B2724" t="s">
        <v>2834</v>
      </c>
      <c r="C2724" t="s">
        <v>6379</v>
      </c>
      <c r="D2724" t="s">
        <v>2567</v>
      </c>
      <c r="E2724" t="s">
        <v>156</v>
      </c>
    </row>
    <row r="2725" spans="1:5">
      <c r="A2725">
        <v>2723</v>
      </c>
      <c r="B2725" t="s">
        <v>2835</v>
      </c>
      <c r="C2725" t="s">
        <v>6380</v>
      </c>
      <c r="D2725" t="s">
        <v>2567</v>
      </c>
      <c r="E2725" t="s">
        <v>156</v>
      </c>
    </row>
    <row r="2726" spans="1:5">
      <c r="A2726">
        <v>2724</v>
      </c>
      <c r="B2726" t="s">
        <v>2836</v>
      </c>
      <c r="C2726" t="s">
        <v>6381</v>
      </c>
      <c r="D2726" t="s">
        <v>2837</v>
      </c>
      <c r="E2726" t="s">
        <v>3744</v>
      </c>
    </row>
    <row r="2727" spans="1:5">
      <c r="A2727">
        <v>2725</v>
      </c>
      <c r="B2727" t="s">
        <v>2838</v>
      </c>
      <c r="C2727" t="s">
        <v>6382</v>
      </c>
      <c r="D2727" t="s">
        <v>2837</v>
      </c>
      <c r="E2727" t="s">
        <v>3744</v>
      </c>
    </row>
    <row r="2728" spans="1:5">
      <c r="A2728">
        <v>2726</v>
      </c>
      <c r="B2728" t="s">
        <v>2839</v>
      </c>
      <c r="C2728" t="s">
        <v>7379</v>
      </c>
      <c r="D2728" t="s">
        <v>2837</v>
      </c>
      <c r="E2728" t="s">
        <v>3744</v>
      </c>
    </row>
    <row r="2729" spans="1:5">
      <c r="A2729">
        <v>2727</v>
      </c>
      <c r="B2729" t="s">
        <v>2840</v>
      </c>
      <c r="C2729" t="s">
        <v>6383</v>
      </c>
      <c r="D2729" t="s">
        <v>2837</v>
      </c>
      <c r="E2729" t="s">
        <v>3744</v>
      </c>
    </row>
    <row r="2730" spans="1:5">
      <c r="A2730">
        <v>2728</v>
      </c>
      <c r="B2730" t="s">
        <v>2841</v>
      </c>
      <c r="C2730" t="s">
        <v>6384</v>
      </c>
      <c r="D2730" t="s">
        <v>2837</v>
      </c>
      <c r="E2730" t="s">
        <v>3744</v>
      </c>
    </row>
    <row r="2731" spans="1:5">
      <c r="A2731">
        <v>2729</v>
      </c>
      <c r="B2731" t="s">
        <v>2842</v>
      </c>
      <c r="C2731" t="s">
        <v>6385</v>
      </c>
      <c r="D2731" t="s">
        <v>2837</v>
      </c>
      <c r="E2731" t="s">
        <v>3744</v>
      </c>
    </row>
    <row r="2732" spans="1:5">
      <c r="A2732">
        <v>2730</v>
      </c>
      <c r="B2732" t="s">
        <v>2843</v>
      </c>
      <c r="C2732" t="s">
        <v>6386</v>
      </c>
      <c r="D2732" t="s">
        <v>2837</v>
      </c>
      <c r="E2732" t="s">
        <v>3744</v>
      </c>
    </row>
    <row r="2733" spans="1:5">
      <c r="A2733">
        <v>2731</v>
      </c>
      <c r="B2733" t="s">
        <v>2844</v>
      </c>
      <c r="C2733" t="s">
        <v>6387</v>
      </c>
      <c r="D2733" t="s">
        <v>2837</v>
      </c>
      <c r="E2733" t="s">
        <v>3744</v>
      </c>
    </row>
    <row r="2734" spans="1:5">
      <c r="A2734">
        <v>2732</v>
      </c>
      <c r="B2734" t="s">
        <v>872</v>
      </c>
      <c r="C2734" t="s">
        <v>4441</v>
      </c>
      <c r="D2734" t="s">
        <v>2837</v>
      </c>
      <c r="E2734" t="s">
        <v>3744</v>
      </c>
    </row>
    <row r="2735" spans="1:5">
      <c r="A2735">
        <v>2733</v>
      </c>
      <c r="B2735" t="s">
        <v>2845</v>
      </c>
      <c r="C2735" t="s">
        <v>6388</v>
      </c>
      <c r="D2735" t="s">
        <v>2837</v>
      </c>
      <c r="E2735" t="s">
        <v>3744</v>
      </c>
    </row>
    <row r="2736" spans="1:5">
      <c r="A2736">
        <v>2734</v>
      </c>
      <c r="B2736" t="s">
        <v>2846</v>
      </c>
      <c r="C2736" t="s">
        <v>6389</v>
      </c>
      <c r="D2736" t="s">
        <v>2837</v>
      </c>
      <c r="E2736" t="s">
        <v>3744</v>
      </c>
    </row>
    <row r="2737" spans="1:5">
      <c r="A2737">
        <v>2735</v>
      </c>
      <c r="B2737" t="s">
        <v>2847</v>
      </c>
      <c r="C2737" t="s">
        <v>6390</v>
      </c>
      <c r="D2737" t="s">
        <v>2837</v>
      </c>
      <c r="E2737" t="s">
        <v>3744</v>
      </c>
    </row>
    <row r="2738" spans="1:5">
      <c r="A2738">
        <v>2736</v>
      </c>
      <c r="B2738" t="s">
        <v>2848</v>
      </c>
      <c r="C2738" t="s">
        <v>6391</v>
      </c>
      <c r="D2738" t="s">
        <v>2837</v>
      </c>
      <c r="E2738" t="s">
        <v>3744</v>
      </c>
    </row>
    <row r="2739" spans="1:5">
      <c r="A2739">
        <v>2737</v>
      </c>
      <c r="B2739" t="s">
        <v>2849</v>
      </c>
      <c r="C2739" t="s">
        <v>6392</v>
      </c>
      <c r="D2739" t="s">
        <v>2837</v>
      </c>
      <c r="E2739" t="s">
        <v>3744</v>
      </c>
    </row>
    <row r="2740" spans="1:5">
      <c r="A2740">
        <v>2738</v>
      </c>
      <c r="B2740" t="s">
        <v>2850</v>
      </c>
      <c r="C2740" t="s">
        <v>6393</v>
      </c>
      <c r="D2740" t="s">
        <v>2837</v>
      </c>
      <c r="E2740" t="s">
        <v>3744</v>
      </c>
    </row>
    <row r="2741" spans="1:5">
      <c r="A2741">
        <v>2739</v>
      </c>
      <c r="B2741" t="s">
        <v>2851</v>
      </c>
      <c r="C2741" t="s">
        <v>6394</v>
      </c>
      <c r="D2741" t="s">
        <v>2837</v>
      </c>
      <c r="E2741" t="s">
        <v>3744</v>
      </c>
    </row>
    <row r="2742" spans="1:5">
      <c r="A2742">
        <v>2740</v>
      </c>
      <c r="B2742" t="s">
        <v>2852</v>
      </c>
      <c r="C2742" t="s">
        <v>6395</v>
      </c>
      <c r="D2742" t="s">
        <v>2837</v>
      </c>
      <c r="E2742" t="s">
        <v>3744</v>
      </c>
    </row>
    <row r="2743" spans="1:5">
      <c r="A2743">
        <v>2741</v>
      </c>
      <c r="B2743" t="s">
        <v>2853</v>
      </c>
      <c r="C2743" t="s">
        <v>6396</v>
      </c>
      <c r="D2743" t="s">
        <v>2837</v>
      </c>
      <c r="E2743" t="s">
        <v>3744</v>
      </c>
    </row>
    <row r="2744" spans="1:5">
      <c r="A2744">
        <v>2742</v>
      </c>
      <c r="B2744" t="s">
        <v>2854</v>
      </c>
      <c r="C2744" t="s">
        <v>6397</v>
      </c>
      <c r="D2744" t="s">
        <v>2837</v>
      </c>
      <c r="E2744" t="s">
        <v>3744</v>
      </c>
    </row>
    <row r="2745" spans="1:5">
      <c r="A2745">
        <v>2743</v>
      </c>
      <c r="B2745" t="s">
        <v>2855</v>
      </c>
      <c r="C2745" t="s">
        <v>6398</v>
      </c>
      <c r="D2745" t="s">
        <v>2837</v>
      </c>
      <c r="E2745" t="s">
        <v>3744</v>
      </c>
    </row>
    <row r="2746" spans="1:5">
      <c r="A2746">
        <v>2744</v>
      </c>
      <c r="B2746" t="s">
        <v>2856</v>
      </c>
      <c r="C2746" t="s">
        <v>6399</v>
      </c>
      <c r="D2746" t="s">
        <v>2837</v>
      </c>
      <c r="E2746" t="s">
        <v>3744</v>
      </c>
    </row>
    <row r="2747" spans="1:5">
      <c r="A2747">
        <v>2745</v>
      </c>
      <c r="B2747" t="s">
        <v>2857</v>
      </c>
      <c r="C2747" t="s">
        <v>6400</v>
      </c>
      <c r="D2747" t="s">
        <v>2837</v>
      </c>
      <c r="E2747" t="s">
        <v>3744</v>
      </c>
    </row>
    <row r="2748" spans="1:5">
      <c r="A2748">
        <v>2746</v>
      </c>
      <c r="B2748" t="s">
        <v>2858</v>
      </c>
      <c r="C2748" t="s">
        <v>6401</v>
      </c>
      <c r="D2748" t="s">
        <v>2837</v>
      </c>
      <c r="E2748" t="s">
        <v>3744</v>
      </c>
    </row>
    <row r="2749" spans="1:5">
      <c r="A2749">
        <v>2747</v>
      </c>
      <c r="B2749" t="s">
        <v>2859</v>
      </c>
      <c r="C2749" t="s">
        <v>6402</v>
      </c>
      <c r="D2749" t="s">
        <v>2837</v>
      </c>
      <c r="E2749" t="s">
        <v>3744</v>
      </c>
    </row>
    <row r="2750" spans="1:5">
      <c r="A2750">
        <v>2748</v>
      </c>
      <c r="B2750" t="s">
        <v>2860</v>
      </c>
      <c r="C2750" t="s">
        <v>6403</v>
      </c>
      <c r="D2750" t="s">
        <v>2837</v>
      </c>
      <c r="E2750" t="s">
        <v>3744</v>
      </c>
    </row>
    <row r="2751" spans="1:5">
      <c r="A2751">
        <v>2749</v>
      </c>
      <c r="B2751" t="s">
        <v>2861</v>
      </c>
      <c r="C2751" t="s">
        <v>6404</v>
      </c>
      <c r="D2751" t="s">
        <v>2837</v>
      </c>
      <c r="E2751" t="s">
        <v>3744</v>
      </c>
    </row>
    <row r="2752" spans="1:5">
      <c r="A2752">
        <v>2750</v>
      </c>
      <c r="B2752" t="s">
        <v>2862</v>
      </c>
      <c r="C2752" t="s">
        <v>6405</v>
      </c>
      <c r="D2752" t="s">
        <v>2837</v>
      </c>
      <c r="E2752" t="s">
        <v>3744</v>
      </c>
    </row>
    <row r="2753" spans="1:5">
      <c r="A2753">
        <v>2751</v>
      </c>
      <c r="B2753" t="s">
        <v>2863</v>
      </c>
      <c r="C2753" t="s">
        <v>6406</v>
      </c>
      <c r="D2753" t="s">
        <v>2837</v>
      </c>
      <c r="E2753" t="s">
        <v>3744</v>
      </c>
    </row>
    <row r="2754" spans="1:5">
      <c r="A2754">
        <v>2752</v>
      </c>
      <c r="B2754" t="s">
        <v>7380</v>
      </c>
      <c r="C2754" t="s">
        <v>7381</v>
      </c>
      <c r="D2754" t="s">
        <v>2837</v>
      </c>
      <c r="E2754" t="s">
        <v>3744</v>
      </c>
    </row>
    <row r="2755" spans="1:5">
      <c r="A2755">
        <v>2753</v>
      </c>
      <c r="B2755" t="s">
        <v>7382</v>
      </c>
      <c r="C2755" t="s">
        <v>7383</v>
      </c>
      <c r="D2755" t="s">
        <v>2837</v>
      </c>
      <c r="E2755" t="s">
        <v>3744</v>
      </c>
    </row>
    <row r="2756" spans="1:5">
      <c r="A2756">
        <v>2754</v>
      </c>
      <c r="B2756" t="s">
        <v>7384</v>
      </c>
      <c r="C2756" t="s">
        <v>7385</v>
      </c>
      <c r="D2756" t="s">
        <v>2837</v>
      </c>
      <c r="E2756" t="s">
        <v>3744</v>
      </c>
    </row>
    <row r="2757" spans="1:5">
      <c r="A2757">
        <v>2755</v>
      </c>
      <c r="B2757" t="s">
        <v>1175</v>
      </c>
      <c r="C2757" t="s">
        <v>4739</v>
      </c>
      <c r="D2757" t="s">
        <v>2837</v>
      </c>
      <c r="E2757" t="s">
        <v>3744</v>
      </c>
    </row>
    <row r="2758" spans="1:5">
      <c r="A2758">
        <v>2756</v>
      </c>
      <c r="B2758" t="s">
        <v>2864</v>
      </c>
      <c r="C2758" t="s">
        <v>6407</v>
      </c>
      <c r="D2758" t="s">
        <v>2837</v>
      </c>
      <c r="E2758" t="s">
        <v>3744</v>
      </c>
    </row>
    <row r="2759" spans="1:5">
      <c r="A2759">
        <v>2757</v>
      </c>
      <c r="B2759" t="s">
        <v>2865</v>
      </c>
      <c r="C2759" t="s">
        <v>6408</v>
      </c>
      <c r="D2759" t="s">
        <v>2837</v>
      </c>
      <c r="E2759" t="s">
        <v>3744</v>
      </c>
    </row>
    <row r="2760" spans="1:5">
      <c r="A2760">
        <v>2758</v>
      </c>
      <c r="B2760" t="s">
        <v>2866</v>
      </c>
      <c r="C2760" t="s">
        <v>6409</v>
      </c>
      <c r="D2760" t="s">
        <v>2837</v>
      </c>
      <c r="E2760" t="s">
        <v>3744</v>
      </c>
    </row>
    <row r="2761" spans="1:5">
      <c r="A2761">
        <v>2759</v>
      </c>
      <c r="B2761" t="s">
        <v>2867</v>
      </c>
      <c r="C2761" t="s">
        <v>6410</v>
      </c>
      <c r="D2761" t="s">
        <v>2837</v>
      </c>
      <c r="E2761" t="s">
        <v>3744</v>
      </c>
    </row>
    <row r="2762" spans="1:5">
      <c r="A2762">
        <v>2760</v>
      </c>
      <c r="B2762" t="s">
        <v>2868</v>
      </c>
      <c r="C2762" t="s">
        <v>6411</v>
      </c>
      <c r="D2762" t="s">
        <v>2837</v>
      </c>
      <c r="E2762" t="s">
        <v>3744</v>
      </c>
    </row>
    <row r="2763" spans="1:5">
      <c r="A2763">
        <v>2761</v>
      </c>
      <c r="B2763" t="s">
        <v>2869</v>
      </c>
      <c r="C2763" t="s">
        <v>6412</v>
      </c>
      <c r="D2763" t="s">
        <v>2837</v>
      </c>
      <c r="E2763" t="s">
        <v>3744</v>
      </c>
    </row>
    <row r="2764" spans="1:5">
      <c r="A2764">
        <v>2762</v>
      </c>
      <c r="B2764" t="s">
        <v>2870</v>
      </c>
      <c r="C2764" t="s">
        <v>6413</v>
      </c>
      <c r="D2764" t="s">
        <v>2837</v>
      </c>
      <c r="E2764" t="s">
        <v>3744</v>
      </c>
    </row>
    <row r="2765" spans="1:5">
      <c r="A2765">
        <v>2763</v>
      </c>
      <c r="B2765" t="s">
        <v>2871</v>
      </c>
      <c r="C2765" t="s">
        <v>6414</v>
      </c>
      <c r="D2765" t="s">
        <v>2837</v>
      </c>
      <c r="E2765" t="s">
        <v>3744</v>
      </c>
    </row>
    <row r="2766" spans="1:5">
      <c r="A2766">
        <v>2764</v>
      </c>
      <c r="B2766" t="s">
        <v>2872</v>
      </c>
      <c r="C2766" t="s">
        <v>6415</v>
      </c>
      <c r="D2766" t="s">
        <v>2837</v>
      </c>
      <c r="E2766" t="s">
        <v>3744</v>
      </c>
    </row>
    <row r="2767" spans="1:5">
      <c r="A2767">
        <v>2765</v>
      </c>
      <c r="B2767" t="s">
        <v>2873</v>
      </c>
      <c r="C2767" t="s">
        <v>6416</v>
      </c>
      <c r="D2767" t="s">
        <v>2837</v>
      </c>
      <c r="E2767" t="s">
        <v>3744</v>
      </c>
    </row>
    <row r="2768" spans="1:5">
      <c r="A2768">
        <v>2766</v>
      </c>
      <c r="B2768" t="s">
        <v>2874</v>
      </c>
      <c r="C2768" t="s">
        <v>6417</v>
      </c>
      <c r="D2768" t="s">
        <v>2837</v>
      </c>
      <c r="E2768" t="s">
        <v>3744</v>
      </c>
    </row>
    <row r="2769" spans="1:5">
      <c r="A2769">
        <v>2767</v>
      </c>
      <c r="B2769" t="s">
        <v>2875</v>
      </c>
      <c r="C2769" t="s">
        <v>6418</v>
      </c>
      <c r="D2769" t="s">
        <v>2837</v>
      </c>
      <c r="E2769" t="s">
        <v>3744</v>
      </c>
    </row>
    <row r="2770" spans="1:5">
      <c r="A2770">
        <v>2768</v>
      </c>
      <c r="B2770" t="s">
        <v>2876</v>
      </c>
      <c r="C2770" t="s">
        <v>6419</v>
      </c>
      <c r="D2770" t="s">
        <v>2837</v>
      </c>
      <c r="E2770" t="s">
        <v>3744</v>
      </c>
    </row>
    <row r="2771" spans="1:5">
      <c r="A2771">
        <v>2769</v>
      </c>
      <c r="B2771" t="s">
        <v>2877</v>
      </c>
      <c r="C2771" t="s">
        <v>6420</v>
      </c>
      <c r="D2771" t="s">
        <v>2837</v>
      </c>
      <c r="E2771" t="s">
        <v>3744</v>
      </c>
    </row>
    <row r="2772" spans="1:5">
      <c r="A2772">
        <v>2770</v>
      </c>
      <c r="B2772" t="s">
        <v>2878</v>
      </c>
      <c r="C2772" t="s">
        <v>6421</v>
      </c>
      <c r="D2772" t="s">
        <v>2837</v>
      </c>
      <c r="E2772" t="s">
        <v>3744</v>
      </c>
    </row>
    <row r="2773" spans="1:5">
      <c r="A2773">
        <v>2771</v>
      </c>
      <c r="B2773" t="s">
        <v>2879</v>
      </c>
      <c r="C2773" t="s">
        <v>6422</v>
      </c>
      <c r="D2773" t="s">
        <v>2837</v>
      </c>
      <c r="E2773" t="s">
        <v>3744</v>
      </c>
    </row>
    <row r="2774" spans="1:5">
      <c r="A2774">
        <v>2772</v>
      </c>
      <c r="B2774" t="s">
        <v>2880</v>
      </c>
      <c r="C2774" t="s">
        <v>6423</v>
      </c>
      <c r="D2774" t="s">
        <v>2837</v>
      </c>
      <c r="E2774" t="s">
        <v>3744</v>
      </c>
    </row>
    <row r="2775" spans="1:5">
      <c r="A2775">
        <v>2773</v>
      </c>
      <c r="B2775" t="s">
        <v>2881</v>
      </c>
      <c r="C2775" t="s">
        <v>6424</v>
      </c>
      <c r="D2775" t="s">
        <v>2837</v>
      </c>
      <c r="E2775" t="s">
        <v>3744</v>
      </c>
    </row>
    <row r="2776" spans="1:5">
      <c r="A2776">
        <v>2774</v>
      </c>
      <c r="B2776" t="s">
        <v>2882</v>
      </c>
      <c r="C2776" t="s">
        <v>6425</v>
      </c>
      <c r="D2776" t="s">
        <v>2837</v>
      </c>
      <c r="E2776" t="s">
        <v>3744</v>
      </c>
    </row>
    <row r="2777" spans="1:5">
      <c r="A2777">
        <v>2775</v>
      </c>
      <c r="B2777" t="s">
        <v>2883</v>
      </c>
      <c r="C2777" t="s">
        <v>6426</v>
      </c>
      <c r="D2777" t="s">
        <v>2837</v>
      </c>
      <c r="E2777" t="s">
        <v>3744</v>
      </c>
    </row>
    <row r="2778" spans="1:5">
      <c r="A2778">
        <v>2776</v>
      </c>
      <c r="B2778" t="s">
        <v>2884</v>
      </c>
      <c r="C2778" t="s">
        <v>6427</v>
      </c>
      <c r="D2778" t="s">
        <v>2837</v>
      </c>
      <c r="E2778" t="s">
        <v>3744</v>
      </c>
    </row>
    <row r="2779" spans="1:5">
      <c r="A2779">
        <v>2777</v>
      </c>
      <c r="B2779" t="s">
        <v>2885</v>
      </c>
      <c r="C2779" t="s">
        <v>6428</v>
      </c>
      <c r="D2779" t="s">
        <v>2837</v>
      </c>
      <c r="E2779" t="s">
        <v>3744</v>
      </c>
    </row>
    <row r="2780" spans="1:5">
      <c r="A2780">
        <v>2778</v>
      </c>
      <c r="B2780" t="s">
        <v>2886</v>
      </c>
      <c r="C2780" t="s">
        <v>6429</v>
      </c>
      <c r="D2780" t="s">
        <v>2837</v>
      </c>
      <c r="E2780" t="s">
        <v>3744</v>
      </c>
    </row>
    <row r="2781" spans="1:5">
      <c r="A2781">
        <v>2779</v>
      </c>
      <c r="B2781" t="s">
        <v>2887</v>
      </c>
      <c r="C2781" t="s">
        <v>6430</v>
      </c>
      <c r="D2781" t="s">
        <v>2837</v>
      </c>
      <c r="E2781" t="s">
        <v>3744</v>
      </c>
    </row>
    <row r="2782" spans="1:5">
      <c r="A2782">
        <v>2780</v>
      </c>
      <c r="B2782" t="s">
        <v>2888</v>
      </c>
      <c r="C2782" t="s">
        <v>6431</v>
      </c>
      <c r="D2782" t="s">
        <v>2837</v>
      </c>
      <c r="E2782" t="s">
        <v>3744</v>
      </c>
    </row>
    <row r="2783" spans="1:5">
      <c r="A2783">
        <v>2781</v>
      </c>
      <c r="B2783" t="s">
        <v>2889</v>
      </c>
      <c r="C2783" t="s">
        <v>6432</v>
      </c>
      <c r="D2783" t="s">
        <v>2837</v>
      </c>
      <c r="E2783" t="s">
        <v>3744</v>
      </c>
    </row>
    <row r="2784" spans="1:5">
      <c r="A2784">
        <v>2782</v>
      </c>
      <c r="B2784" t="s">
        <v>2890</v>
      </c>
      <c r="C2784" t="s">
        <v>6433</v>
      </c>
      <c r="D2784" t="s">
        <v>2837</v>
      </c>
      <c r="E2784" t="s">
        <v>3744</v>
      </c>
    </row>
    <row r="2785" spans="1:5">
      <c r="A2785">
        <v>2783</v>
      </c>
      <c r="B2785" t="s">
        <v>2891</v>
      </c>
      <c r="C2785" t="s">
        <v>6434</v>
      </c>
      <c r="D2785" t="s">
        <v>2837</v>
      </c>
      <c r="E2785" t="s">
        <v>3744</v>
      </c>
    </row>
    <row r="2786" spans="1:5">
      <c r="A2786">
        <v>2784</v>
      </c>
      <c r="B2786" t="s">
        <v>2892</v>
      </c>
      <c r="C2786" t="s">
        <v>6435</v>
      </c>
      <c r="D2786" t="s">
        <v>2837</v>
      </c>
      <c r="E2786" t="s">
        <v>3744</v>
      </c>
    </row>
    <row r="2787" spans="1:5">
      <c r="A2787">
        <v>2785</v>
      </c>
      <c r="B2787" t="s">
        <v>2893</v>
      </c>
      <c r="C2787" t="s">
        <v>6436</v>
      </c>
      <c r="D2787" t="s">
        <v>2837</v>
      </c>
      <c r="E2787" t="s">
        <v>3744</v>
      </c>
    </row>
    <row r="2788" spans="1:5">
      <c r="A2788">
        <v>2786</v>
      </c>
      <c r="B2788" t="s">
        <v>2894</v>
      </c>
      <c r="C2788" t="s">
        <v>6437</v>
      </c>
      <c r="D2788" t="s">
        <v>2837</v>
      </c>
      <c r="E2788" t="s">
        <v>3744</v>
      </c>
    </row>
    <row r="2789" spans="1:5">
      <c r="A2789">
        <v>2787</v>
      </c>
      <c r="B2789" t="s">
        <v>2895</v>
      </c>
      <c r="C2789" t="s">
        <v>6438</v>
      </c>
      <c r="D2789" t="s">
        <v>2837</v>
      </c>
      <c r="E2789" t="s">
        <v>3744</v>
      </c>
    </row>
    <row r="2790" spans="1:5">
      <c r="A2790">
        <v>2788</v>
      </c>
      <c r="B2790" t="s">
        <v>2896</v>
      </c>
      <c r="C2790" t="s">
        <v>6439</v>
      </c>
      <c r="D2790" t="s">
        <v>2837</v>
      </c>
      <c r="E2790" t="s">
        <v>3744</v>
      </c>
    </row>
    <row r="2791" spans="1:5">
      <c r="A2791">
        <v>2789</v>
      </c>
      <c r="B2791" t="s">
        <v>2897</v>
      </c>
      <c r="C2791" t="s">
        <v>6440</v>
      </c>
      <c r="D2791" t="s">
        <v>2837</v>
      </c>
      <c r="E2791" t="s">
        <v>3744</v>
      </c>
    </row>
    <row r="2792" spans="1:5">
      <c r="A2792">
        <v>2790</v>
      </c>
      <c r="B2792" t="s">
        <v>2898</v>
      </c>
      <c r="C2792" t="s">
        <v>6441</v>
      </c>
      <c r="D2792" t="s">
        <v>2837</v>
      </c>
      <c r="E2792" t="s">
        <v>3744</v>
      </c>
    </row>
    <row r="2793" spans="1:5">
      <c r="A2793">
        <v>2791</v>
      </c>
      <c r="B2793" t="s">
        <v>7386</v>
      </c>
      <c r="C2793" t="s">
        <v>7387</v>
      </c>
      <c r="D2793" t="s">
        <v>2837</v>
      </c>
      <c r="E2793" t="s">
        <v>3744</v>
      </c>
    </row>
    <row r="2794" spans="1:5">
      <c r="A2794">
        <v>2792</v>
      </c>
      <c r="B2794" t="s">
        <v>2899</v>
      </c>
      <c r="C2794" t="s">
        <v>6442</v>
      </c>
      <c r="D2794" t="s">
        <v>2837</v>
      </c>
      <c r="E2794" t="s">
        <v>3744</v>
      </c>
    </row>
    <row r="2795" spans="1:5">
      <c r="A2795">
        <v>2793</v>
      </c>
      <c r="B2795" t="s">
        <v>2900</v>
      </c>
      <c r="C2795" t="s">
        <v>6443</v>
      </c>
      <c r="D2795" t="s">
        <v>2837</v>
      </c>
      <c r="E2795" t="s">
        <v>3744</v>
      </c>
    </row>
    <row r="2796" spans="1:5">
      <c r="A2796">
        <v>2794</v>
      </c>
      <c r="B2796" t="s">
        <v>2901</v>
      </c>
      <c r="C2796" t="s">
        <v>6444</v>
      </c>
      <c r="D2796" t="s">
        <v>2837</v>
      </c>
      <c r="E2796" t="s">
        <v>3744</v>
      </c>
    </row>
    <row r="2797" spans="1:5">
      <c r="A2797">
        <v>2795</v>
      </c>
      <c r="B2797" t="s">
        <v>2902</v>
      </c>
      <c r="C2797" t="s">
        <v>6445</v>
      </c>
      <c r="D2797" t="s">
        <v>2837</v>
      </c>
      <c r="E2797" t="s">
        <v>3744</v>
      </c>
    </row>
    <row r="2798" spans="1:5">
      <c r="A2798">
        <v>2796</v>
      </c>
      <c r="B2798" t="s">
        <v>2903</v>
      </c>
      <c r="C2798" t="s">
        <v>6446</v>
      </c>
      <c r="D2798" t="s">
        <v>2837</v>
      </c>
      <c r="E2798" t="s">
        <v>3744</v>
      </c>
    </row>
    <row r="2799" spans="1:5">
      <c r="A2799">
        <v>2797</v>
      </c>
      <c r="B2799" t="s">
        <v>2904</v>
      </c>
      <c r="C2799" t="s">
        <v>6447</v>
      </c>
      <c r="D2799" t="s">
        <v>2837</v>
      </c>
      <c r="E2799" t="s">
        <v>3744</v>
      </c>
    </row>
    <row r="2800" spans="1:5">
      <c r="A2800">
        <v>2798</v>
      </c>
      <c r="B2800" t="s">
        <v>2905</v>
      </c>
      <c r="C2800" t="s">
        <v>6448</v>
      </c>
      <c r="D2800" t="s">
        <v>2837</v>
      </c>
      <c r="E2800" t="s">
        <v>3744</v>
      </c>
    </row>
    <row r="2801" spans="1:5">
      <c r="A2801">
        <v>2799</v>
      </c>
      <c r="B2801" t="s">
        <v>7388</v>
      </c>
      <c r="C2801" t="s">
        <v>7389</v>
      </c>
      <c r="D2801" t="s">
        <v>2837</v>
      </c>
      <c r="E2801" t="s">
        <v>3744</v>
      </c>
    </row>
    <row r="2802" spans="1:5">
      <c r="A2802">
        <v>2800</v>
      </c>
      <c r="B2802" t="s">
        <v>2906</v>
      </c>
      <c r="C2802" t="s">
        <v>6449</v>
      </c>
      <c r="D2802" t="s">
        <v>2837</v>
      </c>
      <c r="E2802" t="s">
        <v>3744</v>
      </c>
    </row>
    <row r="2803" spans="1:5">
      <c r="A2803">
        <v>2801</v>
      </c>
      <c r="B2803" t="s">
        <v>2907</v>
      </c>
      <c r="C2803" t="s">
        <v>6450</v>
      </c>
      <c r="D2803" t="s">
        <v>2837</v>
      </c>
      <c r="E2803" t="s">
        <v>3744</v>
      </c>
    </row>
    <row r="2804" spans="1:5">
      <c r="A2804">
        <v>2802</v>
      </c>
      <c r="B2804" t="s">
        <v>2908</v>
      </c>
      <c r="C2804" t="s">
        <v>6451</v>
      </c>
      <c r="D2804" t="s">
        <v>2837</v>
      </c>
      <c r="E2804" t="s">
        <v>3744</v>
      </c>
    </row>
    <row r="2805" spans="1:5">
      <c r="A2805">
        <v>2803</v>
      </c>
      <c r="B2805" t="s">
        <v>2909</v>
      </c>
      <c r="C2805" t="s">
        <v>6452</v>
      </c>
      <c r="D2805" t="s">
        <v>2837</v>
      </c>
      <c r="E2805" t="s">
        <v>3744</v>
      </c>
    </row>
    <row r="2806" spans="1:5">
      <c r="A2806">
        <v>2804</v>
      </c>
      <c r="B2806" t="s">
        <v>2910</v>
      </c>
      <c r="C2806" t="s">
        <v>6453</v>
      </c>
      <c r="D2806" t="s">
        <v>2837</v>
      </c>
      <c r="E2806" t="s">
        <v>3744</v>
      </c>
    </row>
    <row r="2807" spans="1:5">
      <c r="A2807">
        <v>2805</v>
      </c>
      <c r="B2807" t="s">
        <v>2911</v>
      </c>
      <c r="C2807" t="s">
        <v>6454</v>
      </c>
      <c r="D2807" t="s">
        <v>2837</v>
      </c>
      <c r="E2807" t="s">
        <v>3744</v>
      </c>
    </row>
    <row r="2808" spans="1:5">
      <c r="A2808">
        <v>2806</v>
      </c>
      <c r="B2808" t="s">
        <v>2912</v>
      </c>
      <c r="C2808" t="s">
        <v>6455</v>
      </c>
      <c r="D2808" t="s">
        <v>2837</v>
      </c>
      <c r="E2808" t="s">
        <v>3744</v>
      </c>
    </row>
    <row r="2809" spans="1:5">
      <c r="A2809">
        <v>2807</v>
      </c>
      <c r="B2809" t="s">
        <v>2913</v>
      </c>
      <c r="C2809" t="s">
        <v>6456</v>
      </c>
      <c r="D2809" t="s">
        <v>2837</v>
      </c>
      <c r="E2809" t="s">
        <v>3744</v>
      </c>
    </row>
    <row r="2810" spans="1:5">
      <c r="A2810">
        <v>2808</v>
      </c>
      <c r="B2810" t="s">
        <v>2914</v>
      </c>
      <c r="C2810" t="s">
        <v>6457</v>
      </c>
      <c r="D2810" t="s">
        <v>2837</v>
      </c>
      <c r="E2810" t="s">
        <v>3744</v>
      </c>
    </row>
    <row r="2811" spans="1:5">
      <c r="A2811">
        <v>2809</v>
      </c>
      <c r="B2811" t="s">
        <v>2915</v>
      </c>
      <c r="C2811" t="s">
        <v>6458</v>
      </c>
      <c r="D2811" t="s">
        <v>2837</v>
      </c>
      <c r="E2811" t="s">
        <v>3744</v>
      </c>
    </row>
    <row r="2812" spans="1:5">
      <c r="A2812">
        <v>2810</v>
      </c>
      <c r="B2812" t="s">
        <v>2916</v>
      </c>
      <c r="C2812" t="s">
        <v>6459</v>
      </c>
      <c r="D2812" t="s">
        <v>2837</v>
      </c>
      <c r="E2812" t="s">
        <v>3744</v>
      </c>
    </row>
    <row r="2813" spans="1:5">
      <c r="A2813">
        <v>2811</v>
      </c>
      <c r="B2813" t="s">
        <v>2917</v>
      </c>
      <c r="C2813" t="s">
        <v>6460</v>
      </c>
      <c r="D2813" t="s">
        <v>2837</v>
      </c>
      <c r="E2813" t="s">
        <v>3744</v>
      </c>
    </row>
    <row r="2814" spans="1:5">
      <c r="A2814">
        <v>2812</v>
      </c>
      <c r="B2814" t="s">
        <v>2918</v>
      </c>
      <c r="C2814" t="s">
        <v>6461</v>
      </c>
      <c r="D2814" t="s">
        <v>2837</v>
      </c>
      <c r="E2814" t="s">
        <v>3744</v>
      </c>
    </row>
    <row r="2815" spans="1:5">
      <c r="A2815">
        <v>2813</v>
      </c>
      <c r="B2815" t="s">
        <v>7390</v>
      </c>
      <c r="C2815" t="s">
        <v>7391</v>
      </c>
      <c r="D2815" t="s">
        <v>2837</v>
      </c>
      <c r="E2815" t="s">
        <v>3744</v>
      </c>
    </row>
    <row r="2816" spans="1:5">
      <c r="A2816">
        <v>2814</v>
      </c>
      <c r="B2816" t="s">
        <v>2919</v>
      </c>
      <c r="C2816" t="s">
        <v>6462</v>
      </c>
      <c r="D2816" t="s">
        <v>2837</v>
      </c>
      <c r="E2816" t="s">
        <v>3744</v>
      </c>
    </row>
    <row r="2817" spans="1:5">
      <c r="A2817">
        <v>2815</v>
      </c>
      <c r="B2817" t="s">
        <v>2920</v>
      </c>
      <c r="C2817" t="s">
        <v>6463</v>
      </c>
      <c r="D2817" t="s">
        <v>2837</v>
      </c>
      <c r="E2817" t="s">
        <v>3744</v>
      </c>
    </row>
    <row r="2818" spans="1:5">
      <c r="A2818">
        <v>2816</v>
      </c>
      <c r="B2818" t="s">
        <v>2921</v>
      </c>
      <c r="C2818" t="s">
        <v>6464</v>
      </c>
      <c r="D2818" t="s">
        <v>2837</v>
      </c>
      <c r="E2818" t="s">
        <v>3744</v>
      </c>
    </row>
    <row r="2819" spans="1:5">
      <c r="A2819">
        <v>2817</v>
      </c>
      <c r="B2819" t="s">
        <v>2922</v>
      </c>
      <c r="C2819" t="s">
        <v>6465</v>
      </c>
      <c r="D2819" t="s">
        <v>2837</v>
      </c>
      <c r="E2819" t="s">
        <v>3744</v>
      </c>
    </row>
    <row r="2820" spans="1:5">
      <c r="A2820">
        <v>2818</v>
      </c>
      <c r="B2820" t="s">
        <v>2923</v>
      </c>
      <c r="C2820" t="s">
        <v>6466</v>
      </c>
      <c r="D2820" t="s">
        <v>2837</v>
      </c>
      <c r="E2820" t="s">
        <v>3744</v>
      </c>
    </row>
    <row r="2821" spans="1:5">
      <c r="A2821">
        <v>2819</v>
      </c>
      <c r="B2821" t="s">
        <v>2924</v>
      </c>
      <c r="C2821" t="s">
        <v>6467</v>
      </c>
      <c r="D2821" t="s">
        <v>2837</v>
      </c>
      <c r="E2821" t="s">
        <v>3744</v>
      </c>
    </row>
    <row r="2822" spans="1:5">
      <c r="A2822">
        <v>2820</v>
      </c>
      <c r="B2822" t="s">
        <v>2925</v>
      </c>
      <c r="C2822" t="s">
        <v>6468</v>
      </c>
      <c r="D2822" t="s">
        <v>2837</v>
      </c>
      <c r="E2822" t="s">
        <v>3744</v>
      </c>
    </row>
    <row r="2823" spans="1:5">
      <c r="A2823">
        <v>2821</v>
      </c>
      <c r="B2823" t="s">
        <v>2926</v>
      </c>
      <c r="C2823" t="s">
        <v>6469</v>
      </c>
      <c r="D2823" t="s">
        <v>2837</v>
      </c>
      <c r="E2823" t="s">
        <v>3744</v>
      </c>
    </row>
    <row r="2824" spans="1:5">
      <c r="A2824">
        <v>2822</v>
      </c>
      <c r="B2824" t="s">
        <v>2927</v>
      </c>
      <c r="C2824" t="s">
        <v>6470</v>
      </c>
      <c r="D2824" t="s">
        <v>2837</v>
      </c>
      <c r="E2824" t="s">
        <v>3744</v>
      </c>
    </row>
    <row r="2825" spans="1:5">
      <c r="A2825">
        <v>2823</v>
      </c>
      <c r="B2825" t="s">
        <v>2928</v>
      </c>
      <c r="C2825" t="s">
        <v>6471</v>
      </c>
      <c r="D2825" t="s">
        <v>2929</v>
      </c>
      <c r="E2825" t="s">
        <v>157</v>
      </c>
    </row>
    <row r="2826" spans="1:5">
      <c r="A2826">
        <v>2824</v>
      </c>
      <c r="B2826" t="s">
        <v>2930</v>
      </c>
      <c r="C2826" t="s">
        <v>6472</v>
      </c>
      <c r="D2826" t="s">
        <v>2929</v>
      </c>
      <c r="E2826" t="s">
        <v>157</v>
      </c>
    </row>
    <row r="2827" spans="1:5">
      <c r="A2827">
        <v>2825</v>
      </c>
      <c r="B2827" t="s">
        <v>2931</v>
      </c>
      <c r="C2827" t="s">
        <v>6473</v>
      </c>
      <c r="D2827" t="s">
        <v>2929</v>
      </c>
      <c r="E2827" t="s">
        <v>157</v>
      </c>
    </row>
    <row r="2828" spans="1:5">
      <c r="A2828">
        <v>2826</v>
      </c>
      <c r="B2828" t="s">
        <v>2932</v>
      </c>
      <c r="C2828" t="s">
        <v>6474</v>
      </c>
      <c r="D2828" t="s">
        <v>2929</v>
      </c>
      <c r="E2828" t="s">
        <v>157</v>
      </c>
    </row>
    <row r="2829" spans="1:5">
      <c r="A2829">
        <v>2827</v>
      </c>
      <c r="B2829" t="s">
        <v>2933</v>
      </c>
      <c r="C2829" t="s">
        <v>6475</v>
      </c>
      <c r="D2829" t="s">
        <v>2929</v>
      </c>
      <c r="E2829" t="s">
        <v>157</v>
      </c>
    </row>
    <row r="2830" spans="1:5">
      <c r="A2830">
        <v>2828</v>
      </c>
      <c r="B2830" t="s">
        <v>1775</v>
      </c>
      <c r="C2830" t="s">
        <v>5332</v>
      </c>
      <c r="D2830" t="s">
        <v>2929</v>
      </c>
      <c r="E2830" t="s">
        <v>157</v>
      </c>
    </row>
    <row r="2831" spans="1:5">
      <c r="A2831">
        <v>2829</v>
      </c>
      <c r="B2831" t="s">
        <v>2934</v>
      </c>
      <c r="C2831" t="s">
        <v>6476</v>
      </c>
      <c r="D2831" t="s">
        <v>2929</v>
      </c>
      <c r="E2831" t="s">
        <v>157</v>
      </c>
    </row>
    <row r="2832" spans="1:5">
      <c r="A2832">
        <v>2830</v>
      </c>
      <c r="B2832" t="s">
        <v>2935</v>
      </c>
      <c r="C2832" t="s">
        <v>6477</v>
      </c>
      <c r="D2832" t="s">
        <v>2929</v>
      </c>
      <c r="E2832" t="s">
        <v>157</v>
      </c>
    </row>
    <row r="2833" spans="1:5">
      <c r="A2833">
        <v>2831</v>
      </c>
      <c r="B2833" t="s">
        <v>2936</v>
      </c>
      <c r="C2833" t="s">
        <v>6478</v>
      </c>
      <c r="D2833" t="s">
        <v>2929</v>
      </c>
      <c r="E2833" t="s">
        <v>157</v>
      </c>
    </row>
    <row r="2834" spans="1:5">
      <c r="A2834">
        <v>2832</v>
      </c>
      <c r="B2834" t="s">
        <v>2937</v>
      </c>
      <c r="C2834" t="s">
        <v>6479</v>
      </c>
      <c r="D2834" t="s">
        <v>2929</v>
      </c>
      <c r="E2834" t="s">
        <v>157</v>
      </c>
    </row>
    <row r="2835" spans="1:5">
      <c r="A2835">
        <v>2833</v>
      </c>
      <c r="B2835" t="s">
        <v>2938</v>
      </c>
      <c r="C2835" t="s">
        <v>6480</v>
      </c>
      <c r="D2835" t="s">
        <v>2929</v>
      </c>
      <c r="E2835" t="s">
        <v>157</v>
      </c>
    </row>
    <row r="2836" spans="1:5">
      <c r="A2836">
        <v>2834</v>
      </c>
      <c r="B2836" t="s">
        <v>2939</v>
      </c>
      <c r="C2836" t="s">
        <v>6481</v>
      </c>
      <c r="D2836" t="s">
        <v>2929</v>
      </c>
      <c r="E2836" t="s">
        <v>157</v>
      </c>
    </row>
    <row r="2837" spans="1:5">
      <c r="A2837">
        <v>2835</v>
      </c>
      <c r="B2837" t="s">
        <v>2940</v>
      </c>
      <c r="C2837" t="s">
        <v>6482</v>
      </c>
      <c r="D2837" t="s">
        <v>2929</v>
      </c>
      <c r="E2837" t="s">
        <v>157</v>
      </c>
    </row>
    <row r="2838" spans="1:5">
      <c r="A2838">
        <v>2836</v>
      </c>
      <c r="B2838" t="s">
        <v>2941</v>
      </c>
      <c r="C2838" t="s">
        <v>6483</v>
      </c>
      <c r="D2838" t="s">
        <v>2929</v>
      </c>
      <c r="E2838" t="s">
        <v>157</v>
      </c>
    </row>
    <row r="2839" spans="1:5">
      <c r="A2839">
        <v>2837</v>
      </c>
      <c r="B2839" t="s">
        <v>2942</v>
      </c>
      <c r="C2839" t="s">
        <v>6484</v>
      </c>
      <c r="D2839" t="s">
        <v>2929</v>
      </c>
      <c r="E2839" t="s">
        <v>157</v>
      </c>
    </row>
    <row r="2840" spans="1:5">
      <c r="A2840">
        <v>2838</v>
      </c>
      <c r="B2840" t="s">
        <v>2943</v>
      </c>
      <c r="C2840" t="s">
        <v>6485</v>
      </c>
      <c r="D2840" t="s">
        <v>2929</v>
      </c>
      <c r="E2840" t="s">
        <v>157</v>
      </c>
    </row>
    <row r="2841" spans="1:5">
      <c r="A2841">
        <v>2839</v>
      </c>
      <c r="B2841" t="s">
        <v>2944</v>
      </c>
      <c r="C2841" t="s">
        <v>6486</v>
      </c>
      <c r="D2841" t="s">
        <v>2929</v>
      </c>
      <c r="E2841" t="s">
        <v>157</v>
      </c>
    </row>
    <row r="2842" spans="1:5">
      <c r="A2842">
        <v>2840</v>
      </c>
      <c r="B2842" t="s">
        <v>2945</v>
      </c>
      <c r="C2842" t="s">
        <v>6487</v>
      </c>
      <c r="D2842" t="s">
        <v>2929</v>
      </c>
      <c r="E2842" t="s">
        <v>157</v>
      </c>
    </row>
    <row r="2843" spans="1:5">
      <c r="A2843">
        <v>2841</v>
      </c>
      <c r="B2843" t="s">
        <v>2946</v>
      </c>
      <c r="C2843" t="s">
        <v>6488</v>
      </c>
      <c r="D2843" t="s">
        <v>2929</v>
      </c>
      <c r="E2843" t="s">
        <v>157</v>
      </c>
    </row>
    <row r="2844" spans="1:5">
      <c r="A2844">
        <v>2842</v>
      </c>
      <c r="B2844" t="s">
        <v>2947</v>
      </c>
      <c r="C2844" t="s">
        <v>6489</v>
      </c>
      <c r="D2844" t="s">
        <v>2929</v>
      </c>
      <c r="E2844" t="s">
        <v>157</v>
      </c>
    </row>
    <row r="2845" spans="1:5">
      <c r="A2845">
        <v>2843</v>
      </c>
      <c r="B2845" t="s">
        <v>2948</v>
      </c>
      <c r="C2845" t="s">
        <v>6490</v>
      </c>
      <c r="D2845" t="s">
        <v>2929</v>
      </c>
      <c r="E2845" t="s">
        <v>157</v>
      </c>
    </row>
    <row r="2846" spans="1:5">
      <c r="A2846">
        <v>2844</v>
      </c>
      <c r="B2846" t="s">
        <v>2949</v>
      </c>
      <c r="C2846" t="s">
        <v>6491</v>
      </c>
      <c r="D2846" t="s">
        <v>2929</v>
      </c>
      <c r="E2846" t="s">
        <v>157</v>
      </c>
    </row>
    <row r="2847" spans="1:5">
      <c r="A2847">
        <v>2845</v>
      </c>
      <c r="B2847" t="s">
        <v>2950</v>
      </c>
      <c r="C2847" t="s">
        <v>6492</v>
      </c>
      <c r="D2847" t="s">
        <v>2929</v>
      </c>
      <c r="E2847" t="s">
        <v>157</v>
      </c>
    </row>
    <row r="2848" spans="1:5">
      <c r="A2848">
        <v>2846</v>
      </c>
      <c r="B2848" t="s">
        <v>2951</v>
      </c>
      <c r="C2848" t="s">
        <v>6493</v>
      </c>
      <c r="D2848" t="s">
        <v>2929</v>
      </c>
      <c r="E2848" t="s">
        <v>157</v>
      </c>
    </row>
    <row r="2849" spans="1:5">
      <c r="A2849">
        <v>2847</v>
      </c>
      <c r="B2849" t="s">
        <v>2952</v>
      </c>
      <c r="C2849" t="s">
        <v>6494</v>
      </c>
      <c r="D2849" t="s">
        <v>2929</v>
      </c>
      <c r="E2849" t="s">
        <v>157</v>
      </c>
    </row>
    <row r="2850" spans="1:5">
      <c r="A2850">
        <v>2848</v>
      </c>
      <c r="B2850" t="s">
        <v>2953</v>
      </c>
      <c r="C2850" t="s">
        <v>6495</v>
      </c>
      <c r="D2850" t="s">
        <v>2929</v>
      </c>
      <c r="E2850" t="s">
        <v>157</v>
      </c>
    </row>
    <row r="2851" spans="1:5">
      <c r="A2851">
        <v>2849</v>
      </c>
      <c r="B2851" t="s">
        <v>2954</v>
      </c>
      <c r="C2851" t="s">
        <v>6496</v>
      </c>
      <c r="D2851" t="s">
        <v>2929</v>
      </c>
      <c r="E2851" t="s">
        <v>157</v>
      </c>
    </row>
    <row r="2852" spans="1:5">
      <c r="A2852">
        <v>2850</v>
      </c>
      <c r="B2852" t="s">
        <v>2955</v>
      </c>
      <c r="C2852" t="s">
        <v>7392</v>
      </c>
      <c r="D2852" t="s">
        <v>2929</v>
      </c>
      <c r="E2852" t="s">
        <v>157</v>
      </c>
    </row>
    <row r="2853" spans="1:5">
      <c r="A2853">
        <v>2851</v>
      </c>
      <c r="B2853" t="s">
        <v>2956</v>
      </c>
      <c r="C2853" t="s">
        <v>7393</v>
      </c>
      <c r="D2853" t="s">
        <v>2929</v>
      </c>
      <c r="E2853" t="s">
        <v>157</v>
      </c>
    </row>
    <row r="2854" spans="1:5">
      <c r="A2854">
        <v>2852</v>
      </c>
      <c r="B2854" t="s">
        <v>2957</v>
      </c>
      <c r="C2854" t="s">
        <v>6497</v>
      </c>
      <c r="D2854" t="s">
        <v>2929</v>
      </c>
      <c r="E2854" t="s">
        <v>157</v>
      </c>
    </row>
    <row r="2855" spans="1:5">
      <c r="A2855">
        <v>2853</v>
      </c>
      <c r="B2855" t="s">
        <v>2958</v>
      </c>
      <c r="C2855" t="s">
        <v>6498</v>
      </c>
      <c r="D2855" t="s">
        <v>2929</v>
      </c>
      <c r="E2855" t="s">
        <v>157</v>
      </c>
    </row>
    <row r="2856" spans="1:5">
      <c r="A2856">
        <v>2854</v>
      </c>
      <c r="B2856" t="s">
        <v>2959</v>
      </c>
      <c r="C2856" t="s">
        <v>6499</v>
      </c>
      <c r="D2856" t="s">
        <v>2929</v>
      </c>
      <c r="E2856" t="s">
        <v>157</v>
      </c>
    </row>
    <row r="2857" spans="1:5">
      <c r="A2857">
        <v>2855</v>
      </c>
      <c r="B2857" t="s">
        <v>2960</v>
      </c>
      <c r="C2857" t="s">
        <v>6500</v>
      </c>
      <c r="D2857" t="s">
        <v>2929</v>
      </c>
      <c r="E2857" t="s">
        <v>157</v>
      </c>
    </row>
    <row r="2858" spans="1:5">
      <c r="A2858">
        <v>2856</v>
      </c>
      <c r="B2858" t="s">
        <v>2961</v>
      </c>
      <c r="C2858" t="s">
        <v>6501</v>
      </c>
      <c r="D2858" t="s">
        <v>2929</v>
      </c>
      <c r="E2858" t="s">
        <v>157</v>
      </c>
    </row>
    <row r="2859" spans="1:5">
      <c r="A2859">
        <v>2857</v>
      </c>
      <c r="B2859" t="s">
        <v>2962</v>
      </c>
      <c r="C2859" t="s">
        <v>6502</v>
      </c>
      <c r="D2859" t="s">
        <v>2929</v>
      </c>
      <c r="E2859" t="s">
        <v>157</v>
      </c>
    </row>
    <row r="2860" spans="1:5">
      <c r="A2860">
        <v>2858</v>
      </c>
      <c r="B2860" t="s">
        <v>2963</v>
      </c>
      <c r="C2860" t="s">
        <v>6503</v>
      </c>
      <c r="D2860" t="s">
        <v>2929</v>
      </c>
      <c r="E2860" t="s">
        <v>157</v>
      </c>
    </row>
    <row r="2861" spans="1:5">
      <c r="A2861">
        <v>2859</v>
      </c>
      <c r="B2861" t="s">
        <v>2964</v>
      </c>
      <c r="C2861" t="s">
        <v>6504</v>
      </c>
      <c r="D2861" t="s">
        <v>2929</v>
      </c>
      <c r="E2861" t="s">
        <v>157</v>
      </c>
    </row>
    <row r="2862" spans="1:5">
      <c r="A2862">
        <v>2860</v>
      </c>
      <c r="B2862" t="s">
        <v>2965</v>
      </c>
      <c r="C2862" t="s">
        <v>6505</v>
      </c>
      <c r="D2862" t="s">
        <v>2929</v>
      </c>
      <c r="E2862" t="s">
        <v>157</v>
      </c>
    </row>
    <row r="2863" spans="1:5">
      <c r="A2863">
        <v>2861</v>
      </c>
      <c r="B2863" t="s">
        <v>2966</v>
      </c>
      <c r="C2863" t="s">
        <v>6506</v>
      </c>
      <c r="D2863" t="s">
        <v>2929</v>
      </c>
      <c r="E2863" t="s">
        <v>157</v>
      </c>
    </row>
    <row r="2864" spans="1:5">
      <c r="A2864">
        <v>2862</v>
      </c>
      <c r="B2864" t="s">
        <v>2967</v>
      </c>
      <c r="C2864" t="s">
        <v>6507</v>
      </c>
      <c r="D2864" t="s">
        <v>2929</v>
      </c>
      <c r="E2864" t="s">
        <v>157</v>
      </c>
    </row>
    <row r="2865" spans="1:5">
      <c r="A2865">
        <v>2863</v>
      </c>
      <c r="B2865" t="s">
        <v>2968</v>
      </c>
      <c r="C2865" t="s">
        <v>6508</v>
      </c>
      <c r="D2865" t="s">
        <v>2929</v>
      </c>
      <c r="E2865" t="s">
        <v>157</v>
      </c>
    </row>
    <row r="2866" spans="1:5">
      <c r="A2866">
        <v>2864</v>
      </c>
      <c r="B2866" t="s">
        <v>2969</v>
      </c>
      <c r="C2866" t="s">
        <v>6509</v>
      </c>
      <c r="D2866" t="s">
        <v>2929</v>
      </c>
      <c r="E2866" t="s">
        <v>157</v>
      </c>
    </row>
    <row r="2867" spans="1:5">
      <c r="A2867">
        <v>2865</v>
      </c>
      <c r="B2867" t="s">
        <v>350</v>
      </c>
      <c r="C2867" t="s">
        <v>3925</v>
      </c>
      <c r="D2867" t="s">
        <v>2929</v>
      </c>
      <c r="E2867" t="s">
        <v>157</v>
      </c>
    </row>
    <row r="2868" spans="1:5">
      <c r="A2868">
        <v>2866</v>
      </c>
      <c r="B2868" t="s">
        <v>2970</v>
      </c>
      <c r="C2868" t="s">
        <v>6510</v>
      </c>
      <c r="D2868" t="s">
        <v>2929</v>
      </c>
      <c r="E2868" t="s">
        <v>157</v>
      </c>
    </row>
    <row r="2869" spans="1:5">
      <c r="A2869">
        <v>2867</v>
      </c>
      <c r="B2869" t="s">
        <v>2971</v>
      </c>
      <c r="C2869" t="s">
        <v>6511</v>
      </c>
      <c r="D2869" t="s">
        <v>2929</v>
      </c>
      <c r="E2869" t="s">
        <v>157</v>
      </c>
    </row>
    <row r="2870" spans="1:5">
      <c r="A2870">
        <v>2868</v>
      </c>
      <c r="B2870" t="s">
        <v>2972</v>
      </c>
      <c r="C2870" t="s">
        <v>6512</v>
      </c>
      <c r="D2870" t="s">
        <v>2929</v>
      </c>
      <c r="E2870" t="s">
        <v>157</v>
      </c>
    </row>
    <row r="2871" spans="1:5">
      <c r="A2871">
        <v>2869</v>
      </c>
      <c r="B2871" t="s">
        <v>2973</v>
      </c>
      <c r="C2871" t="s">
        <v>6513</v>
      </c>
      <c r="D2871" t="s">
        <v>2929</v>
      </c>
      <c r="E2871" t="s">
        <v>157</v>
      </c>
    </row>
    <row r="2872" spans="1:5">
      <c r="A2872">
        <v>2870</v>
      </c>
      <c r="B2872" t="s">
        <v>2974</v>
      </c>
      <c r="C2872" t="s">
        <v>6514</v>
      </c>
      <c r="D2872" t="s">
        <v>2929</v>
      </c>
      <c r="E2872" t="s">
        <v>157</v>
      </c>
    </row>
    <row r="2873" spans="1:5">
      <c r="A2873">
        <v>2871</v>
      </c>
      <c r="B2873" t="s">
        <v>2975</v>
      </c>
      <c r="C2873" t="s">
        <v>6515</v>
      </c>
      <c r="D2873" t="s">
        <v>2929</v>
      </c>
      <c r="E2873" t="s">
        <v>157</v>
      </c>
    </row>
    <row r="2874" spans="1:5">
      <c r="A2874">
        <v>2872</v>
      </c>
      <c r="B2874" t="s">
        <v>2976</v>
      </c>
      <c r="C2874" t="s">
        <v>6516</v>
      </c>
      <c r="D2874" t="s">
        <v>2929</v>
      </c>
      <c r="E2874" t="s">
        <v>157</v>
      </c>
    </row>
    <row r="2875" spans="1:5">
      <c r="A2875">
        <v>2873</v>
      </c>
      <c r="B2875" t="s">
        <v>2977</v>
      </c>
      <c r="C2875" t="s">
        <v>6517</v>
      </c>
      <c r="D2875" t="s">
        <v>2929</v>
      </c>
      <c r="E2875" t="s">
        <v>157</v>
      </c>
    </row>
    <row r="2876" spans="1:5">
      <c r="A2876">
        <v>2874</v>
      </c>
      <c r="B2876" t="s">
        <v>2978</v>
      </c>
      <c r="C2876" t="s">
        <v>6518</v>
      </c>
      <c r="D2876" t="s">
        <v>2929</v>
      </c>
      <c r="E2876" t="s">
        <v>157</v>
      </c>
    </row>
    <row r="2877" spans="1:5">
      <c r="A2877">
        <v>2875</v>
      </c>
      <c r="B2877" t="s">
        <v>2979</v>
      </c>
      <c r="C2877" t="s">
        <v>6519</v>
      </c>
      <c r="D2877" t="s">
        <v>2929</v>
      </c>
      <c r="E2877" t="s">
        <v>157</v>
      </c>
    </row>
    <row r="2878" spans="1:5">
      <c r="A2878">
        <v>2876</v>
      </c>
      <c r="B2878" t="s">
        <v>2980</v>
      </c>
      <c r="C2878" t="s">
        <v>6520</v>
      </c>
      <c r="D2878" t="s">
        <v>2929</v>
      </c>
      <c r="E2878" t="s">
        <v>157</v>
      </c>
    </row>
    <row r="2879" spans="1:5">
      <c r="A2879">
        <v>2877</v>
      </c>
      <c r="B2879" t="s">
        <v>2981</v>
      </c>
      <c r="C2879" t="s">
        <v>6521</v>
      </c>
      <c r="D2879" t="s">
        <v>2929</v>
      </c>
      <c r="E2879" t="s">
        <v>157</v>
      </c>
    </row>
    <row r="2880" spans="1:5">
      <c r="A2880">
        <v>2878</v>
      </c>
      <c r="B2880" t="s">
        <v>2982</v>
      </c>
      <c r="C2880" t="s">
        <v>6522</v>
      </c>
      <c r="D2880" t="s">
        <v>2929</v>
      </c>
      <c r="E2880" t="s">
        <v>157</v>
      </c>
    </row>
    <row r="2881" spans="1:5">
      <c r="A2881">
        <v>2879</v>
      </c>
      <c r="B2881" t="s">
        <v>2983</v>
      </c>
      <c r="C2881" t="s">
        <v>6523</v>
      </c>
      <c r="D2881" t="s">
        <v>2929</v>
      </c>
      <c r="E2881" t="s">
        <v>157</v>
      </c>
    </row>
    <row r="2882" spans="1:5">
      <c r="A2882">
        <v>2880</v>
      </c>
      <c r="B2882" t="s">
        <v>2984</v>
      </c>
      <c r="C2882" t="s">
        <v>6524</v>
      </c>
      <c r="D2882" t="s">
        <v>2929</v>
      </c>
      <c r="E2882" t="s">
        <v>157</v>
      </c>
    </row>
    <row r="2883" spans="1:5">
      <c r="A2883">
        <v>2881</v>
      </c>
      <c r="B2883" t="s">
        <v>1877</v>
      </c>
      <c r="C2883" t="s">
        <v>5433</v>
      </c>
      <c r="D2883" t="s">
        <v>2929</v>
      </c>
      <c r="E2883" t="s">
        <v>157</v>
      </c>
    </row>
    <row r="2884" spans="1:5">
      <c r="A2884">
        <v>2882</v>
      </c>
      <c r="B2884" t="s">
        <v>2985</v>
      </c>
      <c r="C2884" t="s">
        <v>6525</v>
      </c>
      <c r="D2884" t="s">
        <v>2929</v>
      </c>
      <c r="E2884" t="s">
        <v>157</v>
      </c>
    </row>
    <row r="2885" spans="1:5">
      <c r="A2885">
        <v>2883</v>
      </c>
      <c r="B2885" t="s">
        <v>2986</v>
      </c>
      <c r="C2885" t="s">
        <v>6526</v>
      </c>
      <c r="D2885" t="s">
        <v>2929</v>
      </c>
      <c r="E2885" t="s">
        <v>157</v>
      </c>
    </row>
    <row r="2886" spans="1:5">
      <c r="A2886">
        <v>2884</v>
      </c>
      <c r="B2886" t="s">
        <v>2987</v>
      </c>
      <c r="C2886" t="s">
        <v>6527</v>
      </c>
      <c r="D2886" t="s">
        <v>2929</v>
      </c>
      <c r="E2886" t="s">
        <v>157</v>
      </c>
    </row>
    <row r="2887" spans="1:5">
      <c r="A2887">
        <v>2885</v>
      </c>
      <c r="B2887" t="s">
        <v>2988</v>
      </c>
      <c r="C2887" t="s">
        <v>6528</v>
      </c>
      <c r="D2887" t="s">
        <v>2929</v>
      </c>
      <c r="E2887" t="s">
        <v>157</v>
      </c>
    </row>
    <row r="2888" spans="1:5">
      <c r="A2888">
        <v>2886</v>
      </c>
      <c r="B2888" t="s">
        <v>2989</v>
      </c>
      <c r="C2888" t="s">
        <v>6529</v>
      </c>
      <c r="D2888" t="s">
        <v>2929</v>
      </c>
      <c r="E2888" t="s">
        <v>157</v>
      </c>
    </row>
    <row r="2889" spans="1:5">
      <c r="A2889">
        <v>2887</v>
      </c>
      <c r="B2889" t="s">
        <v>2990</v>
      </c>
      <c r="C2889" t="s">
        <v>6530</v>
      </c>
      <c r="D2889" t="s">
        <v>2929</v>
      </c>
      <c r="E2889" t="s">
        <v>157</v>
      </c>
    </row>
    <row r="2890" spans="1:5">
      <c r="A2890">
        <v>2888</v>
      </c>
      <c r="B2890" t="s">
        <v>2991</v>
      </c>
      <c r="C2890" t="s">
        <v>6531</v>
      </c>
      <c r="D2890" t="s">
        <v>2929</v>
      </c>
      <c r="E2890" t="s">
        <v>157</v>
      </c>
    </row>
    <row r="2891" spans="1:5">
      <c r="A2891">
        <v>2889</v>
      </c>
      <c r="B2891" t="s">
        <v>2992</v>
      </c>
      <c r="C2891" t="s">
        <v>6532</v>
      </c>
      <c r="D2891" t="s">
        <v>2929</v>
      </c>
      <c r="E2891" t="s">
        <v>157</v>
      </c>
    </row>
    <row r="2892" spans="1:5">
      <c r="A2892">
        <v>2890</v>
      </c>
      <c r="B2892" t="s">
        <v>2993</v>
      </c>
      <c r="C2892" t="s">
        <v>6533</v>
      </c>
      <c r="D2892" t="s">
        <v>2929</v>
      </c>
      <c r="E2892" t="s">
        <v>157</v>
      </c>
    </row>
    <row r="2893" spans="1:5">
      <c r="A2893">
        <v>2891</v>
      </c>
      <c r="B2893" t="s">
        <v>2994</v>
      </c>
      <c r="C2893" t="s">
        <v>6534</v>
      </c>
      <c r="D2893" t="s">
        <v>2929</v>
      </c>
      <c r="E2893" t="s">
        <v>157</v>
      </c>
    </row>
    <row r="2894" spans="1:5">
      <c r="A2894">
        <v>2892</v>
      </c>
      <c r="B2894" t="s">
        <v>2995</v>
      </c>
      <c r="C2894" t="s">
        <v>6535</v>
      </c>
      <c r="D2894" t="s">
        <v>2929</v>
      </c>
      <c r="E2894" t="s">
        <v>157</v>
      </c>
    </row>
    <row r="2895" spans="1:5">
      <c r="A2895">
        <v>2893</v>
      </c>
      <c r="B2895" t="s">
        <v>2996</v>
      </c>
      <c r="C2895" t="s">
        <v>6536</v>
      </c>
      <c r="D2895" t="s">
        <v>2929</v>
      </c>
      <c r="E2895" t="s">
        <v>157</v>
      </c>
    </row>
    <row r="2896" spans="1:5">
      <c r="A2896">
        <v>2894</v>
      </c>
      <c r="B2896" t="s">
        <v>2997</v>
      </c>
      <c r="C2896" t="s">
        <v>6537</v>
      </c>
      <c r="D2896" t="s">
        <v>2929</v>
      </c>
      <c r="E2896" t="s">
        <v>157</v>
      </c>
    </row>
    <row r="2897" spans="1:5">
      <c r="A2897">
        <v>2895</v>
      </c>
      <c r="B2897" t="s">
        <v>2998</v>
      </c>
      <c r="C2897" t="s">
        <v>6538</v>
      </c>
      <c r="D2897" t="s">
        <v>2929</v>
      </c>
      <c r="E2897" t="s">
        <v>157</v>
      </c>
    </row>
    <row r="2898" spans="1:5">
      <c r="A2898">
        <v>2896</v>
      </c>
      <c r="B2898" t="s">
        <v>2999</v>
      </c>
      <c r="C2898" t="s">
        <v>6539</v>
      </c>
      <c r="D2898" t="s">
        <v>2929</v>
      </c>
      <c r="E2898" t="s">
        <v>157</v>
      </c>
    </row>
    <row r="2899" spans="1:5">
      <c r="A2899">
        <v>2897</v>
      </c>
      <c r="B2899" t="s">
        <v>3000</v>
      </c>
      <c r="C2899" t="s">
        <v>6540</v>
      </c>
      <c r="D2899" t="s">
        <v>2929</v>
      </c>
      <c r="E2899" t="s">
        <v>157</v>
      </c>
    </row>
    <row r="2900" spans="1:5">
      <c r="A2900">
        <v>2898</v>
      </c>
      <c r="B2900" t="s">
        <v>3001</v>
      </c>
      <c r="C2900" t="s">
        <v>6541</v>
      </c>
      <c r="D2900" t="s">
        <v>2929</v>
      </c>
      <c r="E2900" t="s">
        <v>157</v>
      </c>
    </row>
    <row r="2901" spans="1:5">
      <c r="A2901">
        <v>2899</v>
      </c>
      <c r="B2901" t="s">
        <v>3002</v>
      </c>
      <c r="C2901" t="s">
        <v>6542</v>
      </c>
      <c r="D2901" t="s">
        <v>2929</v>
      </c>
      <c r="E2901" t="s">
        <v>157</v>
      </c>
    </row>
    <row r="2902" spans="1:5">
      <c r="A2902">
        <v>2900</v>
      </c>
      <c r="B2902" t="s">
        <v>3003</v>
      </c>
      <c r="C2902" t="s">
        <v>6543</v>
      </c>
      <c r="D2902" t="s">
        <v>2929</v>
      </c>
      <c r="E2902" t="s">
        <v>157</v>
      </c>
    </row>
    <row r="2903" spans="1:5">
      <c r="A2903">
        <v>2901</v>
      </c>
      <c r="B2903" t="s">
        <v>3004</v>
      </c>
      <c r="C2903" t="s">
        <v>6544</v>
      </c>
      <c r="D2903" t="s">
        <v>2929</v>
      </c>
      <c r="E2903" t="s">
        <v>157</v>
      </c>
    </row>
    <row r="2904" spans="1:5">
      <c r="A2904">
        <v>2902</v>
      </c>
      <c r="B2904" t="s">
        <v>3005</v>
      </c>
      <c r="C2904" t="s">
        <v>6545</v>
      </c>
      <c r="D2904" t="s">
        <v>2929</v>
      </c>
      <c r="E2904" t="s">
        <v>157</v>
      </c>
    </row>
    <row r="2905" spans="1:5">
      <c r="A2905">
        <v>2903</v>
      </c>
      <c r="B2905" t="s">
        <v>3006</v>
      </c>
      <c r="C2905" t="s">
        <v>6546</v>
      </c>
      <c r="D2905" t="s">
        <v>2929</v>
      </c>
      <c r="E2905" t="s">
        <v>157</v>
      </c>
    </row>
    <row r="2906" spans="1:5">
      <c r="A2906">
        <v>2904</v>
      </c>
      <c r="B2906" t="s">
        <v>3007</v>
      </c>
      <c r="C2906" t="s">
        <v>6547</v>
      </c>
      <c r="D2906" t="s">
        <v>2929</v>
      </c>
      <c r="E2906" t="s">
        <v>157</v>
      </c>
    </row>
    <row r="2907" spans="1:5">
      <c r="A2907">
        <v>2905</v>
      </c>
      <c r="B2907" t="s">
        <v>3008</v>
      </c>
      <c r="C2907" t="s">
        <v>6548</v>
      </c>
      <c r="D2907" t="s">
        <v>2929</v>
      </c>
      <c r="E2907" t="s">
        <v>157</v>
      </c>
    </row>
    <row r="2908" spans="1:5">
      <c r="A2908">
        <v>2906</v>
      </c>
      <c r="B2908" t="s">
        <v>3009</v>
      </c>
      <c r="C2908" t="s">
        <v>6549</v>
      </c>
      <c r="D2908" t="s">
        <v>2929</v>
      </c>
      <c r="E2908" t="s">
        <v>157</v>
      </c>
    </row>
    <row r="2909" spans="1:5">
      <c r="A2909">
        <v>2907</v>
      </c>
      <c r="B2909" t="s">
        <v>3010</v>
      </c>
      <c r="C2909" t="s">
        <v>6550</v>
      </c>
      <c r="D2909" t="s">
        <v>2929</v>
      </c>
      <c r="E2909" t="s">
        <v>157</v>
      </c>
    </row>
    <row r="2910" spans="1:5">
      <c r="A2910">
        <v>2908</v>
      </c>
      <c r="B2910" t="s">
        <v>3011</v>
      </c>
      <c r="C2910" t="s">
        <v>6551</v>
      </c>
      <c r="D2910" t="s">
        <v>2929</v>
      </c>
      <c r="E2910" t="s">
        <v>157</v>
      </c>
    </row>
    <row r="2911" spans="1:5">
      <c r="A2911">
        <v>2909</v>
      </c>
      <c r="B2911" t="s">
        <v>3012</v>
      </c>
      <c r="C2911" t="s">
        <v>6552</v>
      </c>
      <c r="D2911" t="s">
        <v>2929</v>
      </c>
      <c r="E2911" t="s">
        <v>157</v>
      </c>
    </row>
    <row r="2912" spans="1:5">
      <c r="A2912">
        <v>2910</v>
      </c>
      <c r="B2912" t="s">
        <v>3013</v>
      </c>
      <c r="C2912" t="s">
        <v>7394</v>
      </c>
      <c r="D2912" t="s">
        <v>2929</v>
      </c>
      <c r="E2912" t="s">
        <v>157</v>
      </c>
    </row>
    <row r="2913" spans="1:5">
      <c r="A2913">
        <v>2911</v>
      </c>
      <c r="B2913" t="s">
        <v>3014</v>
      </c>
      <c r="C2913" t="s">
        <v>6553</v>
      </c>
      <c r="D2913" t="s">
        <v>2929</v>
      </c>
      <c r="E2913" t="s">
        <v>157</v>
      </c>
    </row>
    <row r="2914" spans="1:5">
      <c r="A2914">
        <v>2912</v>
      </c>
      <c r="B2914" t="s">
        <v>3015</v>
      </c>
      <c r="C2914" t="s">
        <v>6554</v>
      </c>
      <c r="D2914" t="s">
        <v>2929</v>
      </c>
      <c r="E2914" t="s">
        <v>157</v>
      </c>
    </row>
    <row r="2915" spans="1:5">
      <c r="A2915">
        <v>2913</v>
      </c>
      <c r="B2915" t="s">
        <v>3016</v>
      </c>
      <c r="C2915" t="s">
        <v>6555</v>
      </c>
      <c r="D2915" t="s">
        <v>2929</v>
      </c>
      <c r="E2915" t="s">
        <v>157</v>
      </c>
    </row>
    <row r="2916" spans="1:5">
      <c r="A2916">
        <v>2914</v>
      </c>
      <c r="B2916" t="s">
        <v>3017</v>
      </c>
      <c r="C2916" t="s">
        <v>6556</v>
      </c>
      <c r="D2916" t="s">
        <v>2929</v>
      </c>
      <c r="E2916" t="s">
        <v>157</v>
      </c>
    </row>
    <row r="2917" spans="1:5">
      <c r="A2917">
        <v>2915</v>
      </c>
      <c r="B2917" t="s">
        <v>3018</v>
      </c>
      <c r="C2917" t="s">
        <v>6557</v>
      </c>
      <c r="D2917" t="s">
        <v>2929</v>
      </c>
      <c r="E2917" t="s">
        <v>157</v>
      </c>
    </row>
    <row r="2918" spans="1:5">
      <c r="A2918">
        <v>2916</v>
      </c>
      <c r="B2918" t="s">
        <v>3019</v>
      </c>
      <c r="C2918" t="s">
        <v>6558</v>
      </c>
      <c r="D2918" t="s">
        <v>2929</v>
      </c>
      <c r="E2918" t="s">
        <v>157</v>
      </c>
    </row>
    <row r="2919" spans="1:5">
      <c r="A2919">
        <v>2917</v>
      </c>
      <c r="B2919" t="s">
        <v>3020</v>
      </c>
      <c r="C2919" t="s">
        <v>6559</v>
      </c>
      <c r="D2919" t="s">
        <v>2929</v>
      </c>
      <c r="E2919" t="s">
        <v>157</v>
      </c>
    </row>
    <row r="2920" spans="1:5">
      <c r="A2920">
        <v>2918</v>
      </c>
      <c r="B2920" t="s">
        <v>3021</v>
      </c>
      <c r="C2920" t="s">
        <v>6560</v>
      </c>
      <c r="D2920" t="s">
        <v>2929</v>
      </c>
      <c r="E2920" t="s">
        <v>157</v>
      </c>
    </row>
    <row r="2921" spans="1:5">
      <c r="A2921">
        <v>2919</v>
      </c>
      <c r="B2921" t="s">
        <v>3022</v>
      </c>
      <c r="C2921" t="s">
        <v>6561</v>
      </c>
      <c r="D2921" t="s">
        <v>2929</v>
      </c>
      <c r="E2921" t="s">
        <v>157</v>
      </c>
    </row>
    <row r="2922" spans="1:5">
      <c r="A2922">
        <v>2920</v>
      </c>
      <c r="B2922" t="s">
        <v>3023</v>
      </c>
      <c r="C2922" t="s">
        <v>6562</v>
      </c>
      <c r="D2922" t="s">
        <v>2929</v>
      </c>
      <c r="E2922" t="s">
        <v>157</v>
      </c>
    </row>
    <row r="2923" spans="1:5">
      <c r="A2923">
        <v>2921</v>
      </c>
      <c r="B2923" t="s">
        <v>3024</v>
      </c>
      <c r="C2923" t="s">
        <v>6563</v>
      </c>
      <c r="D2923" t="s">
        <v>2929</v>
      </c>
      <c r="E2923" t="s">
        <v>157</v>
      </c>
    </row>
    <row r="2924" spans="1:5">
      <c r="A2924">
        <v>2922</v>
      </c>
      <c r="B2924" t="s">
        <v>3025</v>
      </c>
      <c r="C2924" t="s">
        <v>6564</v>
      </c>
      <c r="D2924" t="s">
        <v>2929</v>
      </c>
      <c r="E2924" t="s">
        <v>157</v>
      </c>
    </row>
    <row r="2925" spans="1:5">
      <c r="A2925">
        <v>2923</v>
      </c>
      <c r="B2925" t="s">
        <v>3026</v>
      </c>
      <c r="C2925" t="s">
        <v>6565</v>
      </c>
      <c r="D2925" t="s">
        <v>2929</v>
      </c>
      <c r="E2925" t="s">
        <v>157</v>
      </c>
    </row>
    <row r="2926" spans="1:5">
      <c r="A2926">
        <v>2924</v>
      </c>
      <c r="B2926" t="s">
        <v>3027</v>
      </c>
      <c r="C2926" t="s">
        <v>6566</v>
      </c>
      <c r="D2926" t="s">
        <v>2929</v>
      </c>
      <c r="E2926" t="s">
        <v>157</v>
      </c>
    </row>
    <row r="2927" spans="1:5">
      <c r="A2927">
        <v>2925</v>
      </c>
      <c r="B2927" t="s">
        <v>3028</v>
      </c>
      <c r="C2927" t="s">
        <v>6567</v>
      </c>
      <c r="D2927" t="s">
        <v>2929</v>
      </c>
      <c r="E2927" t="s">
        <v>157</v>
      </c>
    </row>
    <row r="2928" spans="1:5">
      <c r="A2928">
        <v>2926</v>
      </c>
      <c r="B2928" t="s">
        <v>3029</v>
      </c>
      <c r="C2928" t="s">
        <v>6568</v>
      </c>
      <c r="D2928" t="s">
        <v>2929</v>
      </c>
      <c r="E2928" t="s">
        <v>157</v>
      </c>
    </row>
    <row r="2929" spans="1:5">
      <c r="A2929">
        <v>2927</v>
      </c>
      <c r="B2929" t="s">
        <v>3030</v>
      </c>
      <c r="C2929" t="s">
        <v>6569</v>
      </c>
      <c r="D2929" t="s">
        <v>2929</v>
      </c>
      <c r="E2929" t="s">
        <v>157</v>
      </c>
    </row>
    <row r="2930" spans="1:5">
      <c r="A2930">
        <v>2928</v>
      </c>
      <c r="B2930" t="s">
        <v>3031</v>
      </c>
      <c r="C2930" t="s">
        <v>6570</v>
      </c>
      <c r="D2930" t="s">
        <v>2929</v>
      </c>
      <c r="E2930" t="s">
        <v>157</v>
      </c>
    </row>
    <row r="2931" spans="1:5">
      <c r="A2931">
        <v>2929</v>
      </c>
      <c r="B2931" t="s">
        <v>3032</v>
      </c>
      <c r="C2931" t="s">
        <v>6571</v>
      </c>
      <c r="D2931" t="s">
        <v>2929</v>
      </c>
      <c r="E2931" t="s">
        <v>157</v>
      </c>
    </row>
    <row r="2932" spans="1:5">
      <c r="A2932">
        <v>2930</v>
      </c>
      <c r="B2932" t="s">
        <v>3033</v>
      </c>
      <c r="C2932" t="s">
        <v>6572</v>
      </c>
      <c r="D2932" t="s">
        <v>2929</v>
      </c>
      <c r="E2932" t="s">
        <v>157</v>
      </c>
    </row>
    <row r="2933" spans="1:5">
      <c r="A2933">
        <v>2931</v>
      </c>
      <c r="B2933" t="s">
        <v>3034</v>
      </c>
      <c r="C2933" t="s">
        <v>6573</v>
      </c>
      <c r="D2933" t="s">
        <v>2929</v>
      </c>
      <c r="E2933" t="s">
        <v>157</v>
      </c>
    </row>
    <row r="2934" spans="1:5">
      <c r="A2934">
        <v>2932</v>
      </c>
      <c r="B2934" t="s">
        <v>3035</v>
      </c>
      <c r="C2934" t="s">
        <v>6574</v>
      </c>
      <c r="D2934" t="s">
        <v>2929</v>
      </c>
      <c r="E2934" t="s">
        <v>157</v>
      </c>
    </row>
    <row r="2935" spans="1:5">
      <c r="A2935">
        <v>2933</v>
      </c>
      <c r="B2935" t="s">
        <v>3036</v>
      </c>
      <c r="C2935" t="s">
        <v>6575</v>
      </c>
      <c r="D2935" t="s">
        <v>2929</v>
      </c>
      <c r="E2935" t="s">
        <v>157</v>
      </c>
    </row>
    <row r="2936" spans="1:5">
      <c r="A2936">
        <v>2934</v>
      </c>
      <c r="B2936" t="s">
        <v>3037</v>
      </c>
      <c r="C2936" t="s">
        <v>6576</v>
      </c>
      <c r="D2936" t="s">
        <v>2929</v>
      </c>
      <c r="E2936" t="s">
        <v>157</v>
      </c>
    </row>
    <row r="2937" spans="1:5">
      <c r="A2937">
        <v>2935</v>
      </c>
      <c r="B2937" t="s">
        <v>3038</v>
      </c>
      <c r="C2937" t="s">
        <v>6577</v>
      </c>
      <c r="D2937" t="s">
        <v>2929</v>
      </c>
      <c r="E2937" t="s">
        <v>157</v>
      </c>
    </row>
    <row r="2938" spans="1:5">
      <c r="A2938">
        <v>2936</v>
      </c>
      <c r="B2938" t="s">
        <v>3039</v>
      </c>
      <c r="C2938" t="s">
        <v>6578</v>
      </c>
      <c r="D2938" t="s">
        <v>2929</v>
      </c>
      <c r="E2938" t="s">
        <v>157</v>
      </c>
    </row>
    <row r="2939" spans="1:5">
      <c r="A2939">
        <v>2937</v>
      </c>
      <c r="B2939" t="s">
        <v>3040</v>
      </c>
      <c r="C2939" t="s">
        <v>6579</v>
      </c>
      <c r="D2939" t="s">
        <v>2929</v>
      </c>
      <c r="E2939" t="s">
        <v>157</v>
      </c>
    </row>
    <row r="2940" spans="1:5">
      <c r="A2940">
        <v>2938</v>
      </c>
      <c r="B2940" t="s">
        <v>3041</v>
      </c>
      <c r="C2940" t="s">
        <v>6580</v>
      </c>
      <c r="D2940" t="s">
        <v>2929</v>
      </c>
      <c r="E2940" t="s">
        <v>157</v>
      </c>
    </row>
    <row r="2941" spans="1:5">
      <c r="A2941">
        <v>2939</v>
      </c>
      <c r="B2941" t="s">
        <v>3042</v>
      </c>
      <c r="C2941" t="s">
        <v>6581</v>
      </c>
      <c r="D2941" t="s">
        <v>2929</v>
      </c>
      <c r="E2941" t="s">
        <v>157</v>
      </c>
    </row>
    <row r="2942" spans="1:5">
      <c r="A2942">
        <v>2940</v>
      </c>
      <c r="B2942" t="s">
        <v>3043</v>
      </c>
      <c r="C2942" t="s">
        <v>6582</v>
      </c>
      <c r="D2942" t="s">
        <v>2929</v>
      </c>
      <c r="E2942" t="s">
        <v>157</v>
      </c>
    </row>
    <row r="2943" spans="1:5">
      <c r="A2943">
        <v>2941</v>
      </c>
      <c r="B2943" t="s">
        <v>3044</v>
      </c>
      <c r="C2943" t="s">
        <v>6583</v>
      </c>
      <c r="D2943" t="s">
        <v>2929</v>
      </c>
      <c r="E2943" t="s">
        <v>157</v>
      </c>
    </row>
    <row r="2944" spans="1:5">
      <c r="A2944">
        <v>2942</v>
      </c>
      <c r="B2944" t="s">
        <v>3045</v>
      </c>
      <c r="C2944" t="s">
        <v>6584</v>
      </c>
      <c r="D2944" t="s">
        <v>2929</v>
      </c>
      <c r="E2944" t="s">
        <v>157</v>
      </c>
    </row>
    <row r="2945" spans="1:5">
      <c r="A2945">
        <v>2943</v>
      </c>
      <c r="B2945" t="s">
        <v>3046</v>
      </c>
      <c r="C2945" t="s">
        <v>6585</v>
      </c>
      <c r="D2945" t="s">
        <v>2929</v>
      </c>
      <c r="E2945" t="s">
        <v>157</v>
      </c>
    </row>
    <row r="2946" spans="1:5">
      <c r="A2946">
        <v>2944</v>
      </c>
      <c r="B2946" t="s">
        <v>3047</v>
      </c>
      <c r="C2946" t="s">
        <v>6586</v>
      </c>
      <c r="D2946" t="s">
        <v>2929</v>
      </c>
      <c r="E2946" t="s">
        <v>157</v>
      </c>
    </row>
    <row r="2947" spans="1:5">
      <c r="A2947">
        <v>2945</v>
      </c>
      <c r="B2947" t="s">
        <v>3048</v>
      </c>
      <c r="C2947" t="s">
        <v>6587</v>
      </c>
      <c r="D2947" t="s">
        <v>2929</v>
      </c>
      <c r="E2947" t="s">
        <v>157</v>
      </c>
    </row>
    <row r="2948" spans="1:5">
      <c r="A2948">
        <v>2946</v>
      </c>
      <c r="B2948" t="s">
        <v>3049</v>
      </c>
      <c r="C2948" t="s">
        <v>6588</v>
      </c>
      <c r="D2948" t="s">
        <v>2929</v>
      </c>
      <c r="E2948" t="s">
        <v>157</v>
      </c>
    </row>
    <row r="2949" spans="1:5">
      <c r="A2949">
        <v>2947</v>
      </c>
      <c r="B2949" t="s">
        <v>3050</v>
      </c>
      <c r="C2949" t="s">
        <v>6589</v>
      </c>
      <c r="D2949" t="s">
        <v>2929</v>
      </c>
      <c r="E2949" t="s">
        <v>157</v>
      </c>
    </row>
    <row r="2950" spans="1:5">
      <c r="A2950">
        <v>2948</v>
      </c>
      <c r="B2950" t="s">
        <v>3051</v>
      </c>
      <c r="C2950" t="s">
        <v>6590</v>
      </c>
      <c r="D2950" t="s">
        <v>2929</v>
      </c>
      <c r="E2950" t="s">
        <v>157</v>
      </c>
    </row>
    <row r="2951" spans="1:5">
      <c r="A2951">
        <v>2949</v>
      </c>
      <c r="B2951" t="s">
        <v>3052</v>
      </c>
      <c r="C2951" t="s">
        <v>6591</v>
      </c>
      <c r="D2951" t="s">
        <v>2929</v>
      </c>
      <c r="E2951" t="s">
        <v>157</v>
      </c>
    </row>
    <row r="2952" spans="1:5">
      <c r="A2952">
        <v>2950</v>
      </c>
      <c r="B2952" t="s">
        <v>3053</v>
      </c>
      <c r="C2952" t="s">
        <v>6592</v>
      </c>
      <c r="D2952" t="s">
        <v>2929</v>
      </c>
      <c r="E2952" t="s">
        <v>157</v>
      </c>
    </row>
    <row r="2953" spans="1:5">
      <c r="A2953">
        <v>2951</v>
      </c>
      <c r="B2953" t="s">
        <v>3054</v>
      </c>
      <c r="C2953" t="s">
        <v>6593</v>
      </c>
      <c r="D2953" t="s">
        <v>2929</v>
      </c>
      <c r="E2953" t="s">
        <v>157</v>
      </c>
    </row>
    <row r="2954" spans="1:5">
      <c r="A2954">
        <v>2952</v>
      </c>
      <c r="B2954" t="s">
        <v>3055</v>
      </c>
      <c r="C2954" t="s">
        <v>6594</v>
      </c>
      <c r="D2954" t="s">
        <v>2929</v>
      </c>
      <c r="E2954" t="s">
        <v>157</v>
      </c>
    </row>
    <row r="2955" spans="1:5">
      <c r="A2955">
        <v>2953</v>
      </c>
      <c r="B2955" t="s">
        <v>3056</v>
      </c>
      <c r="C2955" t="s">
        <v>6595</v>
      </c>
      <c r="D2955" t="s">
        <v>2929</v>
      </c>
      <c r="E2955" t="s">
        <v>157</v>
      </c>
    </row>
    <row r="2956" spans="1:5">
      <c r="A2956">
        <v>2954</v>
      </c>
      <c r="B2956" t="s">
        <v>3057</v>
      </c>
      <c r="C2956" t="s">
        <v>6596</v>
      </c>
      <c r="D2956" t="s">
        <v>2929</v>
      </c>
      <c r="E2956" t="s">
        <v>157</v>
      </c>
    </row>
    <row r="2957" spans="1:5">
      <c r="A2957">
        <v>2955</v>
      </c>
      <c r="B2957" t="s">
        <v>3058</v>
      </c>
      <c r="C2957" t="s">
        <v>6597</v>
      </c>
      <c r="D2957" t="s">
        <v>2929</v>
      </c>
      <c r="E2957" t="s">
        <v>157</v>
      </c>
    </row>
    <row r="2958" spans="1:5">
      <c r="A2958">
        <v>2956</v>
      </c>
      <c r="B2958" t="s">
        <v>3059</v>
      </c>
      <c r="C2958" t="s">
        <v>6598</v>
      </c>
      <c r="D2958" t="s">
        <v>2929</v>
      </c>
      <c r="E2958" t="s">
        <v>157</v>
      </c>
    </row>
    <row r="2959" spans="1:5">
      <c r="A2959">
        <v>2957</v>
      </c>
      <c r="B2959" t="s">
        <v>3060</v>
      </c>
      <c r="C2959" t="s">
        <v>6599</v>
      </c>
      <c r="D2959" t="s">
        <v>2929</v>
      </c>
      <c r="E2959" t="s">
        <v>157</v>
      </c>
    </row>
    <row r="2960" spans="1:5">
      <c r="A2960">
        <v>2958</v>
      </c>
      <c r="B2960" t="s">
        <v>3061</v>
      </c>
      <c r="C2960" t="s">
        <v>6600</v>
      </c>
      <c r="D2960" t="s">
        <v>2929</v>
      </c>
      <c r="E2960" t="s">
        <v>157</v>
      </c>
    </row>
    <row r="2961" spans="1:5">
      <c r="A2961">
        <v>2959</v>
      </c>
      <c r="B2961" t="s">
        <v>3062</v>
      </c>
      <c r="C2961" t="s">
        <v>6601</v>
      </c>
      <c r="D2961" t="s">
        <v>2929</v>
      </c>
      <c r="E2961" t="s">
        <v>157</v>
      </c>
    </row>
    <row r="2962" spans="1:5">
      <c r="A2962">
        <v>2960</v>
      </c>
      <c r="B2962" t="s">
        <v>3063</v>
      </c>
      <c r="C2962" t="s">
        <v>6602</v>
      </c>
      <c r="D2962" t="s">
        <v>2929</v>
      </c>
      <c r="E2962" t="s">
        <v>157</v>
      </c>
    </row>
    <row r="2963" spans="1:5">
      <c r="A2963">
        <v>2961</v>
      </c>
      <c r="B2963" t="s">
        <v>3064</v>
      </c>
      <c r="C2963" t="s">
        <v>6603</v>
      </c>
      <c r="D2963" t="s">
        <v>2929</v>
      </c>
      <c r="E2963" t="s">
        <v>157</v>
      </c>
    </row>
    <row r="2964" spans="1:5">
      <c r="A2964">
        <v>2962</v>
      </c>
      <c r="B2964" t="s">
        <v>1936</v>
      </c>
      <c r="C2964" t="s">
        <v>5491</v>
      </c>
      <c r="D2964" t="s">
        <v>2929</v>
      </c>
      <c r="E2964" t="s">
        <v>157</v>
      </c>
    </row>
    <row r="2965" spans="1:5">
      <c r="A2965">
        <v>2963</v>
      </c>
      <c r="B2965" t="s">
        <v>3065</v>
      </c>
      <c r="C2965" t="s">
        <v>6604</v>
      </c>
      <c r="D2965" t="s">
        <v>2929</v>
      </c>
      <c r="E2965" t="s">
        <v>157</v>
      </c>
    </row>
    <row r="2966" spans="1:5">
      <c r="A2966">
        <v>2964</v>
      </c>
      <c r="B2966" t="s">
        <v>3066</v>
      </c>
      <c r="C2966" t="s">
        <v>6605</v>
      </c>
      <c r="D2966" t="s">
        <v>2929</v>
      </c>
      <c r="E2966" t="s">
        <v>157</v>
      </c>
    </row>
    <row r="2967" spans="1:5">
      <c r="A2967">
        <v>2965</v>
      </c>
      <c r="B2967" t="s">
        <v>3067</v>
      </c>
      <c r="C2967" t="s">
        <v>6606</v>
      </c>
      <c r="D2967" t="s">
        <v>2929</v>
      </c>
      <c r="E2967" t="s">
        <v>157</v>
      </c>
    </row>
    <row r="2968" spans="1:5">
      <c r="A2968">
        <v>2966</v>
      </c>
      <c r="B2968" t="s">
        <v>3068</v>
      </c>
      <c r="C2968" t="s">
        <v>6607</v>
      </c>
      <c r="D2968" t="s">
        <v>2929</v>
      </c>
      <c r="E2968" t="s">
        <v>157</v>
      </c>
    </row>
    <row r="2969" spans="1:5">
      <c r="A2969">
        <v>2967</v>
      </c>
      <c r="B2969" t="s">
        <v>3069</v>
      </c>
      <c r="C2969" t="s">
        <v>6608</v>
      </c>
      <c r="D2969" t="s">
        <v>2929</v>
      </c>
      <c r="E2969" t="s">
        <v>157</v>
      </c>
    </row>
    <row r="2970" spans="1:5">
      <c r="A2970">
        <v>2968</v>
      </c>
      <c r="B2970" t="s">
        <v>3070</v>
      </c>
      <c r="C2970" t="s">
        <v>6609</v>
      </c>
      <c r="D2970" t="s">
        <v>2929</v>
      </c>
      <c r="E2970" t="s">
        <v>157</v>
      </c>
    </row>
    <row r="2971" spans="1:5">
      <c r="A2971">
        <v>2969</v>
      </c>
      <c r="B2971" t="s">
        <v>3071</v>
      </c>
      <c r="C2971" t="s">
        <v>6610</v>
      </c>
      <c r="D2971" t="s">
        <v>2929</v>
      </c>
      <c r="E2971" t="s">
        <v>157</v>
      </c>
    </row>
    <row r="2972" spans="1:5">
      <c r="A2972">
        <v>2970</v>
      </c>
      <c r="B2972" t="s">
        <v>3072</v>
      </c>
      <c r="C2972" t="s">
        <v>6611</v>
      </c>
      <c r="D2972" t="s">
        <v>2929</v>
      </c>
      <c r="E2972" t="s">
        <v>157</v>
      </c>
    </row>
    <row r="2973" spans="1:5">
      <c r="A2973">
        <v>2971</v>
      </c>
      <c r="B2973" t="s">
        <v>3073</v>
      </c>
      <c r="C2973" t="s">
        <v>6612</v>
      </c>
      <c r="D2973" t="s">
        <v>2929</v>
      </c>
      <c r="E2973" t="s">
        <v>157</v>
      </c>
    </row>
    <row r="2974" spans="1:5">
      <c r="A2974">
        <v>2972</v>
      </c>
      <c r="B2974" t="s">
        <v>3074</v>
      </c>
      <c r="C2974" t="s">
        <v>6613</v>
      </c>
      <c r="D2974" t="s">
        <v>2929</v>
      </c>
      <c r="E2974" t="s">
        <v>157</v>
      </c>
    </row>
    <row r="2975" spans="1:5">
      <c r="A2975">
        <v>2973</v>
      </c>
      <c r="B2975" t="s">
        <v>3075</v>
      </c>
      <c r="C2975" t="s">
        <v>6614</v>
      </c>
      <c r="D2975" t="s">
        <v>2929</v>
      </c>
      <c r="E2975" t="s">
        <v>157</v>
      </c>
    </row>
    <row r="2976" spans="1:5">
      <c r="A2976">
        <v>2974</v>
      </c>
      <c r="B2976" t="s">
        <v>3076</v>
      </c>
      <c r="C2976" t="s">
        <v>6615</v>
      </c>
      <c r="D2976" t="s">
        <v>2929</v>
      </c>
      <c r="E2976" t="s">
        <v>157</v>
      </c>
    </row>
    <row r="2977" spans="1:5">
      <c r="A2977">
        <v>2975</v>
      </c>
      <c r="B2977" t="s">
        <v>3077</v>
      </c>
      <c r="C2977" t="s">
        <v>6616</v>
      </c>
      <c r="D2977" t="s">
        <v>2929</v>
      </c>
      <c r="E2977" t="s">
        <v>157</v>
      </c>
    </row>
    <row r="2978" spans="1:5">
      <c r="A2978">
        <v>2976</v>
      </c>
      <c r="B2978" t="s">
        <v>3078</v>
      </c>
      <c r="C2978" t="s">
        <v>6617</v>
      </c>
      <c r="D2978" t="s">
        <v>2929</v>
      </c>
      <c r="E2978" t="s">
        <v>157</v>
      </c>
    </row>
    <row r="2979" spans="1:5">
      <c r="A2979">
        <v>2977</v>
      </c>
      <c r="B2979" t="s">
        <v>3079</v>
      </c>
      <c r="C2979" t="s">
        <v>6618</v>
      </c>
      <c r="D2979" t="s">
        <v>2929</v>
      </c>
      <c r="E2979" t="s">
        <v>157</v>
      </c>
    </row>
    <row r="2980" spans="1:5">
      <c r="A2980">
        <v>2978</v>
      </c>
      <c r="B2980" t="s">
        <v>3080</v>
      </c>
      <c r="C2980" t="s">
        <v>6619</v>
      </c>
      <c r="D2980" t="s">
        <v>2929</v>
      </c>
      <c r="E2980" t="s">
        <v>157</v>
      </c>
    </row>
    <row r="2981" spans="1:5">
      <c r="A2981">
        <v>2979</v>
      </c>
      <c r="B2981" t="s">
        <v>3081</v>
      </c>
      <c r="C2981" t="s">
        <v>6620</v>
      </c>
      <c r="D2981" t="s">
        <v>2929</v>
      </c>
      <c r="E2981" t="s">
        <v>157</v>
      </c>
    </row>
    <row r="2982" spans="1:5">
      <c r="A2982">
        <v>2980</v>
      </c>
      <c r="B2982" t="s">
        <v>3082</v>
      </c>
      <c r="C2982" t="s">
        <v>6621</v>
      </c>
      <c r="D2982" t="s">
        <v>2929</v>
      </c>
      <c r="E2982" t="s">
        <v>157</v>
      </c>
    </row>
    <row r="2983" spans="1:5">
      <c r="A2983">
        <v>2981</v>
      </c>
      <c r="B2983" t="s">
        <v>3083</v>
      </c>
      <c r="C2983" t="s">
        <v>6622</v>
      </c>
      <c r="D2983" t="s">
        <v>2929</v>
      </c>
      <c r="E2983" t="s">
        <v>157</v>
      </c>
    </row>
    <row r="2984" spans="1:5">
      <c r="A2984">
        <v>2982</v>
      </c>
      <c r="B2984" t="s">
        <v>1076</v>
      </c>
      <c r="C2984" t="s">
        <v>4641</v>
      </c>
      <c r="D2984" t="s">
        <v>2929</v>
      </c>
      <c r="E2984" t="s">
        <v>157</v>
      </c>
    </row>
    <row r="2985" spans="1:5">
      <c r="A2985">
        <v>2983</v>
      </c>
      <c r="B2985" t="s">
        <v>3084</v>
      </c>
      <c r="C2985" t="s">
        <v>6623</v>
      </c>
      <c r="D2985" t="s">
        <v>2929</v>
      </c>
      <c r="E2985" t="s">
        <v>157</v>
      </c>
    </row>
    <row r="2986" spans="1:5">
      <c r="A2986">
        <v>2984</v>
      </c>
      <c r="B2986" t="s">
        <v>3085</v>
      </c>
      <c r="C2986" t="s">
        <v>6624</v>
      </c>
      <c r="D2986" t="s">
        <v>2929</v>
      </c>
      <c r="E2986" t="s">
        <v>157</v>
      </c>
    </row>
    <row r="2987" spans="1:5">
      <c r="A2987">
        <v>2985</v>
      </c>
      <c r="B2987" t="s">
        <v>3086</v>
      </c>
      <c r="C2987" t="s">
        <v>6625</v>
      </c>
      <c r="D2987" t="s">
        <v>2929</v>
      </c>
      <c r="E2987" t="s">
        <v>157</v>
      </c>
    </row>
    <row r="2988" spans="1:5">
      <c r="A2988">
        <v>2986</v>
      </c>
      <c r="B2988" t="s">
        <v>3087</v>
      </c>
      <c r="C2988" t="s">
        <v>6626</v>
      </c>
      <c r="D2988" t="s">
        <v>2929</v>
      </c>
      <c r="E2988" t="s">
        <v>157</v>
      </c>
    </row>
    <row r="2989" spans="1:5">
      <c r="A2989">
        <v>2987</v>
      </c>
      <c r="B2989" t="s">
        <v>3088</v>
      </c>
      <c r="C2989" t="s">
        <v>6627</v>
      </c>
      <c r="D2989" t="s">
        <v>2929</v>
      </c>
      <c r="E2989" t="s">
        <v>157</v>
      </c>
    </row>
    <row r="2990" spans="1:5">
      <c r="A2990">
        <v>2988</v>
      </c>
      <c r="B2990" t="s">
        <v>3089</v>
      </c>
      <c r="C2990" t="s">
        <v>6628</v>
      </c>
      <c r="D2990" t="s">
        <v>2929</v>
      </c>
      <c r="E2990" t="s">
        <v>157</v>
      </c>
    </row>
    <row r="2991" spans="1:5">
      <c r="A2991">
        <v>2989</v>
      </c>
      <c r="B2991" t="s">
        <v>3090</v>
      </c>
      <c r="C2991" t="s">
        <v>6629</v>
      </c>
      <c r="D2991" t="s">
        <v>2929</v>
      </c>
      <c r="E2991" t="s">
        <v>157</v>
      </c>
    </row>
    <row r="2992" spans="1:5">
      <c r="A2992">
        <v>2990</v>
      </c>
      <c r="B2992" t="s">
        <v>1092</v>
      </c>
      <c r="C2992" t="s">
        <v>4657</v>
      </c>
      <c r="D2992" t="s">
        <v>2929</v>
      </c>
      <c r="E2992" t="s">
        <v>157</v>
      </c>
    </row>
    <row r="2993" spans="1:5">
      <c r="A2993">
        <v>2991</v>
      </c>
      <c r="B2993" t="s">
        <v>3091</v>
      </c>
      <c r="C2993" t="s">
        <v>6630</v>
      </c>
      <c r="D2993" t="s">
        <v>2929</v>
      </c>
      <c r="E2993" t="s">
        <v>157</v>
      </c>
    </row>
    <row r="2994" spans="1:5">
      <c r="A2994">
        <v>2992</v>
      </c>
      <c r="B2994" t="s">
        <v>3092</v>
      </c>
      <c r="C2994" t="s">
        <v>6631</v>
      </c>
      <c r="D2994" t="s">
        <v>2929</v>
      </c>
      <c r="E2994" t="s">
        <v>157</v>
      </c>
    </row>
    <row r="2995" spans="1:5">
      <c r="A2995">
        <v>2993</v>
      </c>
      <c r="B2995" t="s">
        <v>3093</v>
      </c>
      <c r="C2995" t="s">
        <v>6632</v>
      </c>
      <c r="D2995" t="s">
        <v>2929</v>
      </c>
      <c r="E2995" t="s">
        <v>157</v>
      </c>
    </row>
    <row r="2996" spans="1:5">
      <c r="A2996">
        <v>2994</v>
      </c>
      <c r="B2996" t="s">
        <v>3094</v>
      </c>
      <c r="C2996" t="s">
        <v>6633</v>
      </c>
      <c r="D2996" t="s">
        <v>2929</v>
      </c>
      <c r="E2996" t="s">
        <v>157</v>
      </c>
    </row>
    <row r="2997" spans="1:5">
      <c r="A2997">
        <v>2995</v>
      </c>
      <c r="B2997" t="s">
        <v>3095</v>
      </c>
      <c r="C2997" t="s">
        <v>6634</v>
      </c>
      <c r="D2997" t="s">
        <v>2929</v>
      </c>
      <c r="E2997" t="s">
        <v>157</v>
      </c>
    </row>
    <row r="2998" spans="1:5">
      <c r="A2998">
        <v>2996</v>
      </c>
      <c r="B2998" t="s">
        <v>3096</v>
      </c>
      <c r="C2998" t="s">
        <v>7395</v>
      </c>
      <c r="D2998" t="s">
        <v>2929</v>
      </c>
      <c r="E2998" t="s">
        <v>157</v>
      </c>
    </row>
    <row r="2999" spans="1:5">
      <c r="A2999">
        <v>2997</v>
      </c>
      <c r="B2999" t="s">
        <v>3097</v>
      </c>
      <c r="C2999" t="s">
        <v>6635</v>
      </c>
      <c r="D2999" t="s">
        <v>2929</v>
      </c>
      <c r="E2999" t="s">
        <v>157</v>
      </c>
    </row>
    <row r="3000" spans="1:5">
      <c r="A3000">
        <v>2998</v>
      </c>
      <c r="B3000" t="s">
        <v>3098</v>
      </c>
      <c r="C3000" t="s">
        <v>6636</v>
      </c>
      <c r="D3000" t="s">
        <v>2929</v>
      </c>
      <c r="E3000" t="s">
        <v>157</v>
      </c>
    </row>
    <row r="3001" spans="1:5">
      <c r="A3001">
        <v>2999</v>
      </c>
      <c r="B3001" t="s">
        <v>3099</v>
      </c>
      <c r="C3001" t="s">
        <v>6637</v>
      </c>
      <c r="D3001" t="s">
        <v>2929</v>
      </c>
      <c r="E3001" t="s">
        <v>157</v>
      </c>
    </row>
    <row r="3002" spans="1:5">
      <c r="A3002">
        <v>3000</v>
      </c>
      <c r="B3002" t="s">
        <v>3100</v>
      </c>
      <c r="C3002" t="s">
        <v>6638</v>
      </c>
      <c r="D3002" t="s">
        <v>2929</v>
      </c>
      <c r="E3002" t="s">
        <v>157</v>
      </c>
    </row>
    <row r="3003" spans="1:5">
      <c r="A3003">
        <v>3001</v>
      </c>
      <c r="B3003" t="s">
        <v>3101</v>
      </c>
      <c r="C3003" t="s">
        <v>6639</v>
      </c>
      <c r="D3003" t="s">
        <v>2929</v>
      </c>
      <c r="E3003" t="s">
        <v>157</v>
      </c>
    </row>
    <row r="3004" spans="1:5">
      <c r="A3004">
        <v>3002</v>
      </c>
      <c r="B3004" t="s">
        <v>3102</v>
      </c>
      <c r="C3004" t="s">
        <v>6640</v>
      </c>
      <c r="D3004" t="s">
        <v>2929</v>
      </c>
      <c r="E3004" t="s">
        <v>157</v>
      </c>
    </row>
    <row r="3005" spans="1:5">
      <c r="A3005">
        <v>3003</v>
      </c>
      <c r="B3005" t="s">
        <v>3103</v>
      </c>
      <c r="C3005" t="s">
        <v>6641</v>
      </c>
      <c r="D3005" t="s">
        <v>2929</v>
      </c>
      <c r="E3005" t="s">
        <v>157</v>
      </c>
    </row>
    <row r="3006" spans="1:5">
      <c r="A3006">
        <v>3004</v>
      </c>
      <c r="B3006" t="s">
        <v>3104</v>
      </c>
      <c r="C3006" t="s">
        <v>6642</v>
      </c>
      <c r="D3006" t="s">
        <v>2929</v>
      </c>
      <c r="E3006" t="s">
        <v>157</v>
      </c>
    </row>
    <row r="3007" spans="1:5">
      <c r="A3007">
        <v>3005</v>
      </c>
      <c r="B3007" t="s">
        <v>3105</v>
      </c>
      <c r="C3007" t="s">
        <v>6643</v>
      </c>
      <c r="D3007" t="s">
        <v>2929</v>
      </c>
      <c r="E3007" t="s">
        <v>157</v>
      </c>
    </row>
    <row r="3008" spans="1:5">
      <c r="A3008">
        <v>3006</v>
      </c>
      <c r="B3008" t="s">
        <v>3106</v>
      </c>
      <c r="C3008" t="s">
        <v>6644</v>
      </c>
      <c r="D3008" t="s">
        <v>2929</v>
      </c>
      <c r="E3008" t="s">
        <v>157</v>
      </c>
    </row>
    <row r="3009" spans="1:5">
      <c r="A3009">
        <v>3007</v>
      </c>
      <c r="B3009" t="s">
        <v>3107</v>
      </c>
      <c r="C3009" t="s">
        <v>6645</v>
      </c>
      <c r="D3009" t="s">
        <v>2929</v>
      </c>
      <c r="E3009" t="s">
        <v>157</v>
      </c>
    </row>
    <row r="3010" spans="1:5">
      <c r="A3010">
        <v>3008</v>
      </c>
      <c r="B3010" t="s">
        <v>3108</v>
      </c>
      <c r="C3010" t="s">
        <v>6646</v>
      </c>
      <c r="D3010" t="s">
        <v>2929</v>
      </c>
      <c r="E3010" t="s">
        <v>157</v>
      </c>
    </row>
    <row r="3011" spans="1:5">
      <c r="A3011">
        <v>3009</v>
      </c>
      <c r="B3011" t="s">
        <v>3109</v>
      </c>
      <c r="C3011" t="s">
        <v>6647</v>
      </c>
      <c r="D3011" t="s">
        <v>2929</v>
      </c>
      <c r="E3011" t="s">
        <v>157</v>
      </c>
    </row>
    <row r="3012" spans="1:5">
      <c r="A3012">
        <v>3010</v>
      </c>
      <c r="B3012" t="s">
        <v>3110</v>
      </c>
      <c r="C3012" t="s">
        <v>6648</v>
      </c>
      <c r="D3012" t="s">
        <v>2929</v>
      </c>
      <c r="E3012" t="s">
        <v>157</v>
      </c>
    </row>
    <row r="3013" spans="1:5">
      <c r="A3013">
        <v>3011</v>
      </c>
      <c r="B3013" t="s">
        <v>3111</v>
      </c>
      <c r="C3013" t="s">
        <v>6649</v>
      </c>
      <c r="D3013" t="s">
        <v>2929</v>
      </c>
      <c r="E3013" t="s">
        <v>157</v>
      </c>
    </row>
    <row r="3014" spans="1:5">
      <c r="A3014">
        <v>3012</v>
      </c>
      <c r="B3014" t="s">
        <v>3112</v>
      </c>
      <c r="C3014" t="s">
        <v>6650</v>
      </c>
      <c r="D3014" t="s">
        <v>2929</v>
      </c>
      <c r="E3014" t="s">
        <v>157</v>
      </c>
    </row>
    <row r="3015" spans="1:5">
      <c r="A3015">
        <v>3013</v>
      </c>
      <c r="B3015" t="s">
        <v>3113</v>
      </c>
      <c r="C3015" t="s">
        <v>6651</v>
      </c>
      <c r="D3015" t="s">
        <v>2929</v>
      </c>
      <c r="E3015" t="s">
        <v>157</v>
      </c>
    </row>
    <row r="3016" spans="1:5">
      <c r="A3016">
        <v>3014</v>
      </c>
      <c r="B3016" t="s">
        <v>3114</v>
      </c>
      <c r="C3016" t="s">
        <v>6652</v>
      </c>
      <c r="D3016" t="s">
        <v>2929</v>
      </c>
      <c r="E3016" t="s">
        <v>157</v>
      </c>
    </row>
    <row r="3017" spans="1:5">
      <c r="A3017">
        <v>3015</v>
      </c>
      <c r="B3017" t="s">
        <v>3115</v>
      </c>
      <c r="C3017" t="s">
        <v>6653</v>
      </c>
      <c r="D3017" t="s">
        <v>2929</v>
      </c>
      <c r="E3017" t="s">
        <v>157</v>
      </c>
    </row>
    <row r="3018" spans="1:5">
      <c r="A3018">
        <v>3016</v>
      </c>
      <c r="B3018" t="s">
        <v>3116</v>
      </c>
      <c r="C3018" t="s">
        <v>6654</v>
      </c>
      <c r="D3018" t="s">
        <v>2929</v>
      </c>
      <c r="E3018" t="s">
        <v>157</v>
      </c>
    </row>
    <row r="3019" spans="1:5">
      <c r="A3019">
        <v>3017</v>
      </c>
      <c r="B3019" t="s">
        <v>2006</v>
      </c>
      <c r="C3019" t="s">
        <v>5561</v>
      </c>
      <c r="D3019" t="s">
        <v>2929</v>
      </c>
      <c r="E3019" t="s">
        <v>157</v>
      </c>
    </row>
    <row r="3020" spans="1:5">
      <c r="A3020">
        <v>3018</v>
      </c>
      <c r="B3020" t="s">
        <v>3117</v>
      </c>
      <c r="C3020" t="s">
        <v>6655</v>
      </c>
      <c r="D3020" t="s">
        <v>2929</v>
      </c>
      <c r="E3020" t="s">
        <v>157</v>
      </c>
    </row>
    <row r="3021" spans="1:5">
      <c r="A3021">
        <v>3019</v>
      </c>
      <c r="B3021" t="s">
        <v>3118</v>
      </c>
      <c r="C3021" t="s">
        <v>6656</v>
      </c>
      <c r="D3021" t="s">
        <v>2929</v>
      </c>
      <c r="E3021" t="s">
        <v>157</v>
      </c>
    </row>
    <row r="3022" spans="1:5">
      <c r="A3022">
        <v>3020</v>
      </c>
      <c r="B3022" t="s">
        <v>3119</v>
      </c>
      <c r="C3022" t="s">
        <v>6657</v>
      </c>
      <c r="D3022" t="s">
        <v>2929</v>
      </c>
      <c r="E3022" t="s">
        <v>157</v>
      </c>
    </row>
    <row r="3023" spans="1:5">
      <c r="A3023">
        <v>3021</v>
      </c>
      <c r="B3023" t="s">
        <v>3120</v>
      </c>
      <c r="C3023" t="s">
        <v>6658</v>
      </c>
      <c r="D3023" t="s">
        <v>2929</v>
      </c>
      <c r="E3023" t="s">
        <v>157</v>
      </c>
    </row>
    <row r="3024" spans="1:5">
      <c r="A3024">
        <v>3022</v>
      </c>
      <c r="B3024" t="s">
        <v>3121</v>
      </c>
      <c r="C3024" t="s">
        <v>6659</v>
      </c>
      <c r="D3024" t="s">
        <v>2929</v>
      </c>
      <c r="E3024" t="s">
        <v>157</v>
      </c>
    </row>
    <row r="3025" spans="1:5">
      <c r="A3025">
        <v>3023</v>
      </c>
      <c r="B3025" t="s">
        <v>3122</v>
      </c>
      <c r="C3025" t="s">
        <v>6660</v>
      </c>
      <c r="D3025" t="s">
        <v>2929</v>
      </c>
      <c r="E3025" t="s">
        <v>157</v>
      </c>
    </row>
    <row r="3026" spans="1:5">
      <c r="A3026">
        <v>3024</v>
      </c>
      <c r="B3026" t="s">
        <v>3123</v>
      </c>
      <c r="C3026" t="s">
        <v>6661</v>
      </c>
      <c r="D3026" t="s">
        <v>2929</v>
      </c>
      <c r="E3026" t="s">
        <v>157</v>
      </c>
    </row>
    <row r="3027" spans="1:5">
      <c r="A3027">
        <v>3025</v>
      </c>
      <c r="B3027" t="s">
        <v>3124</v>
      </c>
      <c r="C3027" t="s">
        <v>6662</v>
      </c>
      <c r="D3027" t="s">
        <v>2929</v>
      </c>
      <c r="E3027" t="s">
        <v>157</v>
      </c>
    </row>
    <row r="3028" spans="1:5">
      <c r="A3028">
        <v>3026</v>
      </c>
      <c r="B3028" t="s">
        <v>3125</v>
      </c>
      <c r="C3028" t="s">
        <v>6663</v>
      </c>
      <c r="D3028" t="s">
        <v>2929</v>
      </c>
      <c r="E3028" t="s">
        <v>157</v>
      </c>
    </row>
    <row r="3029" spans="1:5">
      <c r="A3029">
        <v>3027</v>
      </c>
      <c r="B3029" t="s">
        <v>3126</v>
      </c>
      <c r="C3029" t="s">
        <v>6664</v>
      </c>
      <c r="D3029" t="s">
        <v>2929</v>
      </c>
      <c r="E3029" t="s">
        <v>157</v>
      </c>
    </row>
    <row r="3030" spans="1:5">
      <c r="A3030">
        <v>3028</v>
      </c>
      <c r="B3030" t="s">
        <v>3127</v>
      </c>
      <c r="C3030" t="s">
        <v>6665</v>
      </c>
      <c r="D3030" t="s">
        <v>2929</v>
      </c>
      <c r="E3030" t="s">
        <v>157</v>
      </c>
    </row>
    <row r="3031" spans="1:5">
      <c r="A3031">
        <v>3029</v>
      </c>
      <c r="B3031" t="s">
        <v>3128</v>
      </c>
      <c r="C3031" t="s">
        <v>6666</v>
      </c>
      <c r="D3031" t="s">
        <v>2929</v>
      </c>
      <c r="E3031" t="s">
        <v>157</v>
      </c>
    </row>
    <row r="3032" spans="1:5">
      <c r="A3032">
        <v>3030</v>
      </c>
      <c r="B3032" t="s">
        <v>3129</v>
      </c>
      <c r="C3032" t="s">
        <v>6667</v>
      </c>
      <c r="D3032" t="s">
        <v>2929</v>
      </c>
      <c r="E3032" t="s">
        <v>157</v>
      </c>
    </row>
    <row r="3033" spans="1:5">
      <c r="A3033">
        <v>3031</v>
      </c>
      <c r="B3033" t="s">
        <v>3130</v>
      </c>
      <c r="C3033" t="s">
        <v>6668</v>
      </c>
      <c r="D3033" t="s">
        <v>2929</v>
      </c>
      <c r="E3033" t="s">
        <v>157</v>
      </c>
    </row>
    <row r="3034" spans="1:5">
      <c r="A3034">
        <v>3032</v>
      </c>
      <c r="B3034" t="s">
        <v>3131</v>
      </c>
      <c r="C3034" t="s">
        <v>6669</v>
      </c>
      <c r="D3034" t="s">
        <v>2929</v>
      </c>
      <c r="E3034" t="s">
        <v>157</v>
      </c>
    </row>
    <row r="3035" spans="1:5">
      <c r="A3035">
        <v>3033</v>
      </c>
      <c r="B3035" t="s">
        <v>3132</v>
      </c>
      <c r="C3035" t="s">
        <v>7396</v>
      </c>
      <c r="D3035" t="s">
        <v>2929</v>
      </c>
      <c r="E3035" t="s">
        <v>157</v>
      </c>
    </row>
    <row r="3036" spans="1:5">
      <c r="A3036">
        <v>3034</v>
      </c>
      <c r="B3036" t="s">
        <v>3133</v>
      </c>
      <c r="C3036" t="s">
        <v>6670</v>
      </c>
      <c r="D3036" t="s">
        <v>2929</v>
      </c>
      <c r="E3036" t="s">
        <v>157</v>
      </c>
    </row>
    <row r="3037" spans="1:5">
      <c r="A3037">
        <v>3035</v>
      </c>
      <c r="B3037" t="s">
        <v>3134</v>
      </c>
      <c r="C3037" t="s">
        <v>6671</v>
      </c>
      <c r="D3037" t="s">
        <v>2929</v>
      </c>
      <c r="E3037" t="s">
        <v>157</v>
      </c>
    </row>
    <row r="3038" spans="1:5">
      <c r="A3038">
        <v>3036</v>
      </c>
      <c r="B3038" t="s">
        <v>3135</v>
      </c>
      <c r="C3038" t="s">
        <v>6672</v>
      </c>
      <c r="D3038" t="s">
        <v>2929</v>
      </c>
      <c r="E3038" t="s">
        <v>157</v>
      </c>
    </row>
    <row r="3039" spans="1:5">
      <c r="A3039">
        <v>3037</v>
      </c>
      <c r="B3039" t="s">
        <v>3136</v>
      </c>
      <c r="C3039" t="s">
        <v>6673</v>
      </c>
      <c r="D3039" t="s">
        <v>2929</v>
      </c>
      <c r="E3039" t="s">
        <v>157</v>
      </c>
    </row>
    <row r="3040" spans="1:5">
      <c r="A3040">
        <v>3038</v>
      </c>
      <c r="B3040" t="s">
        <v>3137</v>
      </c>
      <c r="C3040" t="s">
        <v>6674</v>
      </c>
      <c r="D3040" t="s">
        <v>2929</v>
      </c>
      <c r="E3040" t="s">
        <v>157</v>
      </c>
    </row>
    <row r="3041" spans="1:5">
      <c r="A3041">
        <v>3039</v>
      </c>
      <c r="B3041" t="s">
        <v>3138</v>
      </c>
      <c r="C3041" t="s">
        <v>6675</v>
      </c>
      <c r="D3041" t="s">
        <v>2929</v>
      </c>
      <c r="E3041" t="s">
        <v>157</v>
      </c>
    </row>
    <row r="3042" spans="1:5">
      <c r="A3042">
        <v>3040</v>
      </c>
      <c r="B3042" t="s">
        <v>3139</v>
      </c>
      <c r="C3042" t="s">
        <v>6676</v>
      </c>
      <c r="D3042" t="s">
        <v>2929</v>
      </c>
      <c r="E3042" t="s">
        <v>157</v>
      </c>
    </row>
    <row r="3043" spans="1:5">
      <c r="A3043">
        <v>3041</v>
      </c>
      <c r="B3043" t="s">
        <v>3140</v>
      </c>
      <c r="C3043" t="s">
        <v>6677</v>
      </c>
      <c r="D3043" t="s">
        <v>2929</v>
      </c>
      <c r="E3043" t="s">
        <v>157</v>
      </c>
    </row>
    <row r="3044" spans="1:5">
      <c r="A3044">
        <v>3042</v>
      </c>
      <c r="B3044" t="s">
        <v>3141</v>
      </c>
      <c r="C3044" t="s">
        <v>6678</v>
      </c>
      <c r="D3044" t="s">
        <v>2929</v>
      </c>
      <c r="E3044" t="s">
        <v>157</v>
      </c>
    </row>
    <row r="3045" spans="1:5">
      <c r="A3045">
        <v>3043</v>
      </c>
      <c r="B3045" t="s">
        <v>3142</v>
      </c>
      <c r="C3045" t="s">
        <v>6679</v>
      </c>
      <c r="D3045" t="s">
        <v>2929</v>
      </c>
      <c r="E3045" t="s">
        <v>157</v>
      </c>
    </row>
    <row r="3046" spans="1:5">
      <c r="A3046">
        <v>3044</v>
      </c>
      <c r="B3046" t="s">
        <v>3143</v>
      </c>
      <c r="C3046" t="s">
        <v>6680</v>
      </c>
      <c r="D3046" t="s">
        <v>2929</v>
      </c>
      <c r="E3046" t="s">
        <v>157</v>
      </c>
    </row>
    <row r="3047" spans="1:5">
      <c r="A3047">
        <v>3045</v>
      </c>
      <c r="B3047" t="s">
        <v>3144</v>
      </c>
      <c r="C3047" t="s">
        <v>6681</v>
      </c>
      <c r="D3047" t="s">
        <v>2929</v>
      </c>
      <c r="E3047" t="s">
        <v>157</v>
      </c>
    </row>
    <row r="3048" spans="1:5">
      <c r="A3048">
        <v>3046</v>
      </c>
      <c r="B3048" t="s">
        <v>3145</v>
      </c>
      <c r="C3048" t="s">
        <v>6682</v>
      </c>
      <c r="D3048" t="s">
        <v>2929</v>
      </c>
      <c r="E3048" t="s">
        <v>157</v>
      </c>
    </row>
    <row r="3049" spans="1:5">
      <c r="A3049">
        <v>3047</v>
      </c>
      <c r="B3049" t="s">
        <v>3146</v>
      </c>
      <c r="C3049" t="s">
        <v>6683</v>
      </c>
      <c r="D3049" t="s">
        <v>2929</v>
      </c>
      <c r="E3049" t="s">
        <v>157</v>
      </c>
    </row>
    <row r="3050" spans="1:5">
      <c r="A3050">
        <v>3048</v>
      </c>
      <c r="B3050" t="s">
        <v>3147</v>
      </c>
      <c r="C3050" t="s">
        <v>6684</v>
      </c>
      <c r="D3050" t="s">
        <v>2929</v>
      </c>
      <c r="E3050" t="s">
        <v>157</v>
      </c>
    </row>
    <row r="3051" spans="1:5">
      <c r="A3051">
        <v>3049</v>
      </c>
      <c r="B3051" t="s">
        <v>3148</v>
      </c>
      <c r="C3051" t="s">
        <v>6685</v>
      </c>
      <c r="D3051" t="s">
        <v>2929</v>
      </c>
      <c r="E3051" t="s">
        <v>157</v>
      </c>
    </row>
    <row r="3052" spans="1:5">
      <c r="A3052">
        <v>3050</v>
      </c>
      <c r="B3052" t="s">
        <v>3149</v>
      </c>
      <c r="C3052" t="s">
        <v>6686</v>
      </c>
      <c r="D3052" t="s">
        <v>2929</v>
      </c>
      <c r="E3052" t="s">
        <v>157</v>
      </c>
    </row>
    <row r="3053" spans="1:5">
      <c r="A3053">
        <v>3051</v>
      </c>
      <c r="B3053" t="s">
        <v>3150</v>
      </c>
      <c r="C3053" t="s">
        <v>6687</v>
      </c>
      <c r="D3053" t="s">
        <v>2929</v>
      </c>
      <c r="E3053" t="s">
        <v>157</v>
      </c>
    </row>
    <row r="3054" spans="1:5">
      <c r="A3054">
        <v>3052</v>
      </c>
      <c r="B3054" t="s">
        <v>3151</v>
      </c>
      <c r="C3054" t="s">
        <v>6688</v>
      </c>
      <c r="D3054" t="s">
        <v>2929</v>
      </c>
      <c r="E3054" t="s">
        <v>157</v>
      </c>
    </row>
    <row r="3055" spans="1:5">
      <c r="A3055">
        <v>3053</v>
      </c>
      <c r="B3055" t="s">
        <v>3152</v>
      </c>
      <c r="C3055" t="s">
        <v>6689</v>
      </c>
      <c r="D3055" t="s">
        <v>2929</v>
      </c>
      <c r="E3055" t="s">
        <v>157</v>
      </c>
    </row>
    <row r="3056" spans="1:5">
      <c r="A3056">
        <v>3054</v>
      </c>
      <c r="B3056" t="s">
        <v>3153</v>
      </c>
      <c r="C3056" t="s">
        <v>6690</v>
      </c>
      <c r="D3056" t="s">
        <v>2929</v>
      </c>
      <c r="E3056" t="s">
        <v>157</v>
      </c>
    </row>
    <row r="3057" spans="1:5">
      <c r="A3057">
        <v>3055</v>
      </c>
      <c r="B3057" t="s">
        <v>3154</v>
      </c>
      <c r="C3057" t="s">
        <v>6691</v>
      </c>
      <c r="D3057" t="s">
        <v>2929</v>
      </c>
      <c r="E3057" t="s">
        <v>157</v>
      </c>
    </row>
    <row r="3058" spans="1:5">
      <c r="A3058">
        <v>3056</v>
      </c>
      <c r="B3058" t="s">
        <v>3155</v>
      </c>
      <c r="C3058" t="s">
        <v>6692</v>
      </c>
      <c r="D3058" t="s">
        <v>2929</v>
      </c>
      <c r="E3058" t="s">
        <v>157</v>
      </c>
    </row>
    <row r="3059" spans="1:5">
      <c r="A3059">
        <v>3057</v>
      </c>
      <c r="B3059" t="s">
        <v>3156</v>
      </c>
      <c r="C3059" t="s">
        <v>6693</v>
      </c>
      <c r="D3059" t="s">
        <v>2929</v>
      </c>
      <c r="E3059" t="s">
        <v>157</v>
      </c>
    </row>
    <row r="3060" spans="1:5">
      <c r="A3060">
        <v>3058</v>
      </c>
      <c r="B3060" t="s">
        <v>3157</v>
      </c>
      <c r="C3060" t="s">
        <v>6694</v>
      </c>
      <c r="D3060" t="s">
        <v>2929</v>
      </c>
      <c r="E3060" t="s">
        <v>157</v>
      </c>
    </row>
    <row r="3061" spans="1:5">
      <c r="A3061">
        <v>3059</v>
      </c>
      <c r="B3061" t="s">
        <v>3158</v>
      </c>
      <c r="C3061" t="s">
        <v>6695</v>
      </c>
      <c r="D3061" t="s">
        <v>2929</v>
      </c>
      <c r="E3061" t="s">
        <v>157</v>
      </c>
    </row>
    <row r="3062" spans="1:5">
      <c r="A3062">
        <v>3060</v>
      </c>
      <c r="B3062" t="s">
        <v>3159</v>
      </c>
      <c r="C3062" t="s">
        <v>6696</v>
      </c>
      <c r="D3062" t="s">
        <v>2929</v>
      </c>
      <c r="E3062" t="s">
        <v>157</v>
      </c>
    </row>
    <row r="3063" spans="1:5">
      <c r="A3063">
        <v>3061</v>
      </c>
      <c r="B3063" t="s">
        <v>3160</v>
      </c>
      <c r="C3063" t="s">
        <v>6697</v>
      </c>
      <c r="D3063" t="s">
        <v>2929</v>
      </c>
      <c r="E3063" t="s">
        <v>157</v>
      </c>
    </row>
    <row r="3064" spans="1:5">
      <c r="A3064">
        <v>3062</v>
      </c>
      <c r="B3064" t="s">
        <v>3161</v>
      </c>
      <c r="C3064" t="s">
        <v>6698</v>
      </c>
      <c r="D3064" t="s">
        <v>2929</v>
      </c>
      <c r="E3064" t="s">
        <v>157</v>
      </c>
    </row>
    <row r="3065" spans="1:5">
      <c r="A3065">
        <v>3063</v>
      </c>
      <c r="B3065" t="s">
        <v>3162</v>
      </c>
      <c r="C3065" t="s">
        <v>6699</v>
      </c>
      <c r="D3065" t="s">
        <v>2929</v>
      </c>
      <c r="E3065" t="s">
        <v>157</v>
      </c>
    </row>
    <row r="3066" spans="1:5">
      <c r="A3066">
        <v>3064</v>
      </c>
      <c r="B3066" t="s">
        <v>3163</v>
      </c>
      <c r="C3066" t="s">
        <v>6700</v>
      </c>
      <c r="D3066" t="s">
        <v>2929</v>
      </c>
      <c r="E3066" t="s">
        <v>157</v>
      </c>
    </row>
    <row r="3067" spans="1:5">
      <c r="A3067">
        <v>3065</v>
      </c>
      <c r="B3067" t="s">
        <v>3164</v>
      </c>
      <c r="C3067" t="s">
        <v>6701</v>
      </c>
      <c r="D3067" t="s">
        <v>2929</v>
      </c>
      <c r="E3067" t="s">
        <v>157</v>
      </c>
    </row>
    <row r="3068" spans="1:5">
      <c r="A3068">
        <v>3066</v>
      </c>
      <c r="B3068" t="s">
        <v>3165</v>
      </c>
      <c r="C3068" t="s">
        <v>6702</v>
      </c>
      <c r="D3068" t="s">
        <v>2929</v>
      </c>
      <c r="E3068" t="s">
        <v>157</v>
      </c>
    </row>
    <row r="3069" spans="1:5">
      <c r="A3069">
        <v>3067</v>
      </c>
      <c r="B3069" t="s">
        <v>3166</v>
      </c>
      <c r="C3069" t="s">
        <v>6703</v>
      </c>
      <c r="D3069" t="s">
        <v>2929</v>
      </c>
      <c r="E3069" t="s">
        <v>157</v>
      </c>
    </row>
    <row r="3070" spans="1:5">
      <c r="A3070">
        <v>3068</v>
      </c>
      <c r="B3070" t="s">
        <v>3167</v>
      </c>
      <c r="C3070" t="s">
        <v>6704</v>
      </c>
      <c r="D3070" t="s">
        <v>2929</v>
      </c>
      <c r="E3070" t="s">
        <v>157</v>
      </c>
    </row>
    <row r="3071" spans="1:5">
      <c r="A3071">
        <v>3069</v>
      </c>
      <c r="B3071" t="s">
        <v>3168</v>
      </c>
      <c r="C3071" t="s">
        <v>6705</v>
      </c>
      <c r="D3071" t="s">
        <v>2929</v>
      </c>
      <c r="E3071" t="s">
        <v>157</v>
      </c>
    </row>
    <row r="3072" spans="1:5">
      <c r="A3072">
        <v>3070</v>
      </c>
      <c r="B3072" t="s">
        <v>3169</v>
      </c>
      <c r="C3072" t="s">
        <v>6706</v>
      </c>
      <c r="D3072" t="s">
        <v>2929</v>
      </c>
      <c r="E3072" t="s">
        <v>157</v>
      </c>
    </row>
    <row r="3073" spans="1:5">
      <c r="A3073">
        <v>3071</v>
      </c>
      <c r="B3073" t="s">
        <v>3170</v>
      </c>
      <c r="C3073" t="s">
        <v>6707</v>
      </c>
      <c r="D3073" t="s">
        <v>2929</v>
      </c>
      <c r="E3073" t="s">
        <v>157</v>
      </c>
    </row>
    <row r="3074" spans="1:5">
      <c r="A3074">
        <v>3072</v>
      </c>
      <c r="B3074" t="s">
        <v>3171</v>
      </c>
      <c r="C3074" t="s">
        <v>6708</v>
      </c>
      <c r="D3074" t="s">
        <v>2929</v>
      </c>
      <c r="E3074" t="s">
        <v>157</v>
      </c>
    </row>
    <row r="3075" spans="1:5">
      <c r="A3075">
        <v>3073</v>
      </c>
      <c r="B3075" t="s">
        <v>3172</v>
      </c>
      <c r="C3075" t="s">
        <v>6709</v>
      </c>
      <c r="D3075" t="s">
        <v>2929</v>
      </c>
      <c r="E3075" t="s">
        <v>157</v>
      </c>
    </row>
    <row r="3076" spans="1:5">
      <c r="A3076">
        <v>3074</v>
      </c>
      <c r="B3076" t="s">
        <v>3173</v>
      </c>
      <c r="C3076" t="s">
        <v>6710</v>
      </c>
      <c r="D3076" t="s">
        <v>2929</v>
      </c>
      <c r="E3076" t="s">
        <v>157</v>
      </c>
    </row>
    <row r="3077" spans="1:5">
      <c r="A3077">
        <v>3075</v>
      </c>
      <c r="B3077" t="s">
        <v>3174</v>
      </c>
      <c r="C3077" t="s">
        <v>6711</v>
      </c>
      <c r="D3077" t="s">
        <v>2929</v>
      </c>
      <c r="E3077" t="s">
        <v>157</v>
      </c>
    </row>
    <row r="3078" spans="1:5">
      <c r="A3078">
        <v>3076</v>
      </c>
      <c r="B3078" t="s">
        <v>3175</v>
      </c>
      <c r="C3078" t="s">
        <v>6712</v>
      </c>
      <c r="D3078" t="s">
        <v>2929</v>
      </c>
      <c r="E3078" t="s">
        <v>157</v>
      </c>
    </row>
    <row r="3079" spans="1:5">
      <c r="A3079">
        <v>3077</v>
      </c>
      <c r="B3079" t="s">
        <v>3176</v>
      </c>
      <c r="C3079" t="s">
        <v>6713</v>
      </c>
      <c r="D3079" t="s">
        <v>2929</v>
      </c>
      <c r="E3079" t="s">
        <v>157</v>
      </c>
    </row>
    <row r="3080" spans="1:5">
      <c r="A3080">
        <v>3078</v>
      </c>
      <c r="B3080" t="s">
        <v>3177</v>
      </c>
      <c r="C3080" t="s">
        <v>6714</v>
      </c>
      <c r="D3080" t="s">
        <v>2929</v>
      </c>
      <c r="E3080" t="s">
        <v>157</v>
      </c>
    </row>
    <row r="3081" spans="1:5">
      <c r="A3081">
        <v>3079</v>
      </c>
      <c r="B3081" t="s">
        <v>3178</v>
      </c>
      <c r="C3081" t="s">
        <v>6715</v>
      </c>
      <c r="D3081" t="s">
        <v>2929</v>
      </c>
      <c r="E3081" t="s">
        <v>157</v>
      </c>
    </row>
    <row r="3082" spans="1:5">
      <c r="A3082">
        <v>3080</v>
      </c>
      <c r="B3082" t="s">
        <v>3179</v>
      </c>
      <c r="C3082" t="s">
        <v>6716</v>
      </c>
      <c r="D3082" t="s">
        <v>2929</v>
      </c>
      <c r="E3082" t="s">
        <v>157</v>
      </c>
    </row>
    <row r="3083" spans="1:5">
      <c r="A3083">
        <v>3081</v>
      </c>
      <c r="B3083" t="s">
        <v>3180</v>
      </c>
      <c r="C3083" t="s">
        <v>6717</v>
      </c>
      <c r="D3083" t="s">
        <v>2929</v>
      </c>
      <c r="E3083" t="s">
        <v>157</v>
      </c>
    </row>
    <row r="3084" spans="1:5">
      <c r="A3084">
        <v>3082</v>
      </c>
      <c r="B3084" t="s">
        <v>3181</v>
      </c>
      <c r="C3084" t="s">
        <v>6718</v>
      </c>
      <c r="D3084" t="s">
        <v>2929</v>
      </c>
      <c r="E3084" t="s">
        <v>157</v>
      </c>
    </row>
    <row r="3085" spans="1:5">
      <c r="A3085">
        <v>3083</v>
      </c>
      <c r="B3085" t="s">
        <v>3182</v>
      </c>
      <c r="C3085" t="s">
        <v>6719</v>
      </c>
      <c r="D3085" t="s">
        <v>2929</v>
      </c>
      <c r="E3085" t="s">
        <v>157</v>
      </c>
    </row>
    <row r="3086" spans="1:5">
      <c r="A3086">
        <v>3084</v>
      </c>
      <c r="B3086" t="s">
        <v>3183</v>
      </c>
      <c r="C3086" t="s">
        <v>6720</v>
      </c>
      <c r="D3086" t="s">
        <v>2929</v>
      </c>
      <c r="E3086" t="s">
        <v>157</v>
      </c>
    </row>
    <row r="3087" spans="1:5">
      <c r="A3087">
        <v>3085</v>
      </c>
      <c r="B3087" t="s">
        <v>3184</v>
      </c>
      <c r="C3087" t="s">
        <v>6721</v>
      </c>
      <c r="D3087" t="s">
        <v>2929</v>
      </c>
      <c r="E3087" t="s">
        <v>157</v>
      </c>
    </row>
    <row r="3088" spans="1:5">
      <c r="A3088">
        <v>3086</v>
      </c>
      <c r="B3088" t="s">
        <v>3185</v>
      </c>
      <c r="C3088" t="s">
        <v>6722</v>
      </c>
      <c r="D3088" t="s">
        <v>2929</v>
      </c>
      <c r="E3088" t="s">
        <v>157</v>
      </c>
    </row>
    <row r="3089" spans="1:5">
      <c r="A3089">
        <v>3087</v>
      </c>
      <c r="B3089" t="s">
        <v>3186</v>
      </c>
      <c r="C3089" t="s">
        <v>6723</v>
      </c>
      <c r="D3089" t="s">
        <v>2929</v>
      </c>
      <c r="E3089" t="s">
        <v>157</v>
      </c>
    </row>
    <row r="3090" spans="1:5">
      <c r="A3090">
        <v>3088</v>
      </c>
      <c r="B3090" t="s">
        <v>3187</v>
      </c>
      <c r="C3090" t="s">
        <v>6724</v>
      </c>
      <c r="D3090" t="s">
        <v>2929</v>
      </c>
      <c r="E3090" t="s">
        <v>157</v>
      </c>
    </row>
    <row r="3091" spans="1:5">
      <c r="A3091">
        <v>3089</v>
      </c>
      <c r="B3091" t="s">
        <v>3188</v>
      </c>
      <c r="C3091" t="s">
        <v>6725</v>
      </c>
      <c r="D3091" t="s">
        <v>2929</v>
      </c>
      <c r="E3091" t="s">
        <v>157</v>
      </c>
    </row>
    <row r="3092" spans="1:5">
      <c r="A3092">
        <v>3090</v>
      </c>
      <c r="B3092" t="s">
        <v>3189</v>
      </c>
      <c r="C3092" t="s">
        <v>6726</v>
      </c>
      <c r="D3092" t="s">
        <v>2929</v>
      </c>
      <c r="E3092" t="s">
        <v>157</v>
      </c>
    </row>
    <row r="3093" spans="1:5">
      <c r="A3093">
        <v>3091</v>
      </c>
      <c r="B3093" t="s">
        <v>3190</v>
      </c>
      <c r="C3093" t="s">
        <v>6727</v>
      </c>
      <c r="D3093" t="s">
        <v>2929</v>
      </c>
      <c r="E3093" t="s">
        <v>157</v>
      </c>
    </row>
    <row r="3094" spans="1:5">
      <c r="A3094">
        <v>3092</v>
      </c>
      <c r="B3094" t="s">
        <v>3191</v>
      </c>
      <c r="C3094" t="s">
        <v>6728</v>
      </c>
      <c r="D3094" t="s">
        <v>2929</v>
      </c>
      <c r="E3094" t="s">
        <v>157</v>
      </c>
    </row>
    <row r="3095" spans="1:5">
      <c r="A3095">
        <v>3093</v>
      </c>
      <c r="B3095" t="s">
        <v>3192</v>
      </c>
      <c r="C3095" t="s">
        <v>6729</v>
      </c>
      <c r="D3095" t="s">
        <v>2929</v>
      </c>
      <c r="E3095" t="s">
        <v>157</v>
      </c>
    </row>
    <row r="3096" spans="1:5">
      <c r="A3096">
        <v>3094</v>
      </c>
      <c r="B3096" t="s">
        <v>3193</v>
      </c>
      <c r="C3096" t="s">
        <v>6730</v>
      </c>
      <c r="D3096" t="s">
        <v>2929</v>
      </c>
      <c r="E3096" t="s">
        <v>157</v>
      </c>
    </row>
    <row r="3097" spans="1:5">
      <c r="A3097">
        <v>3095</v>
      </c>
      <c r="B3097" t="s">
        <v>3194</v>
      </c>
      <c r="C3097" t="s">
        <v>6731</v>
      </c>
      <c r="D3097" t="s">
        <v>2929</v>
      </c>
      <c r="E3097" t="s">
        <v>157</v>
      </c>
    </row>
    <row r="3098" spans="1:5">
      <c r="A3098">
        <v>3096</v>
      </c>
      <c r="B3098" t="s">
        <v>3195</v>
      </c>
      <c r="C3098" t="s">
        <v>6732</v>
      </c>
      <c r="D3098" t="s">
        <v>2929</v>
      </c>
      <c r="E3098" t="s">
        <v>157</v>
      </c>
    </row>
    <row r="3099" spans="1:5">
      <c r="A3099">
        <v>3097</v>
      </c>
      <c r="B3099" t="s">
        <v>3196</v>
      </c>
      <c r="C3099" t="s">
        <v>6733</v>
      </c>
      <c r="D3099" t="s">
        <v>2929</v>
      </c>
      <c r="E3099" t="s">
        <v>157</v>
      </c>
    </row>
    <row r="3100" spans="1:5">
      <c r="A3100">
        <v>3098</v>
      </c>
      <c r="B3100" t="s">
        <v>3197</v>
      </c>
      <c r="C3100" t="s">
        <v>6734</v>
      </c>
      <c r="D3100" t="s">
        <v>2929</v>
      </c>
      <c r="E3100" t="s">
        <v>157</v>
      </c>
    </row>
    <row r="3101" spans="1:5">
      <c r="A3101">
        <v>3099</v>
      </c>
      <c r="B3101" t="s">
        <v>3198</v>
      </c>
      <c r="C3101" t="s">
        <v>6735</v>
      </c>
      <c r="D3101" t="s">
        <v>2929</v>
      </c>
      <c r="E3101" t="s">
        <v>157</v>
      </c>
    </row>
    <row r="3102" spans="1:5">
      <c r="A3102">
        <v>3100</v>
      </c>
      <c r="B3102" t="s">
        <v>3199</v>
      </c>
      <c r="C3102" t="s">
        <v>6736</v>
      </c>
      <c r="D3102" t="s">
        <v>2929</v>
      </c>
      <c r="E3102" t="s">
        <v>157</v>
      </c>
    </row>
    <row r="3103" spans="1:5">
      <c r="A3103">
        <v>3101</v>
      </c>
      <c r="B3103" t="s">
        <v>3200</v>
      </c>
      <c r="C3103" t="s">
        <v>6737</v>
      </c>
      <c r="D3103" t="s">
        <v>2929</v>
      </c>
      <c r="E3103" t="s">
        <v>157</v>
      </c>
    </row>
    <row r="3104" spans="1:5">
      <c r="A3104">
        <v>3102</v>
      </c>
      <c r="B3104" t="s">
        <v>3201</v>
      </c>
      <c r="C3104" t="s">
        <v>6738</v>
      </c>
      <c r="D3104" t="s">
        <v>2929</v>
      </c>
      <c r="E3104" t="s">
        <v>157</v>
      </c>
    </row>
    <row r="3105" spans="1:5">
      <c r="A3105">
        <v>3103</v>
      </c>
      <c r="B3105" t="s">
        <v>3202</v>
      </c>
      <c r="C3105" t="s">
        <v>6739</v>
      </c>
      <c r="D3105" t="s">
        <v>2929</v>
      </c>
      <c r="E3105" t="s">
        <v>157</v>
      </c>
    </row>
    <row r="3106" spans="1:5">
      <c r="A3106">
        <v>3104</v>
      </c>
      <c r="B3106" t="s">
        <v>3203</v>
      </c>
      <c r="C3106" t="s">
        <v>6740</v>
      </c>
      <c r="D3106" t="s">
        <v>2929</v>
      </c>
      <c r="E3106" t="s">
        <v>157</v>
      </c>
    </row>
    <row r="3107" spans="1:5">
      <c r="A3107">
        <v>3105</v>
      </c>
      <c r="B3107" t="s">
        <v>3204</v>
      </c>
      <c r="C3107" t="s">
        <v>6741</v>
      </c>
      <c r="D3107" t="s">
        <v>2929</v>
      </c>
      <c r="E3107" t="s">
        <v>157</v>
      </c>
    </row>
    <row r="3108" spans="1:5">
      <c r="A3108">
        <v>3106</v>
      </c>
      <c r="B3108" t="s">
        <v>3205</v>
      </c>
      <c r="C3108" t="s">
        <v>6742</v>
      </c>
      <c r="D3108" t="s">
        <v>2929</v>
      </c>
      <c r="E3108" t="s">
        <v>157</v>
      </c>
    </row>
    <row r="3109" spans="1:5">
      <c r="A3109">
        <v>3107</v>
      </c>
      <c r="B3109" t="s">
        <v>3206</v>
      </c>
      <c r="C3109" t="s">
        <v>6743</v>
      </c>
      <c r="D3109" t="s">
        <v>2929</v>
      </c>
      <c r="E3109" t="s">
        <v>157</v>
      </c>
    </row>
    <row r="3110" spans="1:5">
      <c r="A3110">
        <v>3108</v>
      </c>
      <c r="B3110" t="s">
        <v>3207</v>
      </c>
      <c r="C3110" t="s">
        <v>6744</v>
      </c>
      <c r="D3110" t="s">
        <v>2929</v>
      </c>
      <c r="E3110" t="s">
        <v>157</v>
      </c>
    </row>
    <row r="3111" spans="1:5">
      <c r="A3111">
        <v>3109</v>
      </c>
      <c r="B3111" t="s">
        <v>3208</v>
      </c>
      <c r="C3111" t="s">
        <v>6745</v>
      </c>
      <c r="D3111" t="s">
        <v>2929</v>
      </c>
      <c r="E3111" t="s">
        <v>157</v>
      </c>
    </row>
    <row r="3112" spans="1:5">
      <c r="A3112">
        <v>3110</v>
      </c>
      <c r="B3112" t="s">
        <v>3209</v>
      </c>
      <c r="C3112" t="s">
        <v>6746</v>
      </c>
      <c r="D3112" t="s">
        <v>2929</v>
      </c>
      <c r="E3112" t="s">
        <v>157</v>
      </c>
    </row>
    <row r="3113" spans="1:5">
      <c r="A3113">
        <v>3111</v>
      </c>
      <c r="B3113" t="s">
        <v>3210</v>
      </c>
      <c r="C3113" t="s">
        <v>6747</v>
      </c>
      <c r="D3113" t="s">
        <v>2929</v>
      </c>
      <c r="E3113" t="s">
        <v>157</v>
      </c>
    </row>
    <row r="3114" spans="1:5">
      <c r="A3114">
        <v>3112</v>
      </c>
      <c r="B3114" t="s">
        <v>3211</v>
      </c>
      <c r="C3114" t="s">
        <v>6748</v>
      </c>
      <c r="D3114" t="s">
        <v>2929</v>
      </c>
      <c r="E3114" t="s">
        <v>157</v>
      </c>
    </row>
    <row r="3115" spans="1:5">
      <c r="A3115">
        <v>3113</v>
      </c>
      <c r="B3115" t="s">
        <v>3212</v>
      </c>
      <c r="C3115" t="s">
        <v>6749</v>
      </c>
      <c r="D3115" t="s">
        <v>2929</v>
      </c>
      <c r="E3115" t="s">
        <v>157</v>
      </c>
    </row>
    <row r="3116" spans="1:5">
      <c r="A3116">
        <v>3114</v>
      </c>
      <c r="B3116" t="s">
        <v>1249</v>
      </c>
      <c r="C3116" t="s">
        <v>4813</v>
      </c>
      <c r="D3116" t="s">
        <v>2929</v>
      </c>
      <c r="E3116" t="s">
        <v>157</v>
      </c>
    </row>
    <row r="3117" spans="1:5">
      <c r="A3117">
        <v>3115</v>
      </c>
      <c r="B3117" t="s">
        <v>3213</v>
      </c>
      <c r="C3117" t="s">
        <v>6750</v>
      </c>
      <c r="D3117" t="s">
        <v>2929</v>
      </c>
      <c r="E3117" t="s">
        <v>157</v>
      </c>
    </row>
    <row r="3118" spans="1:5">
      <c r="A3118">
        <v>3116</v>
      </c>
      <c r="B3118" t="s">
        <v>3214</v>
      </c>
      <c r="C3118" t="s">
        <v>6751</v>
      </c>
      <c r="D3118" t="s">
        <v>2929</v>
      </c>
      <c r="E3118" t="s">
        <v>157</v>
      </c>
    </row>
    <row r="3119" spans="1:5">
      <c r="A3119">
        <v>3117</v>
      </c>
      <c r="B3119" t="s">
        <v>3215</v>
      </c>
      <c r="C3119" t="s">
        <v>6752</v>
      </c>
      <c r="D3119" t="s">
        <v>2929</v>
      </c>
      <c r="E3119" t="s">
        <v>157</v>
      </c>
    </row>
    <row r="3120" spans="1:5">
      <c r="A3120">
        <v>3118</v>
      </c>
      <c r="B3120" t="s">
        <v>3216</v>
      </c>
      <c r="C3120" t="s">
        <v>6753</v>
      </c>
      <c r="D3120" t="s">
        <v>2929</v>
      </c>
      <c r="E3120" t="s">
        <v>157</v>
      </c>
    </row>
    <row r="3121" spans="1:5">
      <c r="A3121">
        <v>3119</v>
      </c>
      <c r="B3121" t="s">
        <v>3217</v>
      </c>
      <c r="C3121" t="s">
        <v>6754</v>
      </c>
      <c r="D3121" t="s">
        <v>2929</v>
      </c>
      <c r="E3121" t="s">
        <v>157</v>
      </c>
    </row>
    <row r="3122" spans="1:5">
      <c r="A3122">
        <v>3120</v>
      </c>
      <c r="B3122" t="s">
        <v>3218</v>
      </c>
      <c r="C3122" t="s">
        <v>6755</v>
      </c>
      <c r="D3122" t="s">
        <v>2929</v>
      </c>
      <c r="E3122" t="s">
        <v>157</v>
      </c>
    </row>
    <row r="3123" spans="1:5">
      <c r="A3123">
        <v>3121</v>
      </c>
      <c r="B3123" t="s">
        <v>3219</v>
      </c>
      <c r="C3123" t="s">
        <v>6756</v>
      </c>
      <c r="D3123" t="s">
        <v>2929</v>
      </c>
      <c r="E3123" t="s">
        <v>157</v>
      </c>
    </row>
    <row r="3124" spans="1:5">
      <c r="A3124">
        <v>3122</v>
      </c>
      <c r="B3124" t="s">
        <v>3220</v>
      </c>
      <c r="C3124" t="s">
        <v>6757</v>
      </c>
      <c r="D3124" t="s">
        <v>2929</v>
      </c>
      <c r="E3124" t="s">
        <v>157</v>
      </c>
    </row>
    <row r="3125" spans="1:5">
      <c r="A3125">
        <v>3123</v>
      </c>
      <c r="B3125" t="s">
        <v>3221</v>
      </c>
      <c r="C3125" t="s">
        <v>6758</v>
      </c>
      <c r="D3125" t="s">
        <v>2929</v>
      </c>
      <c r="E3125" t="s">
        <v>157</v>
      </c>
    </row>
    <row r="3126" spans="1:5">
      <c r="A3126">
        <v>3124</v>
      </c>
      <c r="B3126" t="s">
        <v>3222</v>
      </c>
      <c r="C3126" t="s">
        <v>6759</v>
      </c>
      <c r="D3126" t="s">
        <v>2929</v>
      </c>
      <c r="E3126" t="s">
        <v>157</v>
      </c>
    </row>
    <row r="3127" spans="1:5">
      <c r="A3127">
        <v>3125</v>
      </c>
      <c r="B3127" t="s">
        <v>3223</v>
      </c>
      <c r="C3127" t="s">
        <v>6760</v>
      </c>
      <c r="D3127" t="s">
        <v>2929</v>
      </c>
      <c r="E3127" t="s">
        <v>157</v>
      </c>
    </row>
    <row r="3128" spans="1:5">
      <c r="A3128">
        <v>3126</v>
      </c>
      <c r="B3128" t="s">
        <v>3224</v>
      </c>
      <c r="C3128" t="s">
        <v>6761</v>
      </c>
      <c r="D3128" t="s">
        <v>2929</v>
      </c>
      <c r="E3128" t="s">
        <v>157</v>
      </c>
    </row>
    <row r="3129" spans="1:5">
      <c r="A3129">
        <v>3127</v>
      </c>
      <c r="B3129" t="s">
        <v>1253</v>
      </c>
      <c r="C3129" t="s">
        <v>4817</v>
      </c>
      <c r="D3129" t="s">
        <v>2929</v>
      </c>
      <c r="E3129" t="s">
        <v>157</v>
      </c>
    </row>
    <row r="3130" spans="1:5">
      <c r="A3130">
        <v>3128</v>
      </c>
      <c r="B3130" t="s">
        <v>3225</v>
      </c>
      <c r="C3130" t="s">
        <v>6762</v>
      </c>
      <c r="D3130" t="s">
        <v>2929</v>
      </c>
      <c r="E3130" t="s">
        <v>157</v>
      </c>
    </row>
    <row r="3131" spans="1:5">
      <c r="A3131">
        <v>3129</v>
      </c>
      <c r="B3131" t="s">
        <v>3226</v>
      </c>
      <c r="C3131" t="s">
        <v>6763</v>
      </c>
      <c r="D3131" t="s">
        <v>2929</v>
      </c>
      <c r="E3131" t="s">
        <v>157</v>
      </c>
    </row>
    <row r="3132" spans="1:5">
      <c r="A3132">
        <v>3130</v>
      </c>
      <c r="B3132" t="s">
        <v>3227</v>
      </c>
      <c r="C3132" t="s">
        <v>6764</v>
      </c>
      <c r="D3132" t="s">
        <v>2929</v>
      </c>
      <c r="E3132" t="s">
        <v>157</v>
      </c>
    </row>
    <row r="3133" spans="1:5">
      <c r="A3133">
        <v>3131</v>
      </c>
      <c r="B3133" t="s">
        <v>3228</v>
      </c>
      <c r="C3133" t="s">
        <v>6765</v>
      </c>
      <c r="D3133" t="s">
        <v>2929</v>
      </c>
      <c r="E3133" t="s">
        <v>157</v>
      </c>
    </row>
    <row r="3134" spans="1:5">
      <c r="A3134">
        <v>3132</v>
      </c>
      <c r="B3134" t="s">
        <v>3229</v>
      </c>
      <c r="C3134" t="s">
        <v>6766</v>
      </c>
      <c r="D3134" t="s">
        <v>2929</v>
      </c>
      <c r="E3134" t="s">
        <v>157</v>
      </c>
    </row>
    <row r="3135" spans="1:5">
      <c r="A3135">
        <v>3133</v>
      </c>
      <c r="B3135" t="s">
        <v>1256</v>
      </c>
      <c r="C3135" t="s">
        <v>7397</v>
      </c>
      <c r="D3135" t="s">
        <v>2929</v>
      </c>
      <c r="E3135" t="s">
        <v>157</v>
      </c>
    </row>
    <row r="3136" spans="1:5">
      <c r="A3136">
        <v>3134</v>
      </c>
      <c r="B3136" t="s">
        <v>3230</v>
      </c>
      <c r="C3136" t="s">
        <v>6767</v>
      </c>
      <c r="D3136" t="s">
        <v>2929</v>
      </c>
      <c r="E3136" t="s">
        <v>157</v>
      </c>
    </row>
    <row r="3137" spans="1:5">
      <c r="A3137">
        <v>3135</v>
      </c>
      <c r="B3137" t="s">
        <v>3231</v>
      </c>
      <c r="C3137" t="s">
        <v>6768</v>
      </c>
      <c r="D3137" t="s">
        <v>2929</v>
      </c>
      <c r="E3137" t="s">
        <v>157</v>
      </c>
    </row>
    <row r="3138" spans="1:5">
      <c r="A3138">
        <v>3136</v>
      </c>
      <c r="B3138" t="s">
        <v>3232</v>
      </c>
      <c r="C3138" t="s">
        <v>6769</v>
      </c>
      <c r="D3138" t="s">
        <v>2929</v>
      </c>
      <c r="E3138" t="s">
        <v>157</v>
      </c>
    </row>
    <row r="3139" spans="1:5">
      <c r="A3139">
        <v>3137</v>
      </c>
      <c r="B3139" t="s">
        <v>3233</v>
      </c>
      <c r="C3139" t="s">
        <v>6770</v>
      </c>
      <c r="D3139" t="s">
        <v>2929</v>
      </c>
      <c r="E3139" t="s">
        <v>157</v>
      </c>
    </row>
    <row r="3140" spans="1:5">
      <c r="A3140">
        <v>3138</v>
      </c>
      <c r="B3140" t="s">
        <v>3234</v>
      </c>
      <c r="C3140" t="s">
        <v>6771</v>
      </c>
      <c r="D3140" t="s">
        <v>2929</v>
      </c>
      <c r="E3140" t="s">
        <v>157</v>
      </c>
    </row>
    <row r="3141" spans="1:5">
      <c r="A3141">
        <v>3139</v>
      </c>
      <c r="B3141" t="s">
        <v>3235</v>
      </c>
      <c r="C3141" t="s">
        <v>6772</v>
      </c>
      <c r="D3141" t="s">
        <v>2929</v>
      </c>
      <c r="E3141" t="s">
        <v>157</v>
      </c>
    </row>
    <row r="3142" spans="1:5">
      <c r="A3142">
        <v>3140</v>
      </c>
      <c r="B3142" t="s">
        <v>3236</v>
      </c>
      <c r="C3142" t="s">
        <v>6773</v>
      </c>
      <c r="D3142" t="s">
        <v>2929</v>
      </c>
      <c r="E3142" t="s">
        <v>157</v>
      </c>
    </row>
    <row r="3143" spans="1:5">
      <c r="A3143">
        <v>3141</v>
      </c>
      <c r="B3143" t="s">
        <v>3237</v>
      </c>
      <c r="C3143" t="s">
        <v>6774</v>
      </c>
      <c r="D3143" t="s">
        <v>2929</v>
      </c>
      <c r="E3143" t="s">
        <v>157</v>
      </c>
    </row>
    <row r="3144" spans="1:5">
      <c r="A3144">
        <v>3142</v>
      </c>
      <c r="B3144" t="s">
        <v>3238</v>
      </c>
      <c r="C3144" t="s">
        <v>6775</v>
      </c>
      <c r="D3144" t="s">
        <v>2929</v>
      </c>
      <c r="E3144" t="s">
        <v>157</v>
      </c>
    </row>
    <row r="3145" spans="1:5">
      <c r="A3145">
        <v>3143</v>
      </c>
      <c r="B3145" t="s">
        <v>3239</v>
      </c>
      <c r="C3145" t="s">
        <v>6776</v>
      </c>
      <c r="D3145" t="s">
        <v>2929</v>
      </c>
      <c r="E3145" t="s">
        <v>157</v>
      </c>
    </row>
    <row r="3146" spans="1:5">
      <c r="A3146">
        <v>3144</v>
      </c>
      <c r="B3146" t="s">
        <v>3240</v>
      </c>
      <c r="C3146" t="s">
        <v>6777</v>
      </c>
      <c r="D3146" t="s">
        <v>2929</v>
      </c>
      <c r="E3146" t="s">
        <v>157</v>
      </c>
    </row>
    <row r="3147" spans="1:5">
      <c r="A3147">
        <v>3145</v>
      </c>
      <c r="B3147" t="s">
        <v>3241</v>
      </c>
      <c r="C3147" t="s">
        <v>6778</v>
      </c>
      <c r="D3147" t="s">
        <v>2929</v>
      </c>
      <c r="E3147" t="s">
        <v>157</v>
      </c>
    </row>
    <row r="3148" spans="1:5">
      <c r="A3148">
        <v>3146</v>
      </c>
      <c r="B3148" t="s">
        <v>3242</v>
      </c>
      <c r="C3148" t="s">
        <v>6779</v>
      </c>
      <c r="D3148" t="s">
        <v>2929</v>
      </c>
      <c r="E3148" t="s">
        <v>157</v>
      </c>
    </row>
    <row r="3149" spans="1:5">
      <c r="A3149">
        <v>3147</v>
      </c>
      <c r="B3149" t="s">
        <v>3243</v>
      </c>
      <c r="C3149" t="s">
        <v>6780</v>
      </c>
      <c r="D3149" t="s">
        <v>2929</v>
      </c>
      <c r="E3149" t="s">
        <v>157</v>
      </c>
    </row>
    <row r="3150" spans="1:5">
      <c r="A3150">
        <v>3148</v>
      </c>
      <c r="B3150" t="s">
        <v>3244</v>
      </c>
      <c r="C3150" t="s">
        <v>6781</v>
      </c>
      <c r="D3150" t="s">
        <v>2929</v>
      </c>
      <c r="E3150" t="s">
        <v>157</v>
      </c>
    </row>
    <row r="3151" spans="1:5">
      <c r="A3151">
        <v>3149</v>
      </c>
      <c r="B3151" t="s">
        <v>3245</v>
      </c>
      <c r="C3151" t="s">
        <v>6782</v>
      </c>
      <c r="D3151" t="s">
        <v>2929</v>
      </c>
      <c r="E3151" t="s">
        <v>157</v>
      </c>
    </row>
    <row r="3152" spans="1:5">
      <c r="A3152">
        <v>3150</v>
      </c>
      <c r="B3152" t="s">
        <v>3246</v>
      </c>
      <c r="C3152" t="s">
        <v>6783</v>
      </c>
      <c r="D3152" t="s">
        <v>2929</v>
      </c>
      <c r="E3152" t="s">
        <v>157</v>
      </c>
    </row>
    <row r="3153" spans="1:5">
      <c r="A3153">
        <v>3151</v>
      </c>
      <c r="B3153" t="s">
        <v>3247</v>
      </c>
      <c r="C3153" t="s">
        <v>6784</v>
      </c>
      <c r="D3153" t="s">
        <v>2929</v>
      </c>
      <c r="E3153" t="s">
        <v>157</v>
      </c>
    </row>
    <row r="3154" spans="1:5">
      <c r="A3154">
        <v>3152</v>
      </c>
      <c r="B3154" t="s">
        <v>3248</v>
      </c>
      <c r="C3154" t="s">
        <v>6785</v>
      </c>
      <c r="D3154" t="s">
        <v>2929</v>
      </c>
      <c r="E3154" t="s">
        <v>157</v>
      </c>
    </row>
    <row r="3155" spans="1:5">
      <c r="A3155">
        <v>3153</v>
      </c>
      <c r="B3155" t="s">
        <v>3249</v>
      </c>
      <c r="C3155" t="s">
        <v>6786</v>
      </c>
      <c r="D3155" t="s">
        <v>2929</v>
      </c>
      <c r="E3155" t="s">
        <v>157</v>
      </c>
    </row>
    <row r="3156" spans="1:5">
      <c r="A3156">
        <v>3154</v>
      </c>
      <c r="B3156" t="s">
        <v>3250</v>
      </c>
      <c r="C3156" t="s">
        <v>6787</v>
      </c>
      <c r="D3156" t="s">
        <v>2929</v>
      </c>
      <c r="E3156" t="s">
        <v>157</v>
      </c>
    </row>
    <row r="3157" spans="1:5">
      <c r="A3157">
        <v>3155</v>
      </c>
      <c r="B3157" t="s">
        <v>3251</v>
      </c>
      <c r="C3157" t="s">
        <v>6788</v>
      </c>
      <c r="D3157" t="s">
        <v>2929</v>
      </c>
      <c r="E3157" t="s">
        <v>157</v>
      </c>
    </row>
    <row r="3158" spans="1:5">
      <c r="A3158">
        <v>3156</v>
      </c>
      <c r="B3158" t="s">
        <v>3252</v>
      </c>
      <c r="C3158" t="s">
        <v>6789</v>
      </c>
      <c r="D3158" t="s">
        <v>2929</v>
      </c>
      <c r="E3158" t="s">
        <v>157</v>
      </c>
    </row>
    <row r="3159" spans="1:5">
      <c r="A3159">
        <v>3157</v>
      </c>
      <c r="B3159" t="s">
        <v>3253</v>
      </c>
      <c r="C3159" t="s">
        <v>6790</v>
      </c>
      <c r="D3159" t="s">
        <v>2929</v>
      </c>
      <c r="E3159" t="s">
        <v>157</v>
      </c>
    </row>
    <row r="3160" spans="1:5">
      <c r="A3160">
        <v>3158</v>
      </c>
      <c r="B3160" t="s">
        <v>3254</v>
      </c>
      <c r="C3160" t="s">
        <v>6791</v>
      </c>
      <c r="D3160" t="s">
        <v>2929</v>
      </c>
      <c r="E3160" t="s">
        <v>157</v>
      </c>
    </row>
    <row r="3161" spans="1:5">
      <c r="A3161">
        <v>3159</v>
      </c>
      <c r="B3161" t="s">
        <v>3255</v>
      </c>
      <c r="C3161" t="s">
        <v>6792</v>
      </c>
      <c r="D3161" t="s">
        <v>2929</v>
      </c>
      <c r="E3161" t="s">
        <v>157</v>
      </c>
    </row>
    <row r="3162" spans="1:5">
      <c r="A3162">
        <v>3160</v>
      </c>
      <c r="B3162" t="s">
        <v>3256</v>
      </c>
      <c r="C3162" t="s">
        <v>6793</v>
      </c>
      <c r="D3162" t="s">
        <v>2929</v>
      </c>
      <c r="E3162" t="s">
        <v>157</v>
      </c>
    </row>
    <row r="3163" spans="1:5">
      <c r="A3163">
        <v>3161</v>
      </c>
      <c r="B3163" t="s">
        <v>3257</v>
      </c>
      <c r="C3163" t="s">
        <v>6794</v>
      </c>
      <c r="D3163" t="s">
        <v>2929</v>
      </c>
      <c r="E3163" t="s">
        <v>157</v>
      </c>
    </row>
    <row r="3164" spans="1:5">
      <c r="A3164">
        <v>3162</v>
      </c>
      <c r="B3164" t="s">
        <v>3258</v>
      </c>
      <c r="C3164" t="s">
        <v>6795</v>
      </c>
      <c r="D3164" t="s">
        <v>2929</v>
      </c>
      <c r="E3164" t="s">
        <v>157</v>
      </c>
    </row>
    <row r="3165" spans="1:5">
      <c r="A3165">
        <v>3163</v>
      </c>
      <c r="B3165" t="s">
        <v>3259</v>
      </c>
      <c r="C3165" t="s">
        <v>6796</v>
      </c>
      <c r="D3165" t="s">
        <v>2929</v>
      </c>
      <c r="E3165" t="s">
        <v>157</v>
      </c>
    </row>
    <row r="3166" spans="1:5">
      <c r="A3166">
        <v>3164</v>
      </c>
      <c r="B3166" t="s">
        <v>3260</v>
      </c>
      <c r="C3166" t="s">
        <v>6797</v>
      </c>
      <c r="D3166" t="s">
        <v>2929</v>
      </c>
      <c r="E3166" t="s">
        <v>157</v>
      </c>
    </row>
    <row r="3167" spans="1:5">
      <c r="A3167">
        <v>3165</v>
      </c>
      <c r="B3167" t="s">
        <v>3261</v>
      </c>
      <c r="C3167" t="s">
        <v>6798</v>
      </c>
      <c r="D3167" t="s">
        <v>2929</v>
      </c>
      <c r="E3167" t="s">
        <v>157</v>
      </c>
    </row>
    <row r="3168" spans="1:5">
      <c r="A3168">
        <v>3166</v>
      </c>
      <c r="B3168" t="s">
        <v>3262</v>
      </c>
      <c r="C3168" t="s">
        <v>6799</v>
      </c>
      <c r="D3168" t="s">
        <v>2929</v>
      </c>
      <c r="E3168" t="s">
        <v>157</v>
      </c>
    </row>
    <row r="3169" spans="1:5">
      <c r="A3169">
        <v>3167</v>
      </c>
      <c r="B3169" t="s">
        <v>3263</v>
      </c>
      <c r="C3169" t="s">
        <v>6800</v>
      </c>
      <c r="D3169" t="s">
        <v>2929</v>
      </c>
      <c r="E3169" t="s">
        <v>157</v>
      </c>
    </row>
    <row r="3170" spans="1:5">
      <c r="A3170">
        <v>3168</v>
      </c>
      <c r="B3170" t="s">
        <v>3264</v>
      </c>
      <c r="C3170" t="s">
        <v>6801</v>
      </c>
      <c r="D3170" t="s">
        <v>2929</v>
      </c>
      <c r="E3170" t="s">
        <v>157</v>
      </c>
    </row>
    <row r="3171" spans="1:5">
      <c r="A3171">
        <v>3169</v>
      </c>
      <c r="B3171" t="s">
        <v>3265</v>
      </c>
      <c r="C3171" t="s">
        <v>6802</v>
      </c>
      <c r="D3171" t="s">
        <v>2929</v>
      </c>
      <c r="E3171" t="s">
        <v>157</v>
      </c>
    </row>
    <row r="3172" spans="1:5">
      <c r="A3172">
        <v>3170</v>
      </c>
      <c r="B3172" t="s">
        <v>3266</v>
      </c>
      <c r="C3172" t="s">
        <v>6803</v>
      </c>
      <c r="D3172" t="s">
        <v>2929</v>
      </c>
      <c r="E3172" t="s">
        <v>157</v>
      </c>
    </row>
    <row r="3173" spans="1:5">
      <c r="A3173">
        <v>3171</v>
      </c>
      <c r="B3173" t="s">
        <v>3267</v>
      </c>
      <c r="C3173" t="s">
        <v>6804</v>
      </c>
      <c r="D3173" t="s">
        <v>2929</v>
      </c>
      <c r="E3173" t="s">
        <v>157</v>
      </c>
    </row>
    <row r="3174" spans="1:5">
      <c r="A3174">
        <v>3172</v>
      </c>
      <c r="B3174" t="s">
        <v>3268</v>
      </c>
      <c r="C3174" t="s">
        <v>6805</v>
      </c>
      <c r="D3174" t="s">
        <v>2929</v>
      </c>
      <c r="E3174" t="s">
        <v>157</v>
      </c>
    </row>
    <row r="3175" spans="1:5">
      <c r="A3175">
        <v>3173</v>
      </c>
      <c r="B3175" t="s">
        <v>3269</v>
      </c>
      <c r="C3175" t="s">
        <v>6806</v>
      </c>
      <c r="D3175" t="s">
        <v>2929</v>
      </c>
      <c r="E3175" t="s">
        <v>157</v>
      </c>
    </row>
    <row r="3176" spans="1:5">
      <c r="A3176">
        <v>3174</v>
      </c>
      <c r="B3176" t="s">
        <v>3270</v>
      </c>
      <c r="C3176" t="s">
        <v>6807</v>
      </c>
      <c r="D3176" t="s">
        <v>2929</v>
      </c>
      <c r="E3176" t="s">
        <v>157</v>
      </c>
    </row>
    <row r="3177" spans="1:5">
      <c r="A3177">
        <v>3175</v>
      </c>
      <c r="B3177" t="s">
        <v>3271</v>
      </c>
      <c r="C3177" t="s">
        <v>6808</v>
      </c>
      <c r="D3177" t="s">
        <v>2929</v>
      </c>
      <c r="E3177" t="s">
        <v>157</v>
      </c>
    </row>
    <row r="3178" spans="1:5">
      <c r="A3178">
        <v>3176</v>
      </c>
      <c r="B3178" t="s">
        <v>3272</v>
      </c>
      <c r="C3178" t="s">
        <v>7398</v>
      </c>
      <c r="D3178" t="s">
        <v>2929</v>
      </c>
      <c r="E3178" t="s">
        <v>157</v>
      </c>
    </row>
    <row r="3179" spans="1:5">
      <c r="A3179">
        <v>3177</v>
      </c>
      <c r="B3179" t="s">
        <v>3273</v>
      </c>
      <c r="C3179" t="s">
        <v>6809</v>
      </c>
      <c r="D3179" t="s">
        <v>2929</v>
      </c>
      <c r="E3179" t="s">
        <v>157</v>
      </c>
    </row>
    <row r="3180" spans="1:5">
      <c r="A3180">
        <v>3178</v>
      </c>
      <c r="B3180" t="s">
        <v>3274</v>
      </c>
      <c r="C3180" t="s">
        <v>6810</v>
      </c>
      <c r="D3180" t="s">
        <v>2929</v>
      </c>
      <c r="E3180" t="s">
        <v>157</v>
      </c>
    </row>
    <row r="3181" spans="1:5">
      <c r="A3181">
        <v>3179</v>
      </c>
      <c r="B3181" t="s">
        <v>3275</v>
      </c>
      <c r="C3181" t="s">
        <v>6811</v>
      </c>
      <c r="D3181" t="s">
        <v>2929</v>
      </c>
      <c r="E3181" t="s">
        <v>157</v>
      </c>
    </row>
    <row r="3182" spans="1:5">
      <c r="A3182">
        <v>3180</v>
      </c>
      <c r="B3182" t="s">
        <v>3276</v>
      </c>
      <c r="C3182" t="s">
        <v>6812</v>
      </c>
      <c r="D3182" t="s">
        <v>2929</v>
      </c>
      <c r="E3182" t="s">
        <v>157</v>
      </c>
    </row>
    <row r="3183" spans="1:5">
      <c r="A3183">
        <v>3181</v>
      </c>
      <c r="B3183" t="s">
        <v>3277</v>
      </c>
      <c r="C3183" t="s">
        <v>6813</v>
      </c>
      <c r="D3183" t="s">
        <v>2929</v>
      </c>
      <c r="E3183" t="s">
        <v>157</v>
      </c>
    </row>
    <row r="3184" spans="1:5">
      <c r="A3184">
        <v>3182</v>
      </c>
      <c r="B3184" t="s">
        <v>3278</v>
      </c>
      <c r="C3184" t="s">
        <v>6814</v>
      </c>
      <c r="D3184" t="s">
        <v>2929</v>
      </c>
      <c r="E3184" t="s">
        <v>157</v>
      </c>
    </row>
    <row r="3185" spans="1:5">
      <c r="A3185">
        <v>3183</v>
      </c>
      <c r="B3185" t="s">
        <v>3279</v>
      </c>
      <c r="C3185" t="s">
        <v>6815</v>
      </c>
      <c r="D3185" t="s">
        <v>2929</v>
      </c>
      <c r="E3185" t="s">
        <v>157</v>
      </c>
    </row>
    <row r="3186" spans="1:5">
      <c r="A3186">
        <v>3184</v>
      </c>
      <c r="B3186" t="s">
        <v>3280</v>
      </c>
      <c r="C3186" t="s">
        <v>6816</v>
      </c>
      <c r="D3186" t="s">
        <v>2929</v>
      </c>
      <c r="E3186" t="s">
        <v>157</v>
      </c>
    </row>
    <row r="3187" spans="1:5">
      <c r="A3187">
        <v>3185</v>
      </c>
      <c r="B3187" t="s">
        <v>3281</v>
      </c>
      <c r="C3187" t="s">
        <v>6817</v>
      </c>
      <c r="D3187" t="s">
        <v>2929</v>
      </c>
      <c r="E3187" t="s">
        <v>157</v>
      </c>
    </row>
    <row r="3188" spans="1:5">
      <c r="A3188">
        <v>3186</v>
      </c>
      <c r="B3188" t="s">
        <v>3282</v>
      </c>
      <c r="C3188" t="s">
        <v>6818</v>
      </c>
      <c r="D3188" t="s">
        <v>2929</v>
      </c>
      <c r="E3188" t="s">
        <v>157</v>
      </c>
    </row>
    <row r="3189" spans="1:5">
      <c r="A3189">
        <v>3187</v>
      </c>
      <c r="B3189" t="s">
        <v>3283</v>
      </c>
      <c r="C3189" t="s">
        <v>6819</v>
      </c>
      <c r="D3189" t="s">
        <v>2929</v>
      </c>
      <c r="E3189" t="s">
        <v>157</v>
      </c>
    </row>
    <row r="3190" spans="1:5">
      <c r="A3190">
        <v>3188</v>
      </c>
      <c r="B3190" t="s">
        <v>3284</v>
      </c>
      <c r="C3190" t="s">
        <v>6820</v>
      </c>
      <c r="D3190" t="s">
        <v>2929</v>
      </c>
      <c r="E3190" t="s">
        <v>157</v>
      </c>
    </row>
    <row r="3191" spans="1:5">
      <c r="A3191">
        <v>3189</v>
      </c>
      <c r="B3191" t="s">
        <v>3285</v>
      </c>
      <c r="C3191" t="s">
        <v>6821</v>
      </c>
      <c r="D3191" t="s">
        <v>2929</v>
      </c>
      <c r="E3191" t="s">
        <v>157</v>
      </c>
    </row>
    <row r="3192" spans="1:5">
      <c r="A3192">
        <v>3190</v>
      </c>
      <c r="B3192" t="s">
        <v>3286</v>
      </c>
      <c r="C3192" t="s">
        <v>6822</v>
      </c>
      <c r="D3192" t="s">
        <v>2929</v>
      </c>
      <c r="E3192" t="s">
        <v>157</v>
      </c>
    </row>
    <row r="3193" spans="1:5">
      <c r="A3193">
        <v>3191</v>
      </c>
      <c r="B3193" t="s">
        <v>3287</v>
      </c>
      <c r="C3193" t="s">
        <v>6823</v>
      </c>
      <c r="D3193" t="s">
        <v>2929</v>
      </c>
      <c r="E3193" t="s">
        <v>157</v>
      </c>
    </row>
    <row r="3194" spans="1:5">
      <c r="A3194">
        <v>3192</v>
      </c>
      <c r="B3194" t="s">
        <v>3288</v>
      </c>
      <c r="C3194" t="s">
        <v>6824</v>
      </c>
      <c r="D3194" t="s">
        <v>2929</v>
      </c>
      <c r="E3194" t="s">
        <v>157</v>
      </c>
    </row>
    <row r="3195" spans="1:5">
      <c r="A3195">
        <v>3193</v>
      </c>
      <c r="B3195" t="s">
        <v>3289</v>
      </c>
      <c r="C3195" t="s">
        <v>6825</v>
      </c>
      <c r="D3195" t="s">
        <v>2929</v>
      </c>
      <c r="E3195" t="s">
        <v>157</v>
      </c>
    </row>
    <row r="3196" spans="1:5">
      <c r="A3196">
        <v>3194</v>
      </c>
      <c r="B3196" t="s">
        <v>3290</v>
      </c>
      <c r="C3196" t="s">
        <v>6826</v>
      </c>
      <c r="D3196" t="s">
        <v>2929</v>
      </c>
      <c r="E3196" t="s">
        <v>157</v>
      </c>
    </row>
    <row r="3197" spans="1:5">
      <c r="A3197">
        <v>3195</v>
      </c>
      <c r="B3197" t="s">
        <v>1329</v>
      </c>
      <c r="C3197" t="s">
        <v>4890</v>
      </c>
      <c r="D3197" t="s">
        <v>2929</v>
      </c>
      <c r="E3197" t="s">
        <v>157</v>
      </c>
    </row>
    <row r="3198" spans="1:5">
      <c r="A3198">
        <v>3196</v>
      </c>
      <c r="B3198" t="s">
        <v>3291</v>
      </c>
      <c r="C3198" t="s">
        <v>6827</v>
      </c>
      <c r="D3198" t="s">
        <v>2929</v>
      </c>
      <c r="E3198" t="s">
        <v>157</v>
      </c>
    </row>
    <row r="3199" spans="1:5">
      <c r="A3199">
        <v>3197</v>
      </c>
      <c r="B3199" t="s">
        <v>3292</v>
      </c>
      <c r="C3199" t="s">
        <v>6828</v>
      </c>
      <c r="D3199" t="s">
        <v>2929</v>
      </c>
      <c r="E3199" t="s">
        <v>157</v>
      </c>
    </row>
    <row r="3200" spans="1:5">
      <c r="A3200">
        <v>3198</v>
      </c>
      <c r="B3200" t="s">
        <v>3293</v>
      </c>
      <c r="C3200" t="s">
        <v>6829</v>
      </c>
      <c r="D3200" t="s">
        <v>2929</v>
      </c>
      <c r="E3200" t="s">
        <v>157</v>
      </c>
    </row>
    <row r="3201" spans="1:5">
      <c r="A3201">
        <v>3199</v>
      </c>
      <c r="B3201" t="s">
        <v>3294</v>
      </c>
      <c r="C3201" t="s">
        <v>6830</v>
      </c>
      <c r="D3201" t="s">
        <v>2929</v>
      </c>
      <c r="E3201" t="s">
        <v>157</v>
      </c>
    </row>
    <row r="3202" spans="1:5">
      <c r="A3202">
        <v>3200</v>
      </c>
      <c r="B3202" t="s">
        <v>3295</v>
      </c>
      <c r="C3202" t="s">
        <v>6831</v>
      </c>
      <c r="D3202" t="s">
        <v>2929</v>
      </c>
      <c r="E3202" t="s">
        <v>157</v>
      </c>
    </row>
    <row r="3203" spans="1:5">
      <c r="A3203">
        <v>3201</v>
      </c>
      <c r="B3203" t="s">
        <v>3296</v>
      </c>
      <c r="C3203" t="s">
        <v>6832</v>
      </c>
      <c r="D3203" t="s">
        <v>2929</v>
      </c>
      <c r="E3203" t="s">
        <v>157</v>
      </c>
    </row>
    <row r="3204" spans="1:5">
      <c r="A3204">
        <v>3202</v>
      </c>
      <c r="B3204" t="s">
        <v>3297</v>
      </c>
      <c r="C3204" t="s">
        <v>6833</v>
      </c>
      <c r="D3204" t="s">
        <v>2929</v>
      </c>
      <c r="E3204" t="s">
        <v>157</v>
      </c>
    </row>
    <row r="3205" spans="1:5">
      <c r="A3205">
        <v>3203</v>
      </c>
      <c r="B3205" t="s">
        <v>3298</v>
      </c>
      <c r="C3205" t="s">
        <v>6834</v>
      </c>
      <c r="D3205" t="s">
        <v>2929</v>
      </c>
      <c r="E3205" t="s">
        <v>157</v>
      </c>
    </row>
    <row r="3206" spans="1:5">
      <c r="A3206">
        <v>3204</v>
      </c>
      <c r="B3206" t="s">
        <v>3299</v>
      </c>
      <c r="C3206" t="s">
        <v>6835</v>
      </c>
      <c r="D3206" t="s">
        <v>2929</v>
      </c>
      <c r="E3206" t="s">
        <v>157</v>
      </c>
    </row>
    <row r="3207" spans="1:5">
      <c r="A3207">
        <v>3205</v>
      </c>
      <c r="B3207" t="s">
        <v>3300</v>
      </c>
      <c r="C3207" t="s">
        <v>6836</v>
      </c>
      <c r="D3207" t="s">
        <v>2929</v>
      </c>
      <c r="E3207" t="s">
        <v>157</v>
      </c>
    </row>
    <row r="3208" spans="1:5">
      <c r="A3208">
        <v>3206</v>
      </c>
      <c r="B3208" t="s">
        <v>3301</v>
      </c>
      <c r="C3208" t="s">
        <v>6837</v>
      </c>
      <c r="D3208" t="s">
        <v>2929</v>
      </c>
      <c r="E3208" t="s">
        <v>157</v>
      </c>
    </row>
    <row r="3209" spans="1:5">
      <c r="A3209">
        <v>3207</v>
      </c>
      <c r="B3209" t="s">
        <v>3302</v>
      </c>
      <c r="C3209" t="s">
        <v>6838</v>
      </c>
      <c r="D3209" t="s">
        <v>2929</v>
      </c>
      <c r="E3209" t="s">
        <v>157</v>
      </c>
    </row>
    <row r="3210" spans="1:5">
      <c r="A3210">
        <v>3208</v>
      </c>
      <c r="B3210" t="s">
        <v>3303</v>
      </c>
      <c r="C3210" t="s">
        <v>6839</v>
      </c>
      <c r="D3210" t="s">
        <v>2929</v>
      </c>
      <c r="E3210" t="s">
        <v>157</v>
      </c>
    </row>
    <row r="3211" spans="1:5">
      <c r="A3211">
        <v>3209</v>
      </c>
      <c r="B3211" t="s">
        <v>3304</v>
      </c>
      <c r="C3211" t="s">
        <v>6840</v>
      </c>
      <c r="D3211" t="s">
        <v>2929</v>
      </c>
      <c r="E3211" t="s">
        <v>157</v>
      </c>
    </row>
    <row r="3212" spans="1:5">
      <c r="A3212">
        <v>3210</v>
      </c>
      <c r="B3212" t="s">
        <v>3305</v>
      </c>
      <c r="C3212" t="s">
        <v>6841</v>
      </c>
      <c r="D3212" t="s">
        <v>2929</v>
      </c>
      <c r="E3212" t="s">
        <v>157</v>
      </c>
    </row>
    <row r="3213" spans="1:5">
      <c r="A3213">
        <v>3211</v>
      </c>
      <c r="B3213" t="s">
        <v>3306</v>
      </c>
      <c r="C3213" t="s">
        <v>6842</v>
      </c>
      <c r="D3213" t="s">
        <v>2929</v>
      </c>
      <c r="E3213" t="s">
        <v>157</v>
      </c>
    </row>
    <row r="3214" spans="1:5">
      <c r="A3214">
        <v>3212</v>
      </c>
      <c r="B3214" t="s">
        <v>3307</v>
      </c>
      <c r="C3214" t="s">
        <v>6843</v>
      </c>
      <c r="D3214" t="s">
        <v>2929</v>
      </c>
      <c r="E3214" t="s">
        <v>157</v>
      </c>
    </row>
    <row r="3215" spans="1:5">
      <c r="A3215">
        <v>3213</v>
      </c>
      <c r="B3215" t="s">
        <v>3308</v>
      </c>
      <c r="C3215" t="s">
        <v>6844</v>
      </c>
      <c r="D3215" t="s">
        <v>2929</v>
      </c>
      <c r="E3215" t="s">
        <v>157</v>
      </c>
    </row>
    <row r="3216" spans="1:5">
      <c r="A3216">
        <v>3214</v>
      </c>
      <c r="B3216" t="s">
        <v>3309</v>
      </c>
      <c r="C3216" t="s">
        <v>6845</v>
      </c>
      <c r="D3216" t="s">
        <v>2929</v>
      </c>
      <c r="E3216" t="s">
        <v>157</v>
      </c>
    </row>
    <row r="3217" spans="1:5">
      <c r="A3217">
        <v>3215</v>
      </c>
      <c r="B3217" t="s">
        <v>3310</v>
      </c>
      <c r="C3217" t="s">
        <v>6846</v>
      </c>
      <c r="D3217" t="s">
        <v>2929</v>
      </c>
      <c r="E3217" t="s">
        <v>157</v>
      </c>
    </row>
    <row r="3218" spans="1:5">
      <c r="A3218">
        <v>3216</v>
      </c>
      <c r="B3218" t="s">
        <v>3311</v>
      </c>
      <c r="C3218" t="s">
        <v>6847</v>
      </c>
      <c r="D3218" t="s">
        <v>2929</v>
      </c>
      <c r="E3218" t="s">
        <v>157</v>
      </c>
    </row>
    <row r="3219" spans="1:5">
      <c r="A3219">
        <v>3217</v>
      </c>
      <c r="B3219" t="s">
        <v>3312</v>
      </c>
      <c r="C3219" t="s">
        <v>6848</v>
      </c>
      <c r="D3219" t="s">
        <v>2929</v>
      </c>
      <c r="E3219" t="s">
        <v>157</v>
      </c>
    </row>
    <row r="3220" spans="1:5">
      <c r="A3220">
        <v>3218</v>
      </c>
      <c r="B3220" t="s">
        <v>3313</v>
      </c>
      <c r="C3220" t="s">
        <v>6849</v>
      </c>
      <c r="D3220" t="s">
        <v>2929</v>
      </c>
      <c r="E3220" t="s">
        <v>157</v>
      </c>
    </row>
    <row r="3221" spans="1:5">
      <c r="A3221">
        <v>3219</v>
      </c>
      <c r="B3221" t="s">
        <v>3314</v>
      </c>
      <c r="C3221" t="s">
        <v>6850</v>
      </c>
      <c r="D3221" t="s">
        <v>2929</v>
      </c>
      <c r="E3221" t="s">
        <v>157</v>
      </c>
    </row>
    <row r="3222" spans="1:5">
      <c r="A3222">
        <v>3220</v>
      </c>
      <c r="B3222" t="s">
        <v>3315</v>
      </c>
      <c r="C3222" t="s">
        <v>6851</v>
      </c>
      <c r="D3222" t="s">
        <v>2929</v>
      </c>
      <c r="E3222" t="s">
        <v>157</v>
      </c>
    </row>
    <row r="3223" spans="1:5">
      <c r="A3223">
        <v>3221</v>
      </c>
      <c r="B3223" t="s">
        <v>3316</v>
      </c>
      <c r="C3223" t="s">
        <v>6852</v>
      </c>
      <c r="D3223" t="s">
        <v>2929</v>
      </c>
      <c r="E3223" t="s">
        <v>157</v>
      </c>
    </row>
    <row r="3224" spans="1:5">
      <c r="A3224">
        <v>3222</v>
      </c>
      <c r="B3224" t="s">
        <v>3317</v>
      </c>
      <c r="C3224" t="s">
        <v>6853</v>
      </c>
      <c r="D3224" t="s">
        <v>2929</v>
      </c>
      <c r="E3224" t="s">
        <v>157</v>
      </c>
    </row>
    <row r="3225" spans="1:5">
      <c r="A3225">
        <v>3223</v>
      </c>
      <c r="B3225" t="s">
        <v>3318</v>
      </c>
      <c r="C3225" t="s">
        <v>6854</v>
      </c>
      <c r="D3225" t="s">
        <v>2929</v>
      </c>
      <c r="E3225" t="s">
        <v>157</v>
      </c>
    </row>
    <row r="3226" spans="1:5">
      <c r="A3226">
        <v>3224</v>
      </c>
      <c r="B3226" t="s">
        <v>3319</v>
      </c>
      <c r="C3226" t="s">
        <v>6855</v>
      </c>
      <c r="D3226" t="s">
        <v>2929</v>
      </c>
      <c r="E3226" t="s">
        <v>157</v>
      </c>
    </row>
    <row r="3227" spans="1:5">
      <c r="A3227">
        <v>3225</v>
      </c>
      <c r="B3227" t="s">
        <v>3320</v>
      </c>
      <c r="C3227" t="s">
        <v>6856</v>
      </c>
      <c r="D3227" t="s">
        <v>2929</v>
      </c>
      <c r="E3227" t="s">
        <v>157</v>
      </c>
    </row>
    <row r="3228" spans="1:5">
      <c r="A3228">
        <v>3226</v>
      </c>
      <c r="B3228" t="s">
        <v>3321</v>
      </c>
      <c r="C3228" t="s">
        <v>6857</v>
      </c>
      <c r="D3228" t="s">
        <v>2929</v>
      </c>
      <c r="E3228" t="s">
        <v>157</v>
      </c>
    </row>
    <row r="3229" spans="1:5">
      <c r="A3229">
        <v>3227</v>
      </c>
      <c r="B3229" t="s">
        <v>3322</v>
      </c>
      <c r="C3229" t="s">
        <v>6858</v>
      </c>
      <c r="D3229" t="s">
        <v>2929</v>
      </c>
      <c r="E3229" t="s">
        <v>157</v>
      </c>
    </row>
    <row r="3230" spans="1:5">
      <c r="A3230">
        <v>3228</v>
      </c>
      <c r="B3230" t="s">
        <v>3323</v>
      </c>
      <c r="C3230" t="s">
        <v>6859</v>
      </c>
      <c r="D3230" t="s">
        <v>2929</v>
      </c>
      <c r="E3230" t="s">
        <v>157</v>
      </c>
    </row>
    <row r="3231" spans="1:5">
      <c r="A3231">
        <v>3229</v>
      </c>
      <c r="B3231" t="s">
        <v>3324</v>
      </c>
      <c r="C3231" t="s">
        <v>6860</v>
      </c>
      <c r="D3231" t="s">
        <v>2929</v>
      </c>
      <c r="E3231" t="s">
        <v>157</v>
      </c>
    </row>
    <row r="3232" spans="1:5">
      <c r="A3232">
        <v>3230</v>
      </c>
      <c r="B3232" t="s">
        <v>3325</v>
      </c>
      <c r="C3232" t="s">
        <v>6861</v>
      </c>
      <c r="D3232" t="s">
        <v>2929</v>
      </c>
      <c r="E3232" t="s">
        <v>157</v>
      </c>
    </row>
    <row r="3233" spans="1:5">
      <c r="A3233">
        <v>3231</v>
      </c>
      <c r="B3233" t="s">
        <v>3326</v>
      </c>
      <c r="C3233" t="s">
        <v>6862</v>
      </c>
      <c r="D3233" t="s">
        <v>2929</v>
      </c>
      <c r="E3233" t="s">
        <v>157</v>
      </c>
    </row>
    <row r="3234" spans="1:5">
      <c r="A3234">
        <v>3232</v>
      </c>
      <c r="B3234" t="s">
        <v>3327</v>
      </c>
      <c r="C3234" t="s">
        <v>6863</v>
      </c>
      <c r="D3234" t="s">
        <v>2929</v>
      </c>
      <c r="E3234" t="s">
        <v>157</v>
      </c>
    </row>
    <row r="3235" spans="1:5">
      <c r="A3235">
        <v>3233</v>
      </c>
      <c r="B3235" t="s">
        <v>3328</v>
      </c>
      <c r="C3235" t="s">
        <v>6864</v>
      </c>
      <c r="D3235" t="s">
        <v>2929</v>
      </c>
      <c r="E3235" t="s">
        <v>157</v>
      </c>
    </row>
    <row r="3236" spans="1:5">
      <c r="A3236">
        <v>3234</v>
      </c>
      <c r="B3236" t="s">
        <v>3329</v>
      </c>
      <c r="C3236" t="s">
        <v>6865</v>
      </c>
      <c r="D3236" t="s">
        <v>2929</v>
      </c>
      <c r="E3236" t="s">
        <v>157</v>
      </c>
    </row>
    <row r="3237" spans="1:5">
      <c r="A3237">
        <v>3235</v>
      </c>
      <c r="B3237" t="s">
        <v>3330</v>
      </c>
      <c r="C3237" t="s">
        <v>6866</v>
      </c>
      <c r="D3237" t="s">
        <v>2929</v>
      </c>
      <c r="E3237" t="s">
        <v>157</v>
      </c>
    </row>
    <row r="3238" spans="1:5">
      <c r="A3238">
        <v>3236</v>
      </c>
      <c r="B3238" t="s">
        <v>3331</v>
      </c>
      <c r="C3238" t="s">
        <v>6867</v>
      </c>
      <c r="D3238" t="s">
        <v>2929</v>
      </c>
      <c r="E3238" t="s">
        <v>157</v>
      </c>
    </row>
    <row r="3239" spans="1:5">
      <c r="A3239">
        <v>3237</v>
      </c>
      <c r="B3239" t="s">
        <v>3332</v>
      </c>
      <c r="C3239" t="s">
        <v>6868</v>
      </c>
      <c r="D3239" t="s">
        <v>2929</v>
      </c>
      <c r="E3239" t="s">
        <v>157</v>
      </c>
    </row>
    <row r="3240" spans="1:5">
      <c r="A3240">
        <v>3238</v>
      </c>
      <c r="B3240" t="s">
        <v>3333</v>
      </c>
      <c r="C3240" t="s">
        <v>6869</v>
      </c>
      <c r="D3240" t="s">
        <v>2929</v>
      </c>
      <c r="E3240" t="s">
        <v>157</v>
      </c>
    </row>
    <row r="3241" spans="1:5">
      <c r="A3241">
        <v>3239</v>
      </c>
      <c r="B3241" t="s">
        <v>3334</v>
      </c>
      <c r="C3241" t="s">
        <v>6870</v>
      </c>
      <c r="D3241" t="s">
        <v>2929</v>
      </c>
      <c r="E3241" t="s">
        <v>157</v>
      </c>
    </row>
    <row r="3242" spans="1:5">
      <c r="A3242">
        <v>3240</v>
      </c>
      <c r="B3242" t="s">
        <v>3335</v>
      </c>
      <c r="C3242" t="s">
        <v>6871</v>
      </c>
      <c r="D3242" t="s">
        <v>2929</v>
      </c>
      <c r="E3242" t="s">
        <v>157</v>
      </c>
    </row>
    <row r="3243" spans="1:5">
      <c r="A3243">
        <v>3241</v>
      </c>
      <c r="B3243" t="s">
        <v>3336</v>
      </c>
      <c r="C3243" t="s">
        <v>6872</v>
      </c>
      <c r="D3243" t="s">
        <v>2929</v>
      </c>
      <c r="E3243" t="s">
        <v>157</v>
      </c>
    </row>
    <row r="3244" spans="1:5">
      <c r="A3244">
        <v>3242</v>
      </c>
      <c r="B3244" t="s">
        <v>3337</v>
      </c>
      <c r="C3244" t="s">
        <v>6873</v>
      </c>
      <c r="D3244" t="s">
        <v>2929</v>
      </c>
      <c r="E3244" t="s">
        <v>157</v>
      </c>
    </row>
    <row r="3245" spans="1:5">
      <c r="A3245">
        <v>3243</v>
      </c>
      <c r="B3245" t="s">
        <v>3338</v>
      </c>
      <c r="C3245" t="s">
        <v>6874</v>
      </c>
      <c r="D3245" t="s">
        <v>2929</v>
      </c>
      <c r="E3245" t="s">
        <v>157</v>
      </c>
    </row>
    <row r="3246" spans="1:5">
      <c r="A3246">
        <v>3244</v>
      </c>
      <c r="B3246" t="s">
        <v>3339</v>
      </c>
      <c r="C3246" t="s">
        <v>6875</v>
      </c>
      <c r="D3246" t="s">
        <v>2929</v>
      </c>
      <c r="E3246" t="s">
        <v>157</v>
      </c>
    </row>
    <row r="3247" spans="1:5">
      <c r="A3247">
        <v>3245</v>
      </c>
      <c r="B3247" t="s">
        <v>3340</v>
      </c>
      <c r="C3247" t="s">
        <v>6876</v>
      </c>
      <c r="D3247" t="s">
        <v>2929</v>
      </c>
      <c r="E3247" t="s">
        <v>157</v>
      </c>
    </row>
    <row r="3248" spans="1:5">
      <c r="A3248">
        <v>3246</v>
      </c>
      <c r="B3248" t="s">
        <v>3341</v>
      </c>
      <c r="C3248" t="s">
        <v>6877</v>
      </c>
      <c r="D3248" t="s">
        <v>2929</v>
      </c>
      <c r="E3248" t="s">
        <v>157</v>
      </c>
    </row>
    <row r="3249" spans="1:5">
      <c r="A3249">
        <v>3247</v>
      </c>
      <c r="B3249" t="s">
        <v>3342</v>
      </c>
      <c r="C3249" t="s">
        <v>6878</v>
      </c>
      <c r="D3249" t="s">
        <v>2929</v>
      </c>
      <c r="E3249" t="s">
        <v>157</v>
      </c>
    </row>
    <row r="3250" spans="1:5">
      <c r="A3250">
        <v>3248</v>
      </c>
      <c r="B3250" t="s">
        <v>1362</v>
      </c>
      <c r="C3250" t="s">
        <v>4923</v>
      </c>
      <c r="D3250" t="s">
        <v>2929</v>
      </c>
      <c r="E3250" t="s">
        <v>157</v>
      </c>
    </row>
    <row r="3251" spans="1:5">
      <c r="A3251">
        <v>3249</v>
      </c>
      <c r="B3251" t="s">
        <v>3343</v>
      </c>
      <c r="C3251" t="s">
        <v>6879</v>
      </c>
      <c r="D3251" t="s">
        <v>2929</v>
      </c>
      <c r="E3251" t="s">
        <v>157</v>
      </c>
    </row>
    <row r="3252" spans="1:5">
      <c r="A3252">
        <v>3250</v>
      </c>
      <c r="B3252" t="s">
        <v>3344</v>
      </c>
      <c r="C3252" t="s">
        <v>6880</v>
      </c>
      <c r="D3252" t="s">
        <v>2929</v>
      </c>
      <c r="E3252" t="s">
        <v>157</v>
      </c>
    </row>
    <row r="3253" spans="1:5">
      <c r="A3253">
        <v>3251</v>
      </c>
      <c r="B3253" t="s">
        <v>3345</v>
      </c>
      <c r="C3253" t="s">
        <v>6881</v>
      </c>
      <c r="D3253" t="s">
        <v>2929</v>
      </c>
      <c r="E3253" t="s">
        <v>157</v>
      </c>
    </row>
    <row r="3254" spans="1:5">
      <c r="A3254">
        <v>3252</v>
      </c>
      <c r="B3254" t="s">
        <v>3346</v>
      </c>
      <c r="C3254" t="s">
        <v>6882</v>
      </c>
      <c r="D3254" t="s">
        <v>2929</v>
      </c>
      <c r="E3254" t="s">
        <v>157</v>
      </c>
    </row>
    <row r="3255" spans="1:5">
      <c r="A3255">
        <v>3253</v>
      </c>
      <c r="B3255" t="s">
        <v>3347</v>
      </c>
      <c r="C3255" t="s">
        <v>6883</v>
      </c>
      <c r="D3255" t="s">
        <v>2929</v>
      </c>
      <c r="E3255" t="s">
        <v>157</v>
      </c>
    </row>
    <row r="3256" spans="1:5">
      <c r="A3256">
        <v>3254</v>
      </c>
      <c r="B3256" t="s">
        <v>3348</v>
      </c>
      <c r="C3256" t="s">
        <v>6884</v>
      </c>
      <c r="D3256" t="s">
        <v>2929</v>
      </c>
      <c r="E3256" t="s">
        <v>157</v>
      </c>
    </row>
    <row r="3257" spans="1:5">
      <c r="A3257">
        <v>3255</v>
      </c>
      <c r="B3257" t="s">
        <v>3349</v>
      </c>
      <c r="C3257" t="s">
        <v>6885</v>
      </c>
      <c r="D3257" t="s">
        <v>2929</v>
      </c>
      <c r="E3257" t="s">
        <v>157</v>
      </c>
    </row>
    <row r="3258" spans="1:5">
      <c r="A3258">
        <v>3256</v>
      </c>
      <c r="B3258" t="s">
        <v>3350</v>
      </c>
      <c r="C3258" t="s">
        <v>6886</v>
      </c>
      <c r="D3258" t="s">
        <v>2929</v>
      </c>
      <c r="E3258" t="s">
        <v>157</v>
      </c>
    </row>
    <row r="3259" spans="1:5">
      <c r="A3259">
        <v>3257</v>
      </c>
      <c r="B3259" t="s">
        <v>3351</v>
      </c>
      <c r="C3259" t="s">
        <v>6887</v>
      </c>
      <c r="D3259" t="s">
        <v>2929</v>
      </c>
      <c r="E3259" t="s">
        <v>157</v>
      </c>
    </row>
    <row r="3260" spans="1:5">
      <c r="A3260">
        <v>3258</v>
      </c>
      <c r="B3260" t="s">
        <v>7399</v>
      </c>
      <c r="C3260" t="s">
        <v>7400</v>
      </c>
      <c r="D3260" t="s">
        <v>2929</v>
      </c>
      <c r="E3260" t="s">
        <v>157</v>
      </c>
    </row>
    <row r="3261" spans="1:5">
      <c r="A3261">
        <v>3259</v>
      </c>
      <c r="B3261" t="s">
        <v>3352</v>
      </c>
      <c r="C3261" t="s">
        <v>6888</v>
      </c>
      <c r="D3261" t="s">
        <v>2929</v>
      </c>
      <c r="E3261" t="s">
        <v>157</v>
      </c>
    </row>
    <row r="3262" spans="1:5">
      <c r="A3262">
        <v>3260</v>
      </c>
      <c r="B3262" t="s">
        <v>3353</v>
      </c>
      <c r="C3262" t="s">
        <v>6889</v>
      </c>
      <c r="D3262" t="s">
        <v>2929</v>
      </c>
      <c r="E3262" t="s">
        <v>157</v>
      </c>
    </row>
    <row r="3263" spans="1:5">
      <c r="A3263">
        <v>3261</v>
      </c>
      <c r="B3263" t="s">
        <v>3354</v>
      </c>
      <c r="C3263" t="s">
        <v>6890</v>
      </c>
      <c r="D3263" t="s">
        <v>2929</v>
      </c>
      <c r="E3263" t="s">
        <v>157</v>
      </c>
    </row>
    <row r="3264" spans="1:5">
      <c r="A3264">
        <v>3262</v>
      </c>
      <c r="B3264" t="s">
        <v>587</v>
      </c>
      <c r="C3264" t="s">
        <v>4160</v>
      </c>
      <c r="D3264" t="s">
        <v>2929</v>
      </c>
      <c r="E3264" t="s">
        <v>157</v>
      </c>
    </row>
    <row r="3265" spans="1:5">
      <c r="A3265">
        <v>3263</v>
      </c>
      <c r="B3265" t="s">
        <v>3355</v>
      </c>
      <c r="C3265" t="s">
        <v>6891</v>
      </c>
      <c r="D3265" t="s">
        <v>2929</v>
      </c>
      <c r="E3265" t="s">
        <v>157</v>
      </c>
    </row>
    <row r="3266" spans="1:5">
      <c r="A3266">
        <v>3264</v>
      </c>
      <c r="B3266" t="s">
        <v>3356</v>
      </c>
      <c r="C3266" t="s">
        <v>6892</v>
      </c>
      <c r="D3266" t="s">
        <v>2929</v>
      </c>
      <c r="E3266" t="s">
        <v>157</v>
      </c>
    </row>
    <row r="3267" spans="1:5">
      <c r="A3267">
        <v>3265</v>
      </c>
      <c r="B3267" t="s">
        <v>3357</v>
      </c>
      <c r="C3267" t="s">
        <v>6893</v>
      </c>
      <c r="D3267" t="s">
        <v>2929</v>
      </c>
      <c r="E3267" t="s">
        <v>157</v>
      </c>
    </row>
    <row r="3268" spans="1:5">
      <c r="A3268">
        <v>3266</v>
      </c>
      <c r="B3268" t="s">
        <v>3358</v>
      </c>
      <c r="C3268" t="s">
        <v>6894</v>
      </c>
      <c r="D3268" t="s">
        <v>2929</v>
      </c>
      <c r="E3268" t="s">
        <v>157</v>
      </c>
    </row>
    <row r="3269" spans="1:5">
      <c r="A3269">
        <v>3267</v>
      </c>
      <c r="B3269" t="s">
        <v>3359</v>
      </c>
      <c r="C3269" t="s">
        <v>6895</v>
      </c>
      <c r="D3269" t="s">
        <v>2929</v>
      </c>
      <c r="E3269" t="s">
        <v>157</v>
      </c>
    </row>
    <row r="3270" spans="1:5">
      <c r="A3270">
        <v>3268</v>
      </c>
      <c r="B3270" t="s">
        <v>3360</v>
      </c>
      <c r="C3270" t="s">
        <v>6896</v>
      </c>
      <c r="D3270" t="s">
        <v>2929</v>
      </c>
      <c r="E3270" t="s">
        <v>157</v>
      </c>
    </row>
    <row r="3271" spans="1:5">
      <c r="A3271">
        <v>3269</v>
      </c>
      <c r="B3271" t="s">
        <v>3361</v>
      </c>
      <c r="C3271" t="s">
        <v>6897</v>
      </c>
      <c r="D3271" t="s">
        <v>2929</v>
      </c>
      <c r="E3271" t="s">
        <v>157</v>
      </c>
    </row>
    <row r="3272" spans="1:5">
      <c r="A3272">
        <v>3270</v>
      </c>
      <c r="B3272" t="s">
        <v>3362</v>
      </c>
      <c r="C3272" t="s">
        <v>6898</v>
      </c>
      <c r="D3272" t="s">
        <v>2929</v>
      </c>
      <c r="E3272" t="s">
        <v>157</v>
      </c>
    </row>
    <row r="3273" spans="1:5">
      <c r="A3273">
        <v>3271</v>
      </c>
      <c r="B3273" t="s">
        <v>3363</v>
      </c>
      <c r="C3273" t="s">
        <v>6899</v>
      </c>
      <c r="D3273" t="s">
        <v>2929</v>
      </c>
      <c r="E3273" t="s">
        <v>157</v>
      </c>
    </row>
    <row r="3274" spans="1:5">
      <c r="A3274">
        <v>3272</v>
      </c>
      <c r="B3274" t="s">
        <v>3364</v>
      </c>
      <c r="C3274" t="s">
        <v>6900</v>
      </c>
      <c r="D3274" t="s">
        <v>2929</v>
      </c>
      <c r="E3274" t="s">
        <v>157</v>
      </c>
    </row>
    <row r="3275" spans="1:5">
      <c r="A3275">
        <v>3273</v>
      </c>
      <c r="B3275" t="s">
        <v>3365</v>
      </c>
      <c r="C3275" t="s">
        <v>6901</v>
      </c>
      <c r="D3275" t="s">
        <v>2929</v>
      </c>
      <c r="E3275" t="s">
        <v>157</v>
      </c>
    </row>
    <row r="3276" spans="1:5">
      <c r="A3276">
        <v>3274</v>
      </c>
      <c r="B3276" t="s">
        <v>3366</v>
      </c>
      <c r="C3276" t="s">
        <v>6902</v>
      </c>
      <c r="D3276" t="s">
        <v>2929</v>
      </c>
      <c r="E3276" t="s">
        <v>157</v>
      </c>
    </row>
    <row r="3277" spans="1:5">
      <c r="A3277">
        <v>3275</v>
      </c>
      <c r="B3277" t="s">
        <v>3367</v>
      </c>
      <c r="C3277" t="s">
        <v>6903</v>
      </c>
      <c r="D3277" t="s">
        <v>2929</v>
      </c>
      <c r="E3277" t="s">
        <v>157</v>
      </c>
    </row>
    <row r="3278" spans="1:5">
      <c r="A3278">
        <v>3276</v>
      </c>
      <c r="B3278" t="s">
        <v>3368</v>
      </c>
      <c r="C3278" t="s">
        <v>6904</v>
      </c>
      <c r="D3278" t="s">
        <v>2929</v>
      </c>
      <c r="E3278" t="s">
        <v>157</v>
      </c>
    </row>
    <row r="3279" spans="1:5">
      <c r="A3279">
        <v>3277</v>
      </c>
      <c r="B3279" t="s">
        <v>3369</v>
      </c>
      <c r="C3279" t="s">
        <v>6905</v>
      </c>
      <c r="D3279" t="s">
        <v>2929</v>
      </c>
      <c r="E3279" t="s">
        <v>157</v>
      </c>
    </row>
    <row r="3280" spans="1:5">
      <c r="A3280">
        <v>3278</v>
      </c>
      <c r="B3280" t="s">
        <v>2072</v>
      </c>
      <c r="C3280" t="s">
        <v>5626</v>
      </c>
      <c r="D3280" t="s">
        <v>2929</v>
      </c>
      <c r="E3280" t="s">
        <v>157</v>
      </c>
    </row>
    <row r="3281" spans="1:5">
      <c r="A3281">
        <v>3279</v>
      </c>
      <c r="B3281" t="s">
        <v>3370</v>
      </c>
      <c r="C3281" t="s">
        <v>6906</v>
      </c>
      <c r="D3281" t="s">
        <v>2929</v>
      </c>
      <c r="E3281" t="s">
        <v>157</v>
      </c>
    </row>
    <row r="3282" spans="1:5">
      <c r="A3282">
        <v>3280</v>
      </c>
      <c r="B3282" t="s">
        <v>3371</v>
      </c>
      <c r="C3282" t="s">
        <v>6907</v>
      </c>
      <c r="D3282" t="s">
        <v>2929</v>
      </c>
      <c r="E3282" t="s">
        <v>157</v>
      </c>
    </row>
    <row r="3283" spans="1:5">
      <c r="A3283">
        <v>3281</v>
      </c>
      <c r="B3283" t="s">
        <v>3372</v>
      </c>
      <c r="C3283" t="s">
        <v>6908</v>
      </c>
      <c r="D3283" t="s">
        <v>2929</v>
      </c>
      <c r="E3283" t="s">
        <v>157</v>
      </c>
    </row>
    <row r="3284" spans="1:5">
      <c r="A3284">
        <v>3282</v>
      </c>
      <c r="B3284" t="s">
        <v>3373</v>
      </c>
      <c r="C3284" t="s">
        <v>6909</v>
      </c>
      <c r="D3284" t="s">
        <v>2929</v>
      </c>
      <c r="E3284" t="s">
        <v>157</v>
      </c>
    </row>
    <row r="3285" spans="1:5">
      <c r="A3285">
        <v>3283</v>
      </c>
      <c r="B3285" t="s">
        <v>7401</v>
      </c>
      <c r="C3285" t="s">
        <v>7402</v>
      </c>
      <c r="D3285" t="s">
        <v>2929</v>
      </c>
      <c r="E3285" t="s">
        <v>157</v>
      </c>
    </row>
    <row r="3286" spans="1:5">
      <c r="A3286">
        <v>3284</v>
      </c>
      <c r="B3286" t="s">
        <v>2082</v>
      </c>
      <c r="C3286" t="s">
        <v>5636</v>
      </c>
      <c r="D3286" t="s">
        <v>2929</v>
      </c>
      <c r="E3286" t="s">
        <v>157</v>
      </c>
    </row>
    <row r="3287" spans="1:5">
      <c r="A3287">
        <v>3285</v>
      </c>
      <c r="B3287" t="s">
        <v>3374</v>
      </c>
      <c r="C3287" t="s">
        <v>6910</v>
      </c>
      <c r="D3287" t="s">
        <v>2929</v>
      </c>
      <c r="E3287" t="s">
        <v>157</v>
      </c>
    </row>
    <row r="3288" spans="1:5">
      <c r="A3288">
        <v>3286</v>
      </c>
      <c r="B3288" t="s">
        <v>3375</v>
      </c>
      <c r="C3288" t="s">
        <v>6911</v>
      </c>
      <c r="D3288" t="s">
        <v>2929</v>
      </c>
      <c r="E3288" t="s">
        <v>157</v>
      </c>
    </row>
    <row r="3289" spans="1:5">
      <c r="A3289">
        <v>3287</v>
      </c>
      <c r="B3289" t="s">
        <v>3376</v>
      </c>
      <c r="C3289" t="s">
        <v>6912</v>
      </c>
      <c r="D3289" t="s">
        <v>2929</v>
      </c>
      <c r="E3289" t="s">
        <v>157</v>
      </c>
    </row>
    <row r="3290" spans="1:5">
      <c r="A3290">
        <v>3288</v>
      </c>
      <c r="B3290" t="s">
        <v>3377</v>
      </c>
      <c r="C3290" t="s">
        <v>6913</v>
      </c>
      <c r="D3290" t="s">
        <v>2929</v>
      </c>
      <c r="E3290" t="s">
        <v>157</v>
      </c>
    </row>
    <row r="3291" spans="1:5">
      <c r="A3291">
        <v>3289</v>
      </c>
      <c r="B3291" t="s">
        <v>3378</v>
      </c>
      <c r="C3291" t="s">
        <v>6914</v>
      </c>
      <c r="D3291" t="s">
        <v>2929</v>
      </c>
      <c r="E3291" t="s">
        <v>157</v>
      </c>
    </row>
    <row r="3292" spans="1:5">
      <c r="A3292">
        <v>3290</v>
      </c>
      <c r="B3292" t="s">
        <v>3379</v>
      </c>
      <c r="C3292" t="s">
        <v>6915</v>
      </c>
      <c r="D3292" t="s">
        <v>2929</v>
      </c>
      <c r="E3292" t="s">
        <v>157</v>
      </c>
    </row>
    <row r="3293" spans="1:5">
      <c r="A3293">
        <v>3291</v>
      </c>
      <c r="B3293" t="s">
        <v>3380</v>
      </c>
      <c r="C3293" t="s">
        <v>6916</v>
      </c>
      <c r="D3293" t="s">
        <v>2929</v>
      </c>
      <c r="E3293" t="s">
        <v>157</v>
      </c>
    </row>
    <row r="3294" spans="1:5">
      <c r="A3294">
        <v>3292</v>
      </c>
      <c r="B3294" t="s">
        <v>3381</v>
      </c>
      <c r="C3294" t="s">
        <v>6917</v>
      </c>
      <c r="D3294" t="s">
        <v>2929</v>
      </c>
      <c r="E3294" t="s">
        <v>157</v>
      </c>
    </row>
    <row r="3295" spans="1:5">
      <c r="A3295">
        <v>3293</v>
      </c>
      <c r="B3295" t="s">
        <v>3382</v>
      </c>
      <c r="C3295" t="s">
        <v>6918</v>
      </c>
      <c r="D3295" t="s">
        <v>2929</v>
      </c>
      <c r="E3295" t="s">
        <v>157</v>
      </c>
    </row>
    <row r="3296" spans="1:5">
      <c r="A3296">
        <v>3294</v>
      </c>
      <c r="B3296" t="s">
        <v>3383</v>
      </c>
      <c r="C3296" t="s">
        <v>6919</v>
      </c>
      <c r="D3296" t="s">
        <v>2929</v>
      </c>
      <c r="E3296" t="s">
        <v>157</v>
      </c>
    </row>
    <row r="3297" spans="1:5">
      <c r="A3297">
        <v>3295</v>
      </c>
      <c r="B3297" t="s">
        <v>3384</v>
      </c>
      <c r="C3297" t="s">
        <v>6920</v>
      </c>
      <c r="D3297" t="s">
        <v>2929</v>
      </c>
      <c r="E3297" t="s">
        <v>157</v>
      </c>
    </row>
    <row r="3298" spans="1:5">
      <c r="A3298">
        <v>3296</v>
      </c>
      <c r="B3298" t="s">
        <v>3385</v>
      </c>
      <c r="C3298" t="s">
        <v>6921</v>
      </c>
      <c r="D3298" t="s">
        <v>2929</v>
      </c>
      <c r="E3298" t="s">
        <v>157</v>
      </c>
    </row>
    <row r="3299" spans="1:5">
      <c r="A3299">
        <v>3297</v>
      </c>
      <c r="B3299" t="s">
        <v>3386</v>
      </c>
      <c r="C3299" t="s">
        <v>6922</v>
      </c>
      <c r="D3299" t="s">
        <v>2929</v>
      </c>
      <c r="E3299" t="s">
        <v>157</v>
      </c>
    </row>
    <row r="3300" spans="1:5">
      <c r="A3300">
        <v>3298</v>
      </c>
      <c r="B3300" t="s">
        <v>3387</v>
      </c>
      <c r="C3300" t="s">
        <v>6923</v>
      </c>
      <c r="D3300" t="s">
        <v>2929</v>
      </c>
      <c r="E3300" t="s">
        <v>157</v>
      </c>
    </row>
    <row r="3301" spans="1:5">
      <c r="A3301">
        <v>3299</v>
      </c>
      <c r="B3301" t="s">
        <v>3388</v>
      </c>
      <c r="C3301" t="s">
        <v>6924</v>
      </c>
      <c r="D3301" t="s">
        <v>2929</v>
      </c>
      <c r="E3301" t="s">
        <v>157</v>
      </c>
    </row>
    <row r="3302" spans="1:5">
      <c r="A3302">
        <v>3300</v>
      </c>
      <c r="B3302" t="s">
        <v>3389</v>
      </c>
      <c r="C3302" t="s">
        <v>6925</v>
      </c>
      <c r="D3302" t="s">
        <v>2929</v>
      </c>
      <c r="E3302" t="s">
        <v>157</v>
      </c>
    </row>
    <row r="3303" spans="1:5">
      <c r="A3303">
        <v>3301</v>
      </c>
      <c r="B3303" t="s">
        <v>3390</v>
      </c>
      <c r="C3303" t="s">
        <v>6926</v>
      </c>
      <c r="D3303" t="s">
        <v>2929</v>
      </c>
      <c r="E3303" t="s">
        <v>157</v>
      </c>
    </row>
    <row r="3304" spans="1:5">
      <c r="A3304">
        <v>3302</v>
      </c>
      <c r="B3304" t="s">
        <v>3391</v>
      </c>
      <c r="C3304" t="s">
        <v>6927</v>
      </c>
      <c r="D3304" t="s">
        <v>2929</v>
      </c>
      <c r="E3304" t="s">
        <v>157</v>
      </c>
    </row>
    <row r="3305" spans="1:5">
      <c r="A3305">
        <v>3303</v>
      </c>
      <c r="B3305" t="s">
        <v>3392</v>
      </c>
      <c r="C3305" t="s">
        <v>6928</v>
      </c>
      <c r="D3305" t="s">
        <v>2929</v>
      </c>
      <c r="E3305" t="s">
        <v>157</v>
      </c>
    </row>
    <row r="3306" spans="1:5">
      <c r="A3306">
        <v>3304</v>
      </c>
      <c r="B3306" t="s">
        <v>3393</v>
      </c>
      <c r="C3306" t="s">
        <v>6929</v>
      </c>
      <c r="D3306" t="s">
        <v>2929</v>
      </c>
      <c r="E3306" t="s">
        <v>157</v>
      </c>
    </row>
    <row r="3307" spans="1:5">
      <c r="A3307">
        <v>3305</v>
      </c>
      <c r="B3307" t="s">
        <v>3394</v>
      </c>
      <c r="C3307" t="s">
        <v>6930</v>
      </c>
      <c r="D3307" t="s">
        <v>2929</v>
      </c>
      <c r="E3307" t="s">
        <v>157</v>
      </c>
    </row>
    <row r="3308" spans="1:5">
      <c r="A3308">
        <v>3306</v>
      </c>
      <c r="B3308" t="s">
        <v>3395</v>
      </c>
      <c r="C3308" t="s">
        <v>6931</v>
      </c>
      <c r="D3308" t="s">
        <v>2929</v>
      </c>
      <c r="E3308" t="s">
        <v>157</v>
      </c>
    </row>
    <row r="3309" spans="1:5">
      <c r="A3309">
        <v>3307</v>
      </c>
      <c r="B3309" t="s">
        <v>3396</v>
      </c>
      <c r="C3309" t="s">
        <v>6932</v>
      </c>
      <c r="D3309" t="s">
        <v>2929</v>
      </c>
      <c r="E3309" t="s">
        <v>157</v>
      </c>
    </row>
    <row r="3310" spans="1:5">
      <c r="A3310">
        <v>3308</v>
      </c>
      <c r="B3310" t="s">
        <v>3397</v>
      </c>
      <c r="C3310" t="s">
        <v>6933</v>
      </c>
      <c r="D3310" t="s">
        <v>2929</v>
      </c>
      <c r="E3310" t="s">
        <v>157</v>
      </c>
    </row>
    <row r="3311" spans="1:5">
      <c r="A3311">
        <v>3309</v>
      </c>
      <c r="B3311" t="s">
        <v>1477</v>
      </c>
      <c r="C3311" t="s">
        <v>7342</v>
      </c>
      <c r="D3311" t="s">
        <v>2929</v>
      </c>
      <c r="E3311" t="s">
        <v>157</v>
      </c>
    </row>
    <row r="3312" spans="1:5">
      <c r="A3312">
        <v>3310</v>
      </c>
      <c r="B3312" t="s">
        <v>3398</v>
      </c>
      <c r="C3312" t="s">
        <v>6934</v>
      </c>
      <c r="D3312" t="s">
        <v>2929</v>
      </c>
      <c r="E3312" t="s">
        <v>157</v>
      </c>
    </row>
    <row r="3313" spans="1:5">
      <c r="A3313">
        <v>3311</v>
      </c>
      <c r="B3313" t="s">
        <v>1482</v>
      </c>
      <c r="C3313" t="s">
        <v>5042</v>
      </c>
      <c r="D3313" t="s">
        <v>2929</v>
      </c>
      <c r="E3313" t="s">
        <v>157</v>
      </c>
    </row>
    <row r="3314" spans="1:5">
      <c r="A3314">
        <v>3312</v>
      </c>
      <c r="B3314" t="s">
        <v>3399</v>
      </c>
      <c r="C3314" t="s">
        <v>6935</v>
      </c>
      <c r="D3314" t="s">
        <v>2929</v>
      </c>
      <c r="E3314" t="s">
        <v>157</v>
      </c>
    </row>
    <row r="3315" spans="1:5">
      <c r="A3315">
        <v>3313</v>
      </c>
      <c r="B3315" t="s">
        <v>3400</v>
      </c>
      <c r="C3315" t="s">
        <v>6936</v>
      </c>
      <c r="D3315" t="s">
        <v>2929</v>
      </c>
      <c r="E3315" t="s">
        <v>157</v>
      </c>
    </row>
    <row r="3316" spans="1:5">
      <c r="A3316">
        <v>3314</v>
      </c>
      <c r="B3316" t="s">
        <v>3401</v>
      </c>
      <c r="C3316" t="s">
        <v>6937</v>
      </c>
      <c r="D3316" t="s">
        <v>2929</v>
      </c>
      <c r="E3316" t="s">
        <v>157</v>
      </c>
    </row>
    <row r="3317" spans="1:5">
      <c r="A3317">
        <v>3315</v>
      </c>
      <c r="B3317" t="s">
        <v>3402</v>
      </c>
      <c r="C3317" t="s">
        <v>6938</v>
      </c>
      <c r="D3317" t="s">
        <v>2929</v>
      </c>
      <c r="E3317" t="s">
        <v>157</v>
      </c>
    </row>
    <row r="3318" spans="1:5">
      <c r="A3318">
        <v>3316</v>
      </c>
      <c r="B3318" t="s">
        <v>3403</v>
      </c>
      <c r="C3318" t="s">
        <v>6939</v>
      </c>
      <c r="D3318" t="s">
        <v>2929</v>
      </c>
      <c r="E3318" t="s">
        <v>157</v>
      </c>
    </row>
    <row r="3319" spans="1:5">
      <c r="A3319">
        <v>3317</v>
      </c>
      <c r="B3319" t="s">
        <v>3404</v>
      </c>
      <c r="C3319" t="s">
        <v>6940</v>
      </c>
      <c r="D3319" t="s">
        <v>2929</v>
      </c>
      <c r="E3319" t="s">
        <v>157</v>
      </c>
    </row>
    <row r="3320" spans="1:5">
      <c r="A3320">
        <v>3318</v>
      </c>
      <c r="B3320" t="s">
        <v>3405</v>
      </c>
      <c r="C3320" t="s">
        <v>6941</v>
      </c>
      <c r="D3320" t="s">
        <v>2929</v>
      </c>
      <c r="E3320" t="s">
        <v>157</v>
      </c>
    </row>
    <row r="3321" spans="1:5">
      <c r="A3321">
        <v>3319</v>
      </c>
      <c r="B3321" t="s">
        <v>3406</v>
      </c>
      <c r="C3321" t="s">
        <v>6942</v>
      </c>
      <c r="D3321" t="s">
        <v>2929</v>
      </c>
      <c r="E3321" t="s">
        <v>157</v>
      </c>
    </row>
    <row r="3322" spans="1:5">
      <c r="A3322">
        <v>3320</v>
      </c>
      <c r="B3322" t="s">
        <v>3407</v>
      </c>
      <c r="C3322" t="s">
        <v>6943</v>
      </c>
      <c r="D3322" t="s">
        <v>2929</v>
      </c>
      <c r="E3322" t="s">
        <v>157</v>
      </c>
    </row>
    <row r="3323" spans="1:5">
      <c r="A3323">
        <v>3321</v>
      </c>
      <c r="B3323" t="s">
        <v>3408</v>
      </c>
      <c r="C3323" t="s">
        <v>6944</v>
      </c>
      <c r="D3323" t="s">
        <v>2929</v>
      </c>
      <c r="E3323" t="s">
        <v>157</v>
      </c>
    </row>
    <row r="3324" spans="1:5">
      <c r="A3324">
        <v>3322</v>
      </c>
      <c r="B3324" t="s">
        <v>3409</v>
      </c>
      <c r="C3324" t="s">
        <v>6945</v>
      </c>
      <c r="D3324" t="s">
        <v>2929</v>
      </c>
      <c r="E3324" t="s">
        <v>157</v>
      </c>
    </row>
    <row r="3325" spans="1:5">
      <c r="A3325">
        <v>3323</v>
      </c>
      <c r="B3325" t="s">
        <v>3410</v>
      </c>
      <c r="C3325" t="s">
        <v>6946</v>
      </c>
      <c r="D3325" t="s">
        <v>2929</v>
      </c>
      <c r="E3325" t="s">
        <v>157</v>
      </c>
    </row>
    <row r="3326" spans="1:5">
      <c r="A3326">
        <v>3324</v>
      </c>
      <c r="B3326" t="s">
        <v>3411</v>
      </c>
      <c r="C3326" t="s">
        <v>6947</v>
      </c>
      <c r="D3326" t="s">
        <v>2929</v>
      </c>
      <c r="E3326" t="s">
        <v>157</v>
      </c>
    </row>
    <row r="3327" spans="1:5">
      <c r="A3327">
        <v>3325</v>
      </c>
      <c r="B3327" t="s">
        <v>1510</v>
      </c>
      <c r="C3327" t="s">
        <v>5070</v>
      </c>
      <c r="D3327" t="s">
        <v>2929</v>
      </c>
      <c r="E3327" t="s">
        <v>157</v>
      </c>
    </row>
    <row r="3328" spans="1:5">
      <c r="A3328">
        <v>3326</v>
      </c>
      <c r="B3328" t="s">
        <v>3412</v>
      </c>
      <c r="C3328" t="s">
        <v>6948</v>
      </c>
      <c r="D3328" t="s">
        <v>2929</v>
      </c>
      <c r="E3328" t="s">
        <v>157</v>
      </c>
    </row>
    <row r="3329" spans="1:5">
      <c r="A3329">
        <v>3327</v>
      </c>
      <c r="B3329" t="s">
        <v>3413</v>
      </c>
      <c r="C3329" t="s">
        <v>6949</v>
      </c>
      <c r="D3329" t="s">
        <v>2929</v>
      </c>
      <c r="E3329" t="s">
        <v>157</v>
      </c>
    </row>
    <row r="3330" spans="1:5">
      <c r="A3330">
        <v>3328</v>
      </c>
      <c r="B3330" t="s">
        <v>3414</v>
      </c>
      <c r="C3330" t="s">
        <v>6950</v>
      </c>
      <c r="D3330" t="s">
        <v>2929</v>
      </c>
      <c r="E3330" t="s">
        <v>157</v>
      </c>
    </row>
    <row r="3331" spans="1:5">
      <c r="A3331">
        <v>3329</v>
      </c>
      <c r="B3331" t="s">
        <v>3415</v>
      </c>
      <c r="C3331" t="s">
        <v>6951</v>
      </c>
      <c r="D3331" t="s">
        <v>2929</v>
      </c>
      <c r="E3331" t="s">
        <v>157</v>
      </c>
    </row>
    <row r="3332" spans="1:5">
      <c r="A3332">
        <v>3330</v>
      </c>
      <c r="B3332" t="s">
        <v>3416</v>
      </c>
      <c r="C3332" t="s">
        <v>6952</v>
      </c>
      <c r="D3332" t="s">
        <v>2929</v>
      </c>
      <c r="E3332" t="s">
        <v>157</v>
      </c>
    </row>
    <row r="3333" spans="1:5">
      <c r="A3333">
        <v>3331</v>
      </c>
      <c r="B3333" t="s">
        <v>3417</v>
      </c>
      <c r="C3333" t="s">
        <v>6953</v>
      </c>
      <c r="D3333" t="s">
        <v>2929</v>
      </c>
      <c r="E3333" t="s">
        <v>157</v>
      </c>
    </row>
    <row r="3334" spans="1:5">
      <c r="A3334">
        <v>3332</v>
      </c>
      <c r="B3334" t="s">
        <v>3418</v>
      </c>
      <c r="C3334" t="s">
        <v>6954</v>
      </c>
      <c r="D3334" t="s">
        <v>2929</v>
      </c>
      <c r="E3334" t="s">
        <v>157</v>
      </c>
    </row>
    <row r="3335" spans="1:5">
      <c r="A3335">
        <v>3333</v>
      </c>
      <c r="B3335" t="s">
        <v>3419</v>
      </c>
      <c r="C3335" t="s">
        <v>6955</v>
      </c>
      <c r="D3335" t="s">
        <v>2929</v>
      </c>
      <c r="E3335" t="s">
        <v>157</v>
      </c>
    </row>
    <row r="3336" spans="1:5">
      <c r="A3336">
        <v>3334</v>
      </c>
      <c r="B3336" t="s">
        <v>3420</v>
      </c>
      <c r="C3336" t="s">
        <v>6956</v>
      </c>
      <c r="D3336" t="s">
        <v>2929</v>
      </c>
      <c r="E3336" t="s">
        <v>157</v>
      </c>
    </row>
    <row r="3337" spans="1:5">
      <c r="A3337">
        <v>3335</v>
      </c>
      <c r="B3337" t="s">
        <v>3421</v>
      </c>
      <c r="C3337" t="s">
        <v>6957</v>
      </c>
      <c r="D3337" t="s">
        <v>2929</v>
      </c>
      <c r="E3337" t="s">
        <v>157</v>
      </c>
    </row>
    <row r="3338" spans="1:5">
      <c r="A3338">
        <v>3336</v>
      </c>
      <c r="B3338" t="s">
        <v>3422</v>
      </c>
      <c r="C3338" t="s">
        <v>6958</v>
      </c>
      <c r="D3338" t="s">
        <v>2929</v>
      </c>
      <c r="E3338" t="s">
        <v>157</v>
      </c>
    </row>
    <row r="3339" spans="1:5">
      <c r="A3339">
        <v>3337</v>
      </c>
      <c r="B3339" t="s">
        <v>3423</v>
      </c>
      <c r="C3339" t="s">
        <v>6959</v>
      </c>
      <c r="D3339" t="s">
        <v>2929</v>
      </c>
      <c r="E3339" t="s">
        <v>157</v>
      </c>
    </row>
    <row r="3340" spans="1:5">
      <c r="A3340">
        <v>3338</v>
      </c>
      <c r="B3340" t="s">
        <v>3424</v>
      </c>
      <c r="C3340" t="s">
        <v>6960</v>
      </c>
      <c r="D3340" t="s">
        <v>2929</v>
      </c>
      <c r="E3340" t="s">
        <v>157</v>
      </c>
    </row>
    <row r="3341" spans="1:5">
      <c r="A3341">
        <v>3339</v>
      </c>
      <c r="B3341" t="s">
        <v>3425</v>
      </c>
      <c r="C3341" t="s">
        <v>6961</v>
      </c>
      <c r="D3341" t="s">
        <v>2929</v>
      </c>
      <c r="E3341" t="s">
        <v>157</v>
      </c>
    </row>
    <row r="3342" spans="1:5">
      <c r="A3342">
        <v>3340</v>
      </c>
      <c r="B3342" t="s">
        <v>3426</v>
      </c>
      <c r="C3342" t="s">
        <v>6962</v>
      </c>
      <c r="D3342" t="s">
        <v>2929</v>
      </c>
      <c r="E3342" t="s">
        <v>157</v>
      </c>
    </row>
    <row r="3343" spans="1:5">
      <c r="A3343">
        <v>3341</v>
      </c>
      <c r="B3343" t="s">
        <v>3427</v>
      </c>
      <c r="C3343" t="s">
        <v>6963</v>
      </c>
      <c r="D3343" t="s">
        <v>2929</v>
      </c>
      <c r="E3343" t="s">
        <v>157</v>
      </c>
    </row>
    <row r="3344" spans="1:5">
      <c r="A3344">
        <v>3342</v>
      </c>
      <c r="B3344" t="s">
        <v>3428</v>
      </c>
      <c r="C3344" t="s">
        <v>6964</v>
      </c>
      <c r="D3344" t="s">
        <v>2929</v>
      </c>
      <c r="E3344" t="s">
        <v>157</v>
      </c>
    </row>
    <row r="3345" spans="1:5">
      <c r="A3345">
        <v>3343</v>
      </c>
      <c r="B3345" t="s">
        <v>3429</v>
      </c>
      <c r="C3345" t="s">
        <v>6965</v>
      </c>
      <c r="D3345" t="s">
        <v>2929</v>
      </c>
      <c r="E3345" t="s">
        <v>157</v>
      </c>
    </row>
    <row r="3346" spans="1:5">
      <c r="A3346">
        <v>3344</v>
      </c>
      <c r="B3346" t="s">
        <v>3430</v>
      </c>
      <c r="C3346" t="s">
        <v>6966</v>
      </c>
      <c r="D3346" t="s">
        <v>2929</v>
      </c>
      <c r="E3346" t="s">
        <v>157</v>
      </c>
    </row>
    <row r="3347" spans="1:5">
      <c r="A3347">
        <v>3345</v>
      </c>
      <c r="B3347" t="s">
        <v>3431</v>
      </c>
      <c r="C3347" t="s">
        <v>6967</v>
      </c>
      <c r="D3347" t="s">
        <v>2929</v>
      </c>
      <c r="E3347" t="s">
        <v>157</v>
      </c>
    </row>
    <row r="3348" spans="1:5">
      <c r="A3348">
        <v>3346</v>
      </c>
      <c r="B3348" t="s">
        <v>3432</v>
      </c>
      <c r="C3348" t="s">
        <v>6968</v>
      </c>
      <c r="D3348" t="s">
        <v>2929</v>
      </c>
      <c r="E3348" t="s">
        <v>157</v>
      </c>
    </row>
    <row r="3349" spans="1:5">
      <c r="A3349">
        <v>3347</v>
      </c>
      <c r="B3349" t="s">
        <v>3433</v>
      </c>
      <c r="C3349" t="s">
        <v>6969</v>
      </c>
      <c r="D3349" t="s">
        <v>2929</v>
      </c>
      <c r="E3349" t="s">
        <v>157</v>
      </c>
    </row>
    <row r="3350" spans="1:5">
      <c r="A3350">
        <v>3348</v>
      </c>
      <c r="B3350" t="s">
        <v>3434</v>
      </c>
      <c r="C3350" t="s">
        <v>6970</v>
      </c>
      <c r="D3350" t="s">
        <v>2929</v>
      </c>
      <c r="E3350" t="s">
        <v>157</v>
      </c>
    </row>
    <row r="3351" spans="1:5">
      <c r="A3351">
        <v>3349</v>
      </c>
      <c r="B3351" t="s">
        <v>3435</v>
      </c>
      <c r="C3351" t="s">
        <v>6971</v>
      </c>
      <c r="D3351" t="s">
        <v>2929</v>
      </c>
      <c r="E3351" t="s">
        <v>157</v>
      </c>
    </row>
    <row r="3352" spans="1:5">
      <c r="A3352">
        <v>3350</v>
      </c>
      <c r="B3352" t="s">
        <v>3436</v>
      </c>
      <c r="C3352" t="s">
        <v>6972</v>
      </c>
      <c r="D3352" t="s">
        <v>2929</v>
      </c>
      <c r="E3352" t="s">
        <v>157</v>
      </c>
    </row>
    <row r="3353" spans="1:5">
      <c r="A3353">
        <v>3351</v>
      </c>
      <c r="B3353" t="s">
        <v>3437</v>
      </c>
      <c r="C3353" t="s">
        <v>6973</v>
      </c>
      <c r="D3353" t="s">
        <v>2929</v>
      </c>
      <c r="E3353" t="s">
        <v>157</v>
      </c>
    </row>
    <row r="3354" spans="1:5">
      <c r="A3354">
        <v>3352</v>
      </c>
      <c r="B3354" t="s">
        <v>3438</v>
      </c>
      <c r="C3354" t="s">
        <v>6974</v>
      </c>
      <c r="D3354" t="s">
        <v>2929</v>
      </c>
      <c r="E3354" t="s">
        <v>157</v>
      </c>
    </row>
    <row r="3355" spans="1:5">
      <c r="A3355">
        <v>3353</v>
      </c>
      <c r="B3355" t="s">
        <v>3439</v>
      </c>
      <c r="C3355" t="s">
        <v>6975</v>
      </c>
      <c r="D3355" t="s">
        <v>2929</v>
      </c>
      <c r="E3355" t="s">
        <v>157</v>
      </c>
    </row>
    <row r="3356" spans="1:5">
      <c r="A3356">
        <v>3354</v>
      </c>
      <c r="B3356" t="s">
        <v>3440</v>
      </c>
      <c r="C3356" t="s">
        <v>6976</v>
      </c>
      <c r="D3356" t="s">
        <v>2929</v>
      </c>
      <c r="E3356" t="s">
        <v>157</v>
      </c>
    </row>
    <row r="3357" spans="1:5">
      <c r="A3357">
        <v>3355</v>
      </c>
      <c r="B3357" t="s">
        <v>3441</v>
      </c>
      <c r="C3357" t="s">
        <v>6977</v>
      </c>
      <c r="D3357" t="s">
        <v>2929</v>
      </c>
      <c r="E3357" t="s">
        <v>157</v>
      </c>
    </row>
    <row r="3358" spans="1:5">
      <c r="A3358">
        <v>3356</v>
      </c>
      <c r="B3358" t="s">
        <v>3442</v>
      </c>
      <c r="C3358" t="s">
        <v>6978</v>
      </c>
      <c r="D3358" t="s">
        <v>2929</v>
      </c>
      <c r="E3358" t="s">
        <v>157</v>
      </c>
    </row>
    <row r="3359" spans="1:5">
      <c r="A3359">
        <v>3357</v>
      </c>
      <c r="B3359" t="s">
        <v>3443</v>
      </c>
      <c r="C3359" t="s">
        <v>6979</v>
      </c>
      <c r="D3359" t="s">
        <v>2929</v>
      </c>
      <c r="E3359" t="s">
        <v>157</v>
      </c>
    </row>
    <row r="3360" spans="1:5">
      <c r="A3360">
        <v>3358</v>
      </c>
      <c r="B3360" t="s">
        <v>3444</v>
      </c>
      <c r="C3360" t="s">
        <v>6980</v>
      </c>
      <c r="D3360" t="s">
        <v>2929</v>
      </c>
      <c r="E3360" t="s">
        <v>157</v>
      </c>
    </row>
    <row r="3361" spans="1:5">
      <c r="A3361">
        <v>3359</v>
      </c>
      <c r="B3361" t="s">
        <v>3445</v>
      </c>
      <c r="C3361" t="s">
        <v>6981</v>
      </c>
      <c r="D3361" t="s">
        <v>2929</v>
      </c>
      <c r="E3361" t="s">
        <v>157</v>
      </c>
    </row>
    <row r="3362" spans="1:5">
      <c r="A3362">
        <v>3360</v>
      </c>
      <c r="B3362" t="s">
        <v>3446</v>
      </c>
      <c r="C3362" t="s">
        <v>6982</v>
      </c>
      <c r="D3362" t="s">
        <v>2929</v>
      </c>
      <c r="E3362" t="s">
        <v>157</v>
      </c>
    </row>
    <row r="3363" spans="1:5">
      <c r="A3363">
        <v>3361</v>
      </c>
      <c r="B3363" t="s">
        <v>3447</v>
      </c>
      <c r="C3363" t="s">
        <v>6983</v>
      </c>
      <c r="D3363" t="s">
        <v>2929</v>
      </c>
      <c r="E3363" t="s">
        <v>157</v>
      </c>
    </row>
    <row r="3364" spans="1:5">
      <c r="A3364">
        <v>3362</v>
      </c>
      <c r="B3364" t="s">
        <v>3448</v>
      </c>
      <c r="C3364" t="s">
        <v>6984</v>
      </c>
      <c r="D3364" t="s">
        <v>2929</v>
      </c>
      <c r="E3364" t="s">
        <v>157</v>
      </c>
    </row>
    <row r="3365" spans="1:5">
      <c r="A3365">
        <v>3363</v>
      </c>
      <c r="B3365" t="s">
        <v>3449</v>
      </c>
      <c r="C3365" t="s">
        <v>6985</v>
      </c>
      <c r="D3365" t="s">
        <v>2929</v>
      </c>
      <c r="E3365" t="s">
        <v>157</v>
      </c>
    </row>
    <row r="3366" spans="1:5">
      <c r="A3366">
        <v>3364</v>
      </c>
      <c r="B3366" t="s">
        <v>3450</v>
      </c>
      <c r="C3366" t="s">
        <v>6986</v>
      </c>
      <c r="D3366" t="s">
        <v>2929</v>
      </c>
      <c r="E3366" t="s">
        <v>157</v>
      </c>
    </row>
    <row r="3367" spans="1:5">
      <c r="A3367">
        <v>3365</v>
      </c>
      <c r="B3367" t="s">
        <v>3451</v>
      </c>
      <c r="C3367" t="s">
        <v>6987</v>
      </c>
      <c r="D3367" t="s">
        <v>2929</v>
      </c>
      <c r="E3367" t="s">
        <v>157</v>
      </c>
    </row>
    <row r="3368" spans="1:5">
      <c r="A3368">
        <v>3366</v>
      </c>
      <c r="B3368" t="s">
        <v>3452</v>
      </c>
      <c r="C3368" t="s">
        <v>6988</v>
      </c>
      <c r="D3368" t="s">
        <v>2929</v>
      </c>
      <c r="E3368" t="s">
        <v>157</v>
      </c>
    </row>
    <row r="3369" spans="1:5">
      <c r="A3369">
        <v>3367</v>
      </c>
      <c r="B3369" t="s">
        <v>3453</v>
      </c>
      <c r="C3369" t="s">
        <v>6989</v>
      </c>
      <c r="D3369" t="s">
        <v>2929</v>
      </c>
      <c r="E3369" t="s">
        <v>157</v>
      </c>
    </row>
    <row r="3370" spans="1:5">
      <c r="A3370">
        <v>3368</v>
      </c>
      <c r="B3370" t="s">
        <v>3454</v>
      </c>
      <c r="C3370" t="s">
        <v>6990</v>
      </c>
      <c r="D3370" t="s">
        <v>2929</v>
      </c>
      <c r="E3370" t="s">
        <v>157</v>
      </c>
    </row>
    <row r="3371" spans="1:5">
      <c r="A3371">
        <v>3369</v>
      </c>
      <c r="B3371" t="s">
        <v>3455</v>
      </c>
      <c r="C3371" t="s">
        <v>6991</v>
      </c>
      <c r="D3371" t="s">
        <v>2929</v>
      </c>
      <c r="E3371" t="s">
        <v>157</v>
      </c>
    </row>
    <row r="3372" spans="1:5">
      <c r="A3372">
        <v>3370</v>
      </c>
      <c r="B3372" t="s">
        <v>3456</v>
      </c>
      <c r="C3372" t="s">
        <v>6992</v>
      </c>
      <c r="D3372" t="s">
        <v>2929</v>
      </c>
      <c r="E3372" t="s">
        <v>157</v>
      </c>
    </row>
    <row r="3373" spans="1:5">
      <c r="A3373">
        <v>3371</v>
      </c>
      <c r="B3373" t="s">
        <v>3457</v>
      </c>
      <c r="C3373" t="s">
        <v>6993</v>
      </c>
      <c r="D3373" t="s">
        <v>2929</v>
      </c>
      <c r="E3373" t="s">
        <v>157</v>
      </c>
    </row>
    <row r="3374" spans="1:5">
      <c r="A3374">
        <v>3372</v>
      </c>
      <c r="B3374" t="s">
        <v>7403</v>
      </c>
      <c r="C3374" t="s">
        <v>7404</v>
      </c>
      <c r="D3374" t="s">
        <v>2929</v>
      </c>
      <c r="E3374" t="s">
        <v>157</v>
      </c>
    </row>
    <row r="3375" spans="1:5">
      <c r="A3375">
        <v>3373</v>
      </c>
      <c r="B3375" t="s">
        <v>3458</v>
      </c>
      <c r="C3375" t="s">
        <v>6994</v>
      </c>
      <c r="D3375" t="s">
        <v>2929</v>
      </c>
      <c r="E3375" t="s">
        <v>157</v>
      </c>
    </row>
    <row r="3376" spans="1:5">
      <c r="A3376">
        <v>3374</v>
      </c>
      <c r="B3376" t="s">
        <v>3459</v>
      </c>
      <c r="C3376" t="s">
        <v>6995</v>
      </c>
      <c r="D3376" t="s">
        <v>2929</v>
      </c>
      <c r="E3376" t="s">
        <v>157</v>
      </c>
    </row>
    <row r="3377" spans="1:5">
      <c r="A3377">
        <v>3375</v>
      </c>
      <c r="B3377" t="s">
        <v>3460</v>
      </c>
      <c r="C3377" t="s">
        <v>6996</v>
      </c>
      <c r="D3377" t="s">
        <v>2929</v>
      </c>
      <c r="E3377" t="s">
        <v>157</v>
      </c>
    </row>
    <row r="3378" spans="1:5">
      <c r="A3378">
        <v>3376</v>
      </c>
      <c r="B3378" t="s">
        <v>3461</v>
      </c>
      <c r="C3378" t="s">
        <v>6997</v>
      </c>
      <c r="D3378" t="s">
        <v>2929</v>
      </c>
      <c r="E3378" t="s">
        <v>157</v>
      </c>
    </row>
    <row r="3379" spans="1:5">
      <c r="A3379">
        <v>3377</v>
      </c>
      <c r="B3379" t="s">
        <v>3462</v>
      </c>
      <c r="C3379" t="s">
        <v>6998</v>
      </c>
      <c r="D3379" t="s">
        <v>2929</v>
      </c>
      <c r="E3379" t="s">
        <v>157</v>
      </c>
    </row>
    <row r="3380" spans="1:5">
      <c r="A3380">
        <v>3378</v>
      </c>
      <c r="B3380" t="s">
        <v>3463</v>
      </c>
      <c r="C3380" t="s">
        <v>6999</v>
      </c>
      <c r="D3380" t="s">
        <v>2929</v>
      </c>
      <c r="E3380" t="s">
        <v>157</v>
      </c>
    </row>
    <row r="3381" spans="1:5">
      <c r="A3381">
        <v>3379</v>
      </c>
      <c r="B3381" t="s">
        <v>3464</v>
      </c>
      <c r="C3381" t="s">
        <v>7000</v>
      </c>
      <c r="D3381" t="s">
        <v>2929</v>
      </c>
      <c r="E3381" t="s">
        <v>157</v>
      </c>
    </row>
    <row r="3382" spans="1:5">
      <c r="A3382">
        <v>3380</v>
      </c>
      <c r="B3382" t="s">
        <v>3465</v>
      </c>
      <c r="C3382" t="s">
        <v>7001</v>
      </c>
      <c r="D3382" t="s">
        <v>2929</v>
      </c>
      <c r="E3382" t="s">
        <v>157</v>
      </c>
    </row>
    <row r="3383" spans="1:5">
      <c r="A3383">
        <v>3381</v>
      </c>
      <c r="B3383" t="s">
        <v>1693</v>
      </c>
      <c r="C3383" t="s">
        <v>5251</v>
      </c>
      <c r="D3383" t="s">
        <v>2929</v>
      </c>
      <c r="E3383" t="s">
        <v>157</v>
      </c>
    </row>
    <row r="3384" spans="1:5">
      <c r="A3384">
        <v>3382</v>
      </c>
      <c r="B3384" t="s">
        <v>3466</v>
      </c>
      <c r="C3384" t="s">
        <v>7002</v>
      </c>
      <c r="D3384" t="s">
        <v>2929</v>
      </c>
      <c r="E3384" t="s">
        <v>157</v>
      </c>
    </row>
    <row r="3385" spans="1:5">
      <c r="A3385">
        <v>3383</v>
      </c>
      <c r="B3385" t="s">
        <v>3467</v>
      </c>
      <c r="C3385" t="s">
        <v>7003</v>
      </c>
      <c r="D3385" t="s">
        <v>2929</v>
      </c>
      <c r="E3385" t="s">
        <v>157</v>
      </c>
    </row>
    <row r="3386" spans="1:5">
      <c r="A3386">
        <v>3384</v>
      </c>
      <c r="B3386" t="s">
        <v>3468</v>
      </c>
      <c r="C3386" t="s">
        <v>7004</v>
      </c>
      <c r="D3386" t="s">
        <v>2929</v>
      </c>
      <c r="E3386" t="s">
        <v>157</v>
      </c>
    </row>
    <row r="3387" spans="1:5">
      <c r="A3387">
        <v>3385</v>
      </c>
      <c r="B3387" t="s">
        <v>3469</v>
      </c>
      <c r="C3387" t="s">
        <v>7005</v>
      </c>
      <c r="D3387" t="s">
        <v>2929</v>
      </c>
      <c r="E3387" t="s">
        <v>157</v>
      </c>
    </row>
    <row r="3388" spans="1:5">
      <c r="A3388">
        <v>3386</v>
      </c>
      <c r="B3388" t="s">
        <v>3470</v>
      </c>
      <c r="C3388" t="s">
        <v>7006</v>
      </c>
      <c r="D3388" t="s">
        <v>2929</v>
      </c>
      <c r="E3388" t="s">
        <v>157</v>
      </c>
    </row>
    <row r="3389" spans="1:5">
      <c r="A3389">
        <v>3387</v>
      </c>
      <c r="B3389" t="s">
        <v>3471</v>
      </c>
      <c r="C3389" t="s">
        <v>7007</v>
      </c>
      <c r="D3389" t="s">
        <v>2929</v>
      </c>
      <c r="E3389" t="s">
        <v>157</v>
      </c>
    </row>
    <row r="3390" spans="1:5">
      <c r="A3390">
        <v>3388</v>
      </c>
      <c r="B3390" t="s">
        <v>3472</v>
      </c>
      <c r="C3390" t="s">
        <v>7008</v>
      </c>
      <c r="D3390" t="s">
        <v>2929</v>
      </c>
      <c r="E3390" t="s">
        <v>157</v>
      </c>
    </row>
    <row r="3391" spans="1:5">
      <c r="A3391">
        <v>3389</v>
      </c>
      <c r="B3391" t="s">
        <v>3473</v>
      </c>
      <c r="C3391" t="s">
        <v>7009</v>
      </c>
      <c r="D3391" t="s">
        <v>2929</v>
      </c>
      <c r="E3391" t="s">
        <v>157</v>
      </c>
    </row>
    <row r="3392" spans="1:5">
      <c r="A3392">
        <v>3390</v>
      </c>
      <c r="B3392" t="s">
        <v>3474</v>
      </c>
      <c r="C3392" t="s">
        <v>7010</v>
      </c>
      <c r="D3392" t="s">
        <v>2929</v>
      </c>
      <c r="E3392" t="s">
        <v>157</v>
      </c>
    </row>
    <row r="3393" spans="1:5">
      <c r="A3393">
        <v>3391</v>
      </c>
      <c r="B3393" t="s">
        <v>3475</v>
      </c>
      <c r="C3393" t="s">
        <v>7011</v>
      </c>
      <c r="D3393" t="s">
        <v>2929</v>
      </c>
      <c r="E3393" t="s">
        <v>157</v>
      </c>
    </row>
    <row r="3394" spans="1:5">
      <c r="A3394">
        <v>3392</v>
      </c>
      <c r="B3394" t="s">
        <v>3476</v>
      </c>
      <c r="C3394" t="s">
        <v>7012</v>
      </c>
      <c r="D3394" t="s">
        <v>2929</v>
      </c>
      <c r="E3394" t="s">
        <v>157</v>
      </c>
    </row>
    <row r="3395" spans="1:5">
      <c r="A3395">
        <v>3393</v>
      </c>
      <c r="B3395" t="s">
        <v>1713</v>
      </c>
      <c r="C3395" t="s">
        <v>5271</v>
      </c>
      <c r="D3395" t="s">
        <v>2929</v>
      </c>
      <c r="E3395" t="s">
        <v>157</v>
      </c>
    </row>
    <row r="3396" spans="1:5">
      <c r="A3396">
        <v>3394</v>
      </c>
      <c r="B3396" t="s">
        <v>7405</v>
      </c>
      <c r="C3396" t="s">
        <v>7406</v>
      </c>
      <c r="D3396" t="s">
        <v>2929</v>
      </c>
      <c r="E3396" t="s">
        <v>157</v>
      </c>
    </row>
    <row r="3397" spans="1:5">
      <c r="A3397">
        <v>3395</v>
      </c>
      <c r="B3397" t="s">
        <v>3477</v>
      </c>
      <c r="C3397" t="s">
        <v>7013</v>
      </c>
      <c r="D3397" t="s">
        <v>2929</v>
      </c>
      <c r="E3397" t="s">
        <v>157</v>
      </c>
    </row>
    <row r="3398" spans="1:5">
      <c r="A3398">
        <v>3396</v>
      </c>
      <c r="B3398" t="s">
        <v>3478</v>
      </c>
      <c r="C3398" t="s">
        <v>7014</v>
      </c>
      <c r="D3398" t="s">
        <v>2929</v>
      </c>
      <c r="E3398" t="s">
        <v>157</v>
      </c>
    </row>
    <row r="3399" spans="1:5">
      <c r="A3399">
        <v>3397</v>
      </c>
      <c r="B3399" t="s">
        <v>3479</v>
      </c>
      <c r="C3399" t="s">
        <v>7015</v>
      </c>
      <c r="D3399" t="s">
        <v>2929</v>
      </c>
      <c r="E3399" t="s">
        <v>157</v>
      </c>
    </row>
    <row r="3400" spans="1:5">
      <c r="A3400">
        <v>3398</v>
      </c>
      <c r="B3400" t="s">
        <v>3480</v>
      </c>
      <c r="C3400" t="s">
        <v>7016</v>
      </c>
      <c r="D3400" t="s">
        <v>2929</v>
      </c>
      <c r="E3400" t="s">
        <v>157</v>
      </c>
    </row>
    <row r="3401" spans="1:5">
      <c r="A3401">
        <v>3399</v>
      </c>
      <c r="B3401" t="s">
        <v>1727</v>
      </c>
      <c r="C3401" t="s">
        <v>5285</v>
      </c>
      <c r="D3401" t="s">
        <v>2929</v>
      </c>
      <c r="E3401" t="s">
        <v>157</v>
      </c>
    </row>
    <row r="3402" spans="1:5">
      <c r="A3402">
        <v>3400</v>
      </c>
      <c r="B3402" t="s">
        <v>3481</v>
      </c>
      <c r="C3402" t="s">
        <v>7017</v>
      </c>
      <c r="D3402" t="s">
        <v>2929</v>
      </c>
      <c r="E3402" t="s">
        <v>157</v>
      </c>
    </row>
    <row r="3403" spans="1:5">
      <c r="A3403">
        <v>3401</v>
      </c>
      <c r="B3403" t="s">
        <v>3482</v>
      </c>
      <c r="C3403" t="s">
        <v>7018</v>
      </c>
      <c r="D3403" t="s">
        <v>2929</v>
      </c>
      <c r="E3403" t="s">
        <v>157</v>
      </c>
    </row>
    <row r="3404" spans="1:5">
      <c r="A3404">
        <v>3402</v>
      </c>
      <c r="B3404" t="s">
        <v>3483</v>
      </c>
      <c r="C3404" t="s">
        <v>7019</v>
      </c>
      <c r="D3404" t="s">
        <v>2929</v>
      </c>
      <c r="E3404" t="s">
        <v>157</v>
      </c>
    </row>
    <row r="3405" spans="1:5">
      <c r="A3405">
        <v>3403</v>
      </c>
      <c r="B3405" t="s">
        <v>3484</v>
      </c>
      <c r="C3405" t="s">
        <v>7020</v>
      </c>
      <c r="D3405" t="s">
        <v>2929</v>
      </c>
      <c r="E3405" t="s">
        <v>157</v>
      </c>
    </row>
    <row r="3406" spans="1:5">
      <c r="A3406">
        <v>3404</v>
      </c>
      <c r="B3406" t="s">
        <v>3485</v>
      </c>
      <c r="C3406" t="s">
        <v>7021</v>
      </c>
      <c r="D3406" t="s">
        <v>2929</v>
      </c>
      <c r="E3406" t="s">
        <v>157</v>
      </c>
    </row>
    <row r="3407" spans="1:5">
      <c r="A3407">
        <v>3405</v>
      </c>
      <c r="B3407" t="s">
        <v>3486</v>
      </c>
      <c r="C3407" t="s">
        <v>7022</v>
      </c>
      <c r="D3407" t="s">
        <v>2929</v>
      </c>
      <c r="E3407" t="s">
        <v>157</v>
      </c>
    </row>
    <row r="3408" spans="1:5">
      <c r="A3408">
        <v>3406</v>
      </c>
      <c r="B3408" t="s">
        <v>3487</v>
      </c>
      <c r="C3408" t="s">
        <v>7023</v>
      </c>
      <c r="D3408" t="s">
        <v>2929</v>
      </c>
      <c r="E3408" t="s">
        <v>157</v>
      </c>
    </row>
    <row r="3409" spans="1:5">
      <c r="A3409">
        <v>3407</v>
      </c>
      <c r="B3409" t="s">
        <v>3488</v>
      </c>
      <c r="C3409" t="s">
        <v>7024</v>
      </c>
      <c r="D3409" t="s">
        <v>2929</v>
      </c>
      <c r="E3409" t="s">
        <v>157</v>
      </c>
    </row>
    <row r="3410" spans="1:5">
      <c r="A3410">
        <v>3408</v>
      </c>
      <c r="B3410" t="s">
        <v>3489</v>
      </c>
      <c r="C3410" t="s">
        <v>7025</v>
      </c>
      <c r="D3410" t="s">
        <v>2929</v>
      </c>
      <c r="E3410" t="s">
        <v>157</v>
      </c>
    </row>
    <row r="3411" spans="1:5">
      <c r="A3411">
        <v>3409</v>
      </c>
      <c r="B3411" t="s">
        <v>3490</v>
      </c>
      <c r="C3411" t="s">
        <v>7026</v>
      </c>
      <c r="D3411" t="s">
        <v>2929</v>
      </c>
      <c r="E3411" t="s">
        <v>157</v>
      </c>
    </row>
    <row r="3412" spans="1:5">
      <c r="A3412">
        <v>3410</v>
      </c>
      <c r="B3412" t="s">
        <v>3491</v>
      </c>
      <c r="C3412" t="s">
        <v>7027</v>
      </c>
      <c r="D3412" t="s">
        <v>2929</v>
      </c>
      <c r="E3412" t="s">
        <v>157</v>
      </c>
    </row>
    <row r="3413" spans="1:5">
      <c r="A3413">
        <v>3411</v>
      </c>
      <c r="B3413" t="s">
        <v>1759</v>
      </c>
      <c r="C3413" t="s">
        <v>5317</v>
      </c>
      <c r="D3413" t="s">
        <v>2929</v>
      </c>
      <c r="E3413" t="s">
        <v>157</v>
      </c>
    </row>
    <row r="3414" spans="1:5">
      <c r="A3414">
        <v>3412</v>
      </c>
      <c r="B3414" t="s">
        <v>3492</v>
      </c>
      <c r="C3414" t="s">
        <v>7028</v>
      </c>
      <c r="D3414" t="s">
        <v>2929</v>
      </c>
      <c r="E3414" t="s">
        <v>157</v>
      </c>
    </row>
    <row r="3415" spans="1:5">
      <c r="A3415">
        <v>3413</v>
      </c>
      <c r="B3415" t="s">
        <v>3493</v>
      </c>
      <c r="C3415" t="s">
        <v>7029</v>
      </c>
      <c r="D3415" t="s">
        <v>2929</v>
      </c>
      <c r="E3415" t="s">
        <v>157</v>
      </c>
    </row>
    <row r="3416" spans="1:5">
      <c r="A3416">
        <v>3414</v>
      </c>
      <c r="B3416" t="s">
        <v>3494</v>
      </c>
      <c r="C3416" t="s">
        <v>7030</v>
      </c>
      <c r="D3416" t="s">
        <v>2929</v>
      </c>
      <c r="E3416" t="s">
        <v>157</v>
      </c>
    </row>
    <row r="3417" spans="1:5">
      <c r="A3417">
        <v>3415</v>
      </c>
      <c r="B3417" t="s">
        <v>3495</v>
      </c>
      <c r="C3417" t="s">
        <v>7031</v>
      </c>
      <c r="D3417" t="s">
        <v>2929</v>
      </c>
      <c r="E3417" t="s">
        <v>157</v>
      </c>
    </row>
    <row r="3418" spans="1:5">
      <c r="A3418">
        <v>3416</v>
      </c>
      <c r="B3418" t="s">
        <v>2987</v>
      </c>
      <c r="C3418" t="s">
        <v>6527</v>
      </c>
      <c r="D3418" t="s">
        <v>3496</v>
      </c>
      <c r="E3418" t="s">
        <v>3745</v>
      </c>
    </row>
    <row r="3419" spans="1:5">
      <c r="A3419">
        <v>3417</v>
      </c>
      <c r="B3419" t="s">
        <v>3497</v>
      </c>
      <c r="C3419" t="s">
        <v>7032</v>
      </c>
      <c r="D3419" t="s">
        <v>3496</v>
      </c>
      <c r="E3419" t="s">
        <v>3745</v>
      </c>
    </row>
    <row r="3420" spans="1:5">
      <c r="A3420">
        <v>3418</v>
      </c>
      <c r="B3420" t="s">
        <v>3320</v>
      </c>
      <c r="C3420" t="s">
        <v>6856</v>
      </c>
      <c r="D3420" t="s">
        <v>3496</v>
      </c>
      <c r="E3420" t="s">
        <v>3745</v>
      </c>
    </row>
    <row r="3421" spans="1:5">
      <c r="A3421">
        <v>3419</v>
      </c>
      <c r="B3421" t="s">
        <v>3498</v>
      </c>
      <c r="C3421" t="s">
        <v>7033</v>
      </c>
      <c r="D3421" t="s">
        <v>3496</v>
      </c>
      <c r="E3421" t="s">
        <v>3745</v>
      </c>
    </row>
    <row r="3422" spans="1:5">
      <c r="A3422">
        <v>3420</v>
      </c>
      <c r="B3422" t="s">
        <v>3499</v>
      </c>
      <c r="C3422" t="s">
        <v>7034</v>
      </c>
      <c r="D3422" t="s">
        <v>3496</v>
      </c>
      <c r="E3422" t="s">
        <v>3745</v>
      </c>
    </row>
    <row r="3423" spans="1:5">
      <c r="A3423">
        <v>3421</v>
      </c>
      <c r="B3423" t="s">
        <v>3500</v>
      </c>
      <c r="C3423" t="s">
        <v>7035</v>
      </c>
      <c r="D3423" t="s">
        <v>3496</v>
      </c>
      <c r="E3423" t="s">
        <v>3745</v>
      </c>
    </row>
    <row r="3424" spans="1:5">
      <c r="A3424">
        <v>3422</v>
      </c>
      <c r="B3424" t="s">
        <v>3501</v>
      </c>
      <c r="C3424" t="s">
        <v>7036</v>
      </c>
      <c r="D3424" t="s">
        <v>3502</v>
      </c>
      <c r="E3424" t="s">
        <v>158</v>
      </c>
    </row>
    <row r="3425" spans="1:5">
      <c r="A3425">
        <v>3423</v>
      </c>
      <c r="B3425" t="s">
        <v>3503</v>
      </c>
      <c r="C3425" t="s">
        <v>7037</v>
      </c>
      <c r="D3425" t="s">
        <v>3502</v>
      </c>
      <c r="E3425" t="s">
        <v>158</v>
      </c>
    </row>
    <row r="3426" spans="1:5">
      <c r="A3426">
        <v>3424</v>
      </c>
      <c r="B3426" t="s">
        <v>3504</v>
      </c>
      <c r="C3426" t="s">
        <v>7038</v>
      </c>
      <c r="D3426" t="s">
        <v>3502</v>
      </c>
      <c r="E3426" t="s">
        <v>158</v>
      </c>
    </row>
    <row r="3427" spans="1:5">
      <c r="A3427">
        <v>3425</v>
      </c>
      <c r="B3427" t="s">
        <v>839</v>
      </c>
      <c r="C3427" t="s">
        <v>7407</v>
      </c>
      <c r="D3427" t="s">
        <v>3502</v>
      </c>
      <c r="E3427" t="s">
        <v>158</v>
      </c>
    </row>
    <row r="3428" spans="1:5">
      <c r="A3428">
        <v>3426</v>
      </c>
      <c r="B3428" t="s">
        <v>3505</v>
      </c>
      <c r="C3428" t="s">
        <v>7039</v>
      </c>
      <c r="D3428" t="s">
        <v>3502</v>
      </c>
      <c r="E3428" t="s">
        <v>158</v>
      </c>
    </row>
    <row r="3429" spans="1:5">
      <c r="A3429">
        <v>3427</v>
      </c>
      <c r="B3429" t="s">
        <v>3506</v>
      </c>
      <c r="C3429" t="s">
        <v>7040</v>
      </c>
      <c r="D3429" t="s">
        <v>3502</v>
      </c>
      <c r="E3429" t="s">
        <v>158</v>
      </c>
    </row>
    <row r="3430" spans="1:5">
      <c r="A3430">
        <v>3428</v>
      </c>
      <c r="B3430" t="s">
        <v>3507</v>
      </c>
      <c r="C3430" t="s">
        <v>7041</v>
      </c>
      <c r="D3430" t="s">
        <v>3502</v>
      </c>
      <c r="E3430" t="s">
        <v>158</v>
      </c>
    </row>
    <row r="3431" spans="1:5">
      <c r="A3431">
        <v>3429</v>
      </c>
      <c r="B3431" t="s">
        <v>3508</v>
      </c>
      <c r="C3431" t="s">
        <v>7042</v>
      </c>
      <c r="D3431" t="s">
        <v>3502</v>
      </c>
      <c r="E3431" t="s">
        <v>158</v>
      </c>
    </row>
    <row r="3432" spans="1:5">
      <c r="A3432">
        <v>3430</v>
      </c>
      <c r="B3432" t="s">
        <v>3509</v>
      </c>
      <c r="C3432" t="s">
        <v>7043</v>
      </c>
      <c r="D3432" t="s">
        <v>3502</v>
      </c>
      <c r="E3432" t="s">
        <v>158</v>
      </c>
    </row>
    <row r="3433" spans="1:5">
      <c r="A3433">
        <v>3431</v>
      </c>
      <c r="B3433" t="s">
        <v>3510</v>
      </c>
      <c r="C3433" t="s">
        <v>7044</v>
      </c>
      <c r="D3433" t="s">
        <v>3502</v>
      </c>
      <c r="E3433" t="s">
        <v>158</v>
      </c>
    </row>
    <row r="3434" spans="1:5">
      <c r="A3434">
        <v>3432</v>
      </c>
      <c r="B3434" t="s">
        <v>3511</v>
      </c>
      <c r="C3434" t="s">
        <v>7045</v>
      </c>
      <c r="D3434" t="s">
        <v>3502</v>
      </c>
      <c r="E3434" t="s">
        <v>158</v>
      </c>
    </row>
    <row r="3435" spans="1:5">
      <c r="A3435">
        <v>3433</v>
      </c>
      <c r="B3435" t="s">
        <v>3512</v>
      </c>
      <c r="C3435" t="s">
        <v>7046</v>
      </c>
      <c r="D3435" t="s">
        <v>3502</v>
      </c>
      <c r="E3435" t="s">
        <v>158</v>
      </c>
    </row>
    <row r="3436" spans="1:5">
      <c r="A3436">
        <v>3434</v>
      </c>
      <c r="B3436" t="s">
        <v>3513</v>
      </c>
      <c r="C3436" t="s">
        <v>7047</v>
      </c>
      <c r="D3436" t="s">
        <v>3502</v>
      </c>
      <c r="E3436" t="s">
        <v>158</v>
      </c>
    </row>
    <row r="3437" spans="1:5">
      <c r="A3437">
        <v>3435</v>
      </c>
      <c r="B3437" t="s">
        <v>3514</v>
      </c>
      <c r="C3437" t="s">
        <v>7048</v>
      </c>
      <c r="D3437" t="s">
        <v>3502</v>
      </c>
      <c r="E3437" t="s">
        <v>158</v>
      </c>
    </row>
    <row r="3438" spans="1:5">
      <c r="A3438">
        <v>3436</v>
      </c>
      <c r="B3438" t="s">
        <v>3515</v>
      </c>
      <c r="C3438" t="s">
        <v>7049</v>
      </c>
      <c r="D3438" t="s">
        <v>3502</v>
      </c>
      <c r="E3438" t="s">
        <v>158</v>
      </c>
    </row>
    <row r="3439" spans="1:5">
      <c r="A3439">
        <v>3437</v>
      </c>
      <c r="B3439" t="s">
        <v>3516</v>
      </c>
      <c r="C3439" t="s">
        <v>7050</v>
      </c>
      <c r="D3439" t="s">
        <v>3502</v>
      </c>
      <c r="E3439" t="s">
        <v>158</v>
      </c>
    </row>
    <row r="3440" spans="1:5">
      <c r="A3440">
        <v>3438</v>
      </c>
      <c r="B3440" t="s">
        <v>3517</v>
      </c>
      <c r="C3440" t="s">
        <v>7051</v>
      </c>
      <c r="D3440" t="s">
        <v>3502</v>
      </c>
      <c r="E3440" t="s">
        <v>158</v>
      </c>
    </row>
    <row r="3441" spans="1:5">
      <c r="A3441">
        <v>3439</v>
      </c>
      <c r="B3441" t="s">
        <v>3518</v>
      </c>
      <c r="C3441" t="s">
        <v>7052</v>
      </c>
      <c r="D3441" t="s">
        <v>3502</v>
      </c>
      <c r="E3441" t="s">
        <v>158</v>
      </c>
    </row>
    <row r="3442" spans="1:5">
      <c r="A3442">
        <v>3440</v>
      </c>
      <c r="B3442" t="s">
        <v>3519</v>
      </c>
      <c r="C3442" t="s">
        <v>7053</v>
      </c>
      <c r="D3442" t="s">
        <v>3502</v>
      </c>
      <c r="E3442" t="s">
        <v>158</v>
      </c>
    </row>
    <row r="3443" spans="1:5">
      <c r="A3443">
        <v>3441</v>
      </c>
      <c r="B3443" t="s">
        <v>3520</v>
      </c>
      <c r="C3443" t="s">
        <v>7054</v>
      </c>
      <c r="D3443" t="s">
        <v>3502</v>
      </c>
      <c r="E3443" t="s">
        <v>158</v>
      </c>
    </row>
    <row r="3444" spans="1:5">
      <c r="A3444">
        <v>3442</v>
      </c>
      <c r="B3444" t="s">
        <v>3522</v>
      </c>
      <c r="C3444" t="s">
        <v>7056</v>
      </c>
      <c r="D3444" t="s">
        <v>3502</v>
      </c>
      <c r="E3444" t="s">
        <v>158</v>
      </c>
    </row>
    <row r="3445" spans="1:5">
      <c r="A3445">
        <v>3443</v>
      </c>
      <c r="B3445" t="s">
        <v>3523</v>
      </c>
      <c r="C3445" t="s">
        <v>7057</v>
      </c>
      <c r="D3445" t="s">
        <v>3502</v>
      </c>
      <c r="E3445" t="s">
        <v>158</v>
      </c>
    </row>
    <row r="3446" spans="1:5">
      <c r="A3446">
        <v>3444</v>
      </c>
      <c r="B3446" t="s">
        <v>3524</v>
      </c>
      <c r="C3446" t="s">
        <v>7058</v>
      </c>
      <c r="D3446" t="s">
        <v>3502</v>
      </c>
      <c r="E3446" t="s">
        <v>158</v>
      </c>
    </row>
    <row r="3447" spans="1:5">
      <c r="A3447">
        <v>3445</v>
      </c>
      <c r="B3447" t="s">
        <v>3525</v>
      </c>
      <c r="C3447" t="s">
        <v>7059</v>
      </c>
      <c r="D3447" t="s">
        <v>3502</v>
      </c>
      <c r="E3447" t="s">
        <v>158</v>
      </c>
    </row>
    <row r="3448" spans="1:5">
      <c r="A3448">
        <v>3446</v>
      </c>
      <c r="B3448" t="s">
        <v>3526</v>
      </c>
      <c r="C3448" t="s">
        <v>7060</v>
      </c>
      <c r="D3448" t="s">
        <v>3502</v>
      </c>
      <c r="E3448" t="s">
        <v>158</v>
      </c>
    </row>
    <row r="3449" spans="1:5">
      <c r="A3449">
        <v>3447</v>
      </c>
      <c r="B3449" t="s">
        <v>3527</v>
      </c>
      <c r="C3449" t="s">
        <v>7061</v>
      </c>
      <c r="D3449" t="s">
        <v>3502</v>
      </c>
      <c r="E3449" t="s">
        <v>158</v>
      </c>
    </row>
    <row r="3450" spans="1:5">
      <c r="A3450">
        <v>3448</v>
      </c>
      <c r="B3450" t="s">
        <v>3528</v>
      </c>
      <c r="C3450" t="s">
        <v>7062</v>
      </c>
      <c r="D3450" t="s">
        <v>3502</v>
      </c>
      <c r="E3450" t="s">
        <v>158</v>
      </c>
    </row>
    <row r="3451" spans="1:5">
      <c r="A3451">
        <v>3449</v>
      </c>
      <c r="B3451" t="s">
        <v>3529</v>
      </c>
      <c r="C3451" t="s">
        <v>7063</v>
      </c>
      <c r="D3451" t="s">
        <v>3502</v>
      </c>
      <c r="E3451" t="s">
        <v>158</v>
      </c>
    </row>
    <row r="3452" spans="1:5">
      <c r="A3452">
        <v>3450</v>
      </c>
      <c r="B3452" t="s">
        <v>3530</v>
      </c>
      <c r="C3452" t="s">
        <v>7064</v>
      </c>
      <c r="D3452" t="s">
        <v>3502</v>
      </c>
      <c r="E3452" t="s">
        <v>158</v>
      </c>
    </row>
    <row r="3453" spans="1:5">
      <c r="A3453">
        <v>3451</v>
      </c>
      <c r="B3453" t="s">
        <v>3531</v>
      </c>
      <c r="C3453" t="s">
        <v>7065</v>
      </c>
      <c r="D3453" t="s">
        <v>3502</v>
      </c>
      <c r="E3453" t="s">
        <v>158</v>
      </c>
    </row>
    <row r="3454" spans="1:5">
      <c r="A3454">
        <v>3452</v>
      </c>
      <c r="B3454" t="s">
        <v>3532</v>
      </c>
      <c r="C3454" t="s">
        <v>7066</v>
      </c>
      <c r="D3454" t="s">
        <v>3502</v>
      </c>
      <c r="E3454" t="s">
        <v>158</v>
      </c>
    </row>
    <row r="3455" spans="1:5">
      <c r="A3455">
        <v>3453</v>
      </c>
      <c r="B3455" t="s">
        <v>3533</v>
      </c>
      <c r="C3455" t="s">
        <v>7067</v>
      </c>
      <c r="D3455" t="s">
        <v>3502</v>
      </c>
      <c r="E3455" t="s">
        <v>158</v>
      </c>
    </row>
    <row r="3456" spans="1:5">
      <c r="A3456">
        <v>3454</v>
      </c>
      <c r="B3456" t="s">
        <v>3534</v>
      </c>
      <c r="C3456" t="s">
        <v>7068</v>
      </c>
      <c r="D3456" t="s">
        <v>3502</v>
      </c>
      <c r="E3456" t="s">
        <v>158</v>
      </c>
    </row>
    <row r="3457" spans="1:5">
      <c r="A3457">
        <v>3455</v>
      </c>
      <c r="B3457" t="s">
        <v>921</v>
      </c>
      <c r="C3457" t="s">
        <v>4487</v>
      </c>
      <c r="D3457" t="s">
        <v>3502</v>
      </c>
      <c r="E3457" t="s">
        <v>158</v>
      </c>
    </row>
    <row r="3458" spans="1:5">
      <c r="A3458">
        <v>3456</v>
      </c>
      <c r="B3458" t="s">
        <v>3535</v>
      </c>
      <c r="C3458" t="s">
        <v>7069</v>
      </c>
      <c r="D3458" t="s">
        <v>3502</v>
      </c>
      <c r="E3458" t="s">
        <v>158</v>
      </c>
    </row>
    <row r="3459" spans="1:5">
      <c r="A3459">
        <v>3457</v>
      </c>
      <c r="B3459" t="s">
        <v>3536</v>
      </c>
      <c r="C3459" t="s">
        <v>7408</v>
      </c>
      <c r="D3459" t="s">
        <v>3502</v>
      </c>
      <c r="E3459" t="s">
        <v>158</v>
      </c>
    </row>
    <row r="3460" spans="1:5">
      <c r="A3460">
        <v>3458</v>
      </c>
      <c r="B3460" t="s">
        <v>3537</v>
      </c>
      <c r="C3460" t="s">
        <v>7070</v>
      </c>
      <c r="D3460" t="s">
        <v>3502</v>
      </c>
      <c r="E3460" t="s">
        <v>158</v>
      </c>
    </row>
    <row r="3461" spans="1:5">
      <c r="A3461">
        <v>3459</v>
      </c>
      <c r="B3461" t="s">
        <v>3538</v>
      </c>
      <c r="C3461" t="s">
        <v>7071</v>
      </c>
      <c r="D3461" t="s">
        <v>3502</v>
      </c>
      <c r="E3461" t="s">
        <v>158</v>
      </c>
    </row>
    <row r="3462" spans="1:5">
      <c r="A3462">
        <v>3460</v>
      </c>
      <c r="B3462" t="s">
        <v>3539</v>
      </c>
      <c r="C3462" t="s">
        <v>7072</v>
      </c>
      <c r="D3462" t="s">
        <v>3502</v>
      </c>
      <c r="E3462" t="s">
        <v>158</v>
      </c>
    </row>
    <row r="3463" spans="1:5">
      <c r="A3463">
        <v>3461</v>
      </c>
      <c r="B3463" t="s">
        <v>2855</v>
      </c>
      <c r="C3463" t="s">
        <v>6398</v>
      </c>
      <c r="D3463" t="s">
        <v>3502</v>
      </c>
      <c r="E3463" t="s">
        <v>158</v>
      </c>
    </row>
    <row r="3464" spans="1:5">
      <c r="A3464">
        <v>3462</v>
      </c>
      <c r="B3464" t="s">
        <v>3540</v>
      </c>
      <c r="C3464" t="s">
        <v>7073</v>
      </c>
      <c r="D3464" t="s">
        <v>3502</v>
      </c>
      <c r="E3464" t="s">
        <v>158</v>
      </c>
    </row>
    <row r="3465" spans="1:5">
      <c r="A3465">
        <v>3463</v>
      </c>
      <c r="B3465" t="s">
        <v>3541</v>
      </c>
      <c r="C3465" t="s">
        <v>7074</v>
      </c>
      <c r="D3465" t="s">
        <v>3502</v>
      </c>
      <c r="E3465" t="s">
        <v>158</v>
      </c>
    </row>
    <row r="3466" spans="1:5">
      <c r="A3466">
        <v>3464</v>
      </c>
      <c r="B3466" t="s">
        <v>3542</v>
      </c>
      <c r="C3466" t="s">
        <v>7075</v>
      </c>
      <c r="D3466" t="s">
        <v>3502</v>
      </c>
      <c r="E3466" t="s">
        <v>158</v>
      </c>
    </row>
    <row r="3467" spans="1:5">
      <c r="A3467">
        <v>3465</v>
      </c>
      <c r="B3467" t="s">
        <v>1256</v>
      </c>
      <c r="C3467" t="s">
        <v>7397</v>
      </c>
      <c r="D3467" t="s">
        <v>3502</v>
      </c>
      <c r="E3467" t="s">
        <v>158</v>
      </c>
    </row>
    <row r="3468" spans="1:5">
      <c r="A3468">
        <v>3466</v>
      </c>
      <c r="B3468" t="s">
        <v>3543</v>
      </c>
      <c r="C3468" t="s">
        <v>7076</v>
      </c>
      <c r="D3468" t="s">
        <v>3502</v>
      </c>
      <c r="E3468" t="s">
        <v>158</v>
      </c>
    </row>
    <row r="3469" spans="1:5">
      <c r="A3469">
        <v>3467</v>
      </c>
      <c r="B3469" t="s">
        <v>1258</v>
      </c>
      <c r="C3469" t="s">
        <v>4821</v>
      </c>
      <c r="D3469" t="s">
        <v>3502</v>
      </c>
      <c r="E3469" t="s">
        <v>158</v>
      </c>
    </row>
    <row r="3470" spans="1:5">
      <c r="A3470">
        <v>3468</v>
      </c>
      <c r="B3470" t="s">
        <v>3544</v>
      </c>
      <c r="C3470" t="s">
        <v>7077</v>
      </c>
      <c r="D3470" t="s">
        <v>3502</v>
      </c>
      <c r="E3470" t="s">
        <v>158</v>
      </c>
    </row>
    <row r="3471" spans="1:5">
      <c r="A3471">
        <v>3469</v>
      </c>
      <c r="B3471" t="s">
        <v>3545</v>
      </c>
      <c r="C3471" t="s">
        <v>7078</v>
      </c>
      <c r="D3471" t="s">
        <v>3502</v>
      </c>
      <c r="E3471" t="s">
        <v>158</v>
      </c>
    </row>
    <row r="3472" spans="1:5">
      <c r="A3472">
        <v>3470</v>
      </c>
      <c r="B3472" t="s">
        <v>3546</v>
      </c>
      <c r="C3472" t="s">
        <v>7079</v>
      </c>
      <c r="D3472" t="s">
        <v>3502</v>
      </c>
      <c r="E3472" t="s">
        <v>158</v>
      </c>
    </row>
    <row r="3473" spans="1:5">
      <c r="A3473">
        <v>3471</v>
      </c>
      <c r="B3473" t="s">
        <v>3547</v>
      </c>
      <c r="C3473" t="s">
        <v>7080</v>
      </c>
      <c r="D3473" t="s">
        <v>3502</v>
      </c>
      <c r="E3473" t="s">
        <v>158</v>
      </c>
    </row>
    <row r="3474" spans="1:5">
      <c r="A3474">
        <v>3472</v>
      </c>
      <c r="B3474" t="s">
        <v>3548</v>
      </c>
      <c r="C3474" t="s">
        <v>7081</v>
      </c>
      <c r="D3474" t="s">
        <v>3502</v>
      </c>
      <c r="E3474" t="s">
        <v>158</v>
      </c>
    </row>
    <row r="3475" spans="1:5">
      <c r="A3475">
        <v>3473</v>
      </c>
      <c r="B3475" t="s">
        <v>3549</v>
      </c>
      <c r="C3475" t="s">
        <v>7082</v>
      </c>
      <c r="D3475" t="s">
        <v>3502</v>
      </c>
      <c r="E3475" t="s">
        <v>158</v>
      </c>
    </row>
    <row r="3476" spans="1:5">
      <c r="A3476">
        <v>3474</v>
      </c>
      <c r="B3476" t="s">
        <v>3550</v>
      </c>
      <c r="C3476" t="s">
        <v>7083</v>
      </c>
      <c r="D3476" t="s">
        <v>3502</v>
      </c>
      <c r="E3476" t="s">
        <v>158</v>
      </c>
    </row>
    <row r="3477" spans="1:5">
      <c r="A3477">
        <v>3475</v>
      </c>
      <c r="B3477" t="s">
        <v>3551</v>
      </c>
      <c r="C3477" t="s">
        <v>7084</v>
      </c>
      <c r="D3477" t="s">
        <v>3502</v>
      </c>
      <c r="E3477" t="s">
        <v>158</v>
      </c>
    </row>
    <row r="3478" spans="1:5">
      <c r="A3478">
        <v>3476</v>
      </c>
      <c r="B3478" t="s">
        <v>3552</v>
      </c>
      <c r="C3478" t="s">
        <v>7085</v>
      </c>
      <c r="D3478" t="s">
        <v>3502</v>
      </c>
      <c r="E3478" t="s">
        <v>158</v>
      </c>
    </row>
    <row r="3479" spans="1:5">
      <c r="A3479">
        <v>3477</v>
      </c>
      <c r="B3479" t="s">
        <v>3553</v>
      </c>
      <c r="C3479" t="s">
        <v>7086</v>
      </c>
      <c r="D3479" t="s">
        <v>3502</v>
      </c>
      <c r="E3479" t="s">
        <v>158</v>
      </c>
    </row>
    <row r="3480" spans="1:5">
      <c r="A3480">
        <v>3478</v>
      </c>
      <c r="B3480" t="s">
        <v>3554</v>
      </c>
      <c r="C3480" t="s">
        <v>7087</v>
      </c>
      <c r="D3480" t="s">
        <v>3502</v>
      </c>
      <c r="E3480" t="s">
        <v>158</v>
      </c>
    </row>
    <row r="3481" spans="1:5">
      <c r="A3481">
        <v>3479</v>
      </c>
      <c r="B3481" t="s">
        <v>3555</v>
      </c>
      <c r="C3481" t="s">
        <v>7088</v>
      </c>
      <c r="D3481" t="s">
        <v>3502</v>
      </c>
      <c r="E3481" t="s">
        <v>158</v>
      </c>
    </row>
    <row r="3482" spans="1:5">
      <c r="A3482">
        <v>3480</v>
      </c>
      <c r="B3482" t="s">
        <v>3556</v>
      </c>
      <c r="C3482" t="s">
        <v>7089</v>
      </c>
      <c r="D3482" t="s">
        <v>3502</v>
      </c>
      <c r="E3482" t="s">
        <v>158</v>
      </c>
    </row>
    <row r="3483" spans="1:5">
      <c r="A3483">
        <v>3481</v>
      </c>
      <c r="B3483" t="s">
        <v>3557</v>
      </c>
      <c r="C3483" t="s">
        <v>7090</v>
      </c>
      <c r="D3483" t="s">
        <v>3502</v>
      </c>
      <c r="E3483" t="s">
        <v>158</v>
      </c>
    </row>
    <row r="3484" spans="1:5">
      <c r="A3484">
        <v>3482</v>
      </c>
      <c r="B3484" t="s">
        <v>3558</v>
      </c>
      <c r="C3484" t="s">
        <v>7091</v>
      </c>
      <c r="D3484" t="s">
        <v>3502</v>
      </c>
      <c r="E3484" t="s">
        <v>158</v>
      </c>
    </row>
    <row r="3485" spans="1:5">
      <c r="A3485">
        <v>3483</v>
      </c>
      <c r="B3485" t="s">
        <v>3559</v>
      </c>
      <c r="C3485" t="s">
        <v>7092</v>
      </c>
      <c r="D3485" t="s">
        <v>3502</v>
      </c>
      <c r="E3485" t="s">
        <v>158</v>
      </c>
    </row>
    <row r="3486" spans="1:5">
      <c r="A3486">
        <v>3484</v>
      </c>
      <c r="B3486" t="s">
        <v>3560</v>
      </c>
      <c r="C3486" t="s">
        <v>7093</v>
      </c>
      <c r="D3486" t="s">
        <v>3502</v>
      </c>
      <c r="E3486" t="s">
        <v>158</v>
      </c>
    </row>
    <row r="3487" spans="1:5">
      <c r="A3487">
        <v>3485</v>
      </c>
      <c r="B3487" t="s">
        <v>1457</v>
      </c>
      <c r="C3487" t="s">
        <v>5018</v>
      </c>
      <c r="D3487" t="s">
        <v>3502</v>
      </c>
      <c r="E3487" t="s">
        <v>158</v>
      </c>
    </row>
    <row r="3488" spans="1:5">
      <c r="A3488">
        <v>3486</v>
      </c>
      <c r="B3488" t="s">
        <v>3561</v>
      </c>
      <c r="C3488" t="s">
        <v>7094</v>
      </c>
      <c r="D3488" t="s">
        <v>3502</v>
      </c>
      <c r="E3488" t="s">
        <v>158</v>
      </c>
    </row>
    <row r="3489" spans="1:5">
      <c r="A3489">
        <v>3487</v>
      </c>
      <c r="B3489" t="s">
        <v>3562</v>
      </c>
      <c r="C3489" t="s">
        <v>7095</v>
      </c>
      <c r="D3489" t="s">
        <v>3502</v>
      </c>
      <c r="E3489" t="s">
        <v>158</v>
      </c>
    </row>
    <row r="3490" spans="1:5">
      <c r="A3490">
        <v>3488</v>
      </c>
      <c r="B3490" t="s">
        <v>3563</v>
      </c>
      <c r="C3490" t="s">
        <v>7096</v>
      </c>
      <c r="D3490" t="s">
        <v>3502</v>
      </c>
      <c r="E3490" t="s">
        <v>158</v>
      </c>
    </row>
    <row r="3491" spans="1:5">
      <c r="A3491">
        <v>3489</v>
      </c>
      <c r="B3491" t="s">
        <v>3564</v>
      </c>
      <c r="C3491" t="s">
        <v>7097</v>
      </c>
      <c r="D3491" t="s">
        <v>3502</v>
      </c>
      <c r="E3491" t="s">
        <v>158</v>
      </c>
    </row>
    <row r="3492" spans="1:5">
      <c r="A3492">
        <v>3490</v>
      </c>
      <c r="B3492" t="s">
        <v>3565</v>
      </c>
      <c r="C3492" t="s">
        <v>7098</v>
      </c>
      <c r="D3492" t="s">
        <v>3502</v>
      </c>
      <c r="E3492" t="s">
        <v>158</v>
      </c>
    </row>
    <row r="3493" spans="1:5">
      <c r="A3493">
        <v>3491</v>
      </c>
      <c r="B3493" t="s">
        <v>3566</v>
      </c>
      <c r="C3493" t="s">
        <v>7099</v>
      </c>
      <c r="D3493" t="s">
        <v>3502</v>
      </c>
      <c r="E3493" t="s">
        <v>158</v>
      </c>
    </row>
    <row r="3494" spans="1:5">
      <c r="A3494">
        <v>3492</v>
      </c>
      <c r="B3494" t="s">
        <v>3567</v>
      </c>
      <c r="C3494" t="s">
        <v>7100</v>
      </c>
      <c r="D3494" t="s">
        <v>3502</v>
      </c>
      <c r="E3494" t="s">
        <v>158</v>
      </c>
    </row>
    <row r="3495" spans="1:5">
      <c r="A3495">
        <v>3493</v>
      </c>
      <c r="B3495" t="s">
        <v>3568</v>
      </c>
      <c r="C3495" t="s">
        <v>7101</v>
      </c>
      <c r="D3495" t="s">
        <v>3502</v>
      </c>
      <c r="E3495" t="s">
        <v>158</v>
      </c>
    </row>
    <row r="3496" spans="1:5">
      <c r="A3496">
        <v>3494</v>
      </c>
      <c r="B3496" t="s">
        <v>3569</v>
      </c>
      <c r="C3496" t="s">
        <v>7102</v>
      </c>
      <c r="D3496" t="s">
        <v>3502</v>
      </c>
      <c r="E3496" t="s">
        <v>158</v>
      </c>
    </row>
    <row r="3497" spans="1:5">
      <c r="A3497">
        <v>3495</v>
      </c>
      <c r="B3497" t="s">
        <v>3570</v>
      </c>
      <c r="C3497" t="s">
        <v>7103</v>
      </c>
      <c r="D3497" t="s">
        <v>3502</v>
      </c>
      <c r="E3497" t="s">
        <v>158</v>
      </c>
    </row>
    <row r="3498" spans="1:5">
      <c r="A3498">
        <v>3496</v>
      </c>
      <c r="B3498" t="s">
        <v>3571</v>
      </c>
      <c r="C3498" t="s">
        <v>7104</v>
      </c>
      <c r="D3498" t="s">
        <v>3502</v>
      </c>
      <c r="E3498" t="s">
        <v>158</v>
      </c>
    </row>
    <row r="3499" spans="1:5">
      <c r="A3499">
        <v>3497</v>
      </c>
      <c r="B3499" t="s">
        <v>3572</v>
      </c>
      <c r="C3499" t="s">
        <v>7105</v>
      </c>
      <c r="D3499" t="s">
        <v>3502</v>
      </c>
      <c r="E3499" t="s">
        <v>158</v>
      </c>
    </row>
    <row r="3500" spans="1:5">
      <c r="A3500">
        <v>3498</v>
      </c>
      <c r="B3500" t="s">
        <v>3573</v>
      </c>
      <c r="C3500" t="s">
        <v>7106</v>
      </c>
      <c r="D3500" t="s">
        <v>3502</v>
      </c>
      <c r="E3500" t="s">
        <v>158</v>
      </c>
    </row>
    <row r="3501" spans="1:5">
      <c r="A3501">
        <v>3499</v>
      </c>
      <c r="B3501" t="s">
        <v>3574</v>
      </c>
      <c r="C3501" t="s">
        <v>7107</v>
      </c>
      <c r="D3501" t="s">
        <v>3502</v>
      </c>
      <c r="E3501" t="s">
        <v>158</v>
      </c>
    </row>
    <row r="3502" spans="1:5">
      <c r="A3502">
        <v>3500</v>
      </c>
      <c r="B3502" t="s">
        <v>3575</v>
      </c>
      <c r="C3502" t="s">
        <v>7108</v>
      </c>
      <c r="D3502" t="s">
        <v>3502</v>
      </c>
      <c r="E3502" t="s">
        <v>158</v>
      </c>
    </row>
    <row r="3503" spans="1:5">
      <c r="A3503">
        <v>3501</v>
      </c>
      <c r="B3503" t="s">
        <v>3576</v>
      </c>
      <c r="C3503" t="s">
        <v>7109</v>
      </c>
      <c r="D3503" t="s">
        <v>3502</v>
      </c>
      <c r="E3503" t="s">
        <v>158</v>
      </c>
    </row>
    <row r="3504" spans="1:5">
      <c r="A3504">
        <v>3502</v>
      </c>
      <c r="B3504" t="s">
        <v>3577</v>
      </c>
      <c r="C3504" t="s">
        <v>7110</v>
      </c>
      <c r="D3504" t="s">
        <v>3502</v>
      </c>
      <c r="E3504" t="s">
        <v>158</v>
      </c>
    </row>
    <row r="3505" spans="1:5">
      <c r="A3505">
        <v>3503</v>
      </c>
      <c r="B3505" t="s">
        <v>3578</v>
      </c>
      <c r="C3505" t="s">
        <v>7111</v>
      </c>
      <c r="D3505" t="s">
        <v>3502</v>
      </c>
      <c r="E3505" t="s">
        <v>158</v>
      </c>
    </row>
    <row r="3506" spans="1:5">
      <c r="A3506">
        <v>3504</v>
      </c>
      <c r="B3506" t="s">
        <v>3579</v>
      </c>
      <c r="C3506" t="s">
        <v>7112</v>
      </c>
      <c r="D3506" t="s">
        <v>3502</v>
      </c>
      <c r="E3506" t="s">
        <v>158</v>
      </c>
    </row>
    <row r="3507" spans="1:5">
      <c r="A3507">
        <v>3505</v>
      </c>
      <c r="B3507" t="s">
        <v>3580</v>
      </c>
      <c r="C3507" t="s">
        <v>7113</v>
      </c>
      <c r="D3507" t="s">
        <v>3502</v>
      </c>
      <c r="E3507" t="s">
        <v>158</v>
      </c>
    </row>
    <row r="3508" spans="1:5">
      <c r="A3508">
        <v>3506</v>
      </c>
      <c r="B3508" t="s">
        <v>3581</v>
      </c>
      <c r="C3508" t="s">
        <v>7114</v>
      </c>
      <c r="D3508" t="s">
        <v>3502</v>
      </c>
      <c r="E3508" t="s">
        <v>158</v>
      </c>
    </row>
    <row r="3509" spans="1:5">
      <c r="A3509">
        <v>3507</v>
      </c>
      <c r="B3509" t="s">
        <v>2886</v>
      </c>
      <c r="C3509" t="s">
        <v>6429</v>
      </c>
      <c r="D3509" t="s">
        <v>3502</v>
      </c>
      <c r="E3509" t="s">
        <v>158</v>
      </c>
    </row>
    <row r="3510" spans="1:5">
      <c r="A3510">
        <v>3508</v>
      </c>
      <c r="B3510" t="s">
        <v>3582</v>
      </c>
      <c r="C3510" t="s">
        <v>7115</v>
      </c>
      <c r="D3510" t="s">
        <v>3502</v>
      </c>
      <c r="E3510" t="s">
        <v>158</v>
      </c>
    </row>
    <row r="3511" spans="1:5">
      <c r="A3511">
        <v>3509</v>
      </c>
      <c r="B3511" t="s">
        <v>3583</v>
      </c>
      <c r="C3511" t="s">
        <v>7116</v>
      </c>
      <c r="D3511" t="s">
        <v>3502</v>
      </c>
      <c r="E3511" t="s">
        <v>158</v>
      </c>
    </row>
    <row r="3512" spans="1:5">
      <c r="A3512">
        <v>3510</v>
      </c>
      <c r="B3512" t="s">
        <v>3584</v>
      </c>
      <c r="C3512" t="s">
        <v>7117</v>
      </c>
      <c r="D3512" t="s">
        <v>3502</v>
      </c>
      <c r="E3512" t="s">
        <v>158</v>
      </c>
    </row>
    <row r="3513" spans="1:5">
      <c r="A3513">
        <v>3511</v>
      </c>
      <c r="B3513" t="s">
        <v>3585</v>
      </c>
      <c r="C3513" t="s">
        <v>7118</v>
      </c>
      <c r="D3513" t="s">
        <v>3502</v>
      </c>
      <c r="E3513" t="s">
        <v>158</v>
      </c>
    </row>
    <row r="3514" spans="1:5">
      <c r="A3514">
        <v>3512</v>
      </c>
      <c r="B3514" t="s">
        <v>3586</v>
      </c>
      <c r="C3514" t="s">
        <v>7119</v>
      </c>
      <c r="D3514" t="s">
        <v>3502</v>
      </c>
      <c r="E3514" t="s">
        <v>158</v>
      </c>
    </row>
    <row r="3515" spans="1:5">
      <c r="A3515">
        <v>3513</v>
      </c>
      <c r="B3515" t="s">
        <v>3587</v>
      </c>
      <c r="C3515" t="s">
        <v>7120</v>
      </c>
      <c r="D3515" t="s">
        <v>3502</v>
      </c>
      <c r="E3515" t="s">
        <v>158</v>
      </c>
    </row>
    <row r="3516" spans="1:5">
      <c r="A3516">
        <v>3514</v>
      </c>
      <c r="B3516" t="s">
        <v>3588</v>
      </c>
      <c r="C3516" t="s">
        <v>7121</v>
      </c>
      <c r="D3516" t="s">
        <v>3502</v>
      </c>
      <c r="E3516" t="s">
        <v>158</v>
      </c>
    </row>
    <row r="3517" spans="1:5">
      <c r="A3517">
        <v>3515</v>
      </c>
      <c r="B3517" t="s">
        <v>3589</v>
      </c>
      <c r="C3517" t="s">
        <v>7122</v>
      </c>
      <c r="D3517" t="s">
        <v>3502</v>
      </c>
      <c r="E3517" t="s">
        <v>158</v>
      </c>
    </row>
    <row r="3518" spans="1:5">
      <c r="A3518">
        <v>3516</v>
      </c>
      <c r="B3518" t="s">
        <v>3590</v>
      </c>
      <c r="C3518" t="s">
        <v>7123</v>
      </c>
      <c r="D3518" t="s">
        <v>3502</v>
      </c>
      <c r="E3518" t="s">
        <v>158</v>
      </c>
    </row>
    <row r="3519" spans="1:5">
      <c r="A3519">
        <v>3517</v>
      </c>
      <c r="B3519" t="s">
        <v>3591</v>
      </c>
      <c r="C3519" t="s">
        <v>7124</v>
      </c>
      <c r="D3519" t="s">
        <v>3502</v>
      </c>
      <c r="E3519" t="s">
        <v>158</v>
      </c>
    </row>
    <row r="3520" spans="1:5">
      <c r="A3520">
        <v>3518</v>
      </c>
      <c r="B3520" t="s">
        <v>3592</v>
      </c>
      <c r="C3520" t="s">
        <v>7125</v>
      </c>
      <c r="D3520" t="s">
        <v>3502</v>
      </c>
      <c r="E3520" t="s">
        <v>158</v>
      </c>
    </row>
    <row r="3521" spans="1:5">
      <c r="A3521">
        <v>3519</v>
      </c>
      <c r="B3521" t="s">
        <v>3593</v>
      </c>
      <c r="C3521" t="s">
        <v>7126</v>
      </c>
      <c r="D3521" t="s">
        <v>3502</v>
      </c>
      <c r="E3521" t="s">
        <v>158</v>
      </c>
    </row>
    <row r="3522" spans="1:5">
      <c r="A3522">
        <v>3520</v>
      </c>
      <c r="B3522" t="s">
        <v>3594</v>
      </c>
      <c r="C3522" t="s">
        <v>7127</v>
      </c>
      <c r="D3522" t="s">
        <v>3502</v>
      </c>
      <c r="E3522" t="s">
        <v>158</v>
      </c>
    </row>
    <row r="3523" spans="1:5">
      <c r="A3523">
        <v>3521</v>
      </c>
      <c r="B3523" t="s">
        <v>3595</v>
      </c>
      <c r="C3523" t="s">
        <v>7128</v>
      </c>
      <c r="D3523" t="s">
        <v>3502</v>
      </c>
      <c r="E3523" t="s">
        <v>158</v>
      </c>
    </row>
    <row r="3524" spans="1:5">
      <c r="A3524">
        <v>3522</v>
      </c>
      <c r="B3524" t="s">
        <v>3596</v>
      </c>
      <c r="C3524" t="s">
        <v>7129</v>
      </c>
      <c r="D3524" t="s">
        <v>3502</v>
      </c>
      <c r="E3524" t="s">
        <v>158</v>
      </c>
    </row>
    <row r="3525" spans="1:5">
      <c r="A3525">
        <v>3523</v>
      </c>
      <c r="B3525" t="s">
        <v>3597</v>
      </c>
      <c r="C3525" t="s">
        <v>7130</v>
      </c>
      <c r="D3525" t="s">
        <v>3502</v>
      </c>
      <c r="E3525" t="s">
        <v>158</v>
      </c>
    </row>
    <row r="3526" spans="1:5">
      <c r="A3526">
        <v>3524</v>
      </c>
      <c r="B3526" t="s">
        <v>3598</v>
      </c>
      <c r="C3526" t="s">
        <v>7131</v>
      </c>
      <c r="D3526" t="s">
        <v>3502</v>
      </c>
      <c r="E3526" t="s">
        <v>158</v>
      </c>
    </row>
    <row r="3527" spans="1:5">
      <c r="A3527">
        <v>3525</v>
      </c>
      <c r="B3527" t="s">
        <v>3599</v>
      </c>
      <c r="C3527" t="s">
        <v>7132</v>
      </c>
      <c r="D3527" t="s">
        <v>3502</v>
      </c>
      <c r="E3527" t="s">
        <v>158</v>
      </c>
    </row>
    <row r="3528" spans="1:5">
      <c r="A3528">
        <v>3526</v>
      </c>
      <c r="B3528" t="s">
        <v>3600</v>
      </c>
      <c r="C3528" t="s">
        <v>7133</v>
      </c>
      <c r="D3528" t="s">
        <v>3502</v>
      </c>
      <c r="E3528" t="s">
        <v>158</v>
      </c>
    </row>
    <row r="3529" spans="1:5">
      <c r="A3529">
        <v>3527</v>
      </c>
      <c r="B3529" t="s">
        <v>3601</v>
      </c>
      <c r="C3529" t="s">
        <v>7134</v>
      </c>
      <c r="D3529" t="s">
        <v>3502</v>
      </c>
      <c r="E3529" t="s">
        <v>158</v>
      </c>
    </row>
    <row r="3530" spans="1:5">
      <c r="A3530">
        <v>3528</v>
      </c>
      <c r="B3530" t="s">
        <v>3602</v>
      </c>
      <c r="C3530" t="s">
        <v>7135</v>
      </c>
      <c r="D3530" t="s">
        <v>3502</v>
      </c>
      <c r="E3530" t="s">
        <v>158</v>
      </c>
    </row>
    <row r="3531" spans="1:5">
      <c r="A3531">
        <v>3529</v>
      </c>
      <c r="B3531" t="s">
        <v>3603</v>
      </c>
      <c r="C3531" t="s">
        <v>7136</v>
      </c>
      <c r="D3531" t="s">
        <v>3502</v>
      </c>
      <c r="E3531" t="s">
        <v>158</v>
      </c>
    </row>
    <row r="3532" spans="1:5">
      <c r="A3532">
        <v>3530</v>
      </c>
      <c r="B3532" t="s">
        <v>3604</v>
      </c>
      <c r="C3532" t="s">
        <v>7137</v>
      </c>
      <c r="D3532" t="s">
        <v>3502</v>
      </c>
      <c r="E3532" t="s">
        <v>158</v>
      </c>
    </row>
    <row r="3533" spans="1:5">
      <c r="A3533">
        <v>3531</v>
      </c>
      <c r="B3533" t="s">
        <v>3605</v>
      </c>
      <c r="C3533" t="s">
        <v>7138</v>
      </c>
      <c r="D3533" t="s">
        <v>3606</v>
      </c>
      <c r="E3533" t="s">
        <v>3746</v>
      </c>
    </row>
    <row r="3534" spans="1:5">
      <c r="A3534">
        <v>3532</v>
      </c>
      <c r="B3534" t="s">
        <v>3607</v>
      </c>
      <c r="C3534" t="s">
        <v>7139</v>
      </c>
      <c r="D3534" t="s">
        <v>3606</v>
      </c>
      <c r="E3534" t="s">
        <v>3746</v>
      </c>
    </row>
    <row r="3535" spans="1:5">
      <c r="A3535">
        <v>3533</v>
      </c>
      <c r="B3535" t="s">
        <v>3608</v>
      </c>
      <c r="C3535" t="s">
        <v>7140</v>
      </c>
      <c r="D3535" t="s">
        <v>3606</v>
      </c>
      <c r="E3535" t="s">
        <v>3746</v>
      </c>
    </row>
    <row r="3536" spans="1:5">
      <c r="A3536">
        <v>3534</v>
      </c>
      <c r="B3536" t="s">
        <v>3609</v>
      </c>
      <c r="C3536" t="s">
        <v>7141</v>
      </c>
      <c r="D3536" t="s">
        <v>3606</v>
      </c>
      <c r="E3536" t="s">
        <v>3746</v>
      </c>
    </row>
    <row r="3537" spans="1:5">
      <c r="A3537">
        <v>3535</v>
      </c>
      <c r="B3537" t="s">
        <v>3610</v>
      </c>
      <c r="C3537" t="s">
        <v>7142</v>
      </c>
      <c r="D3537" t="s">
        <v>3606</v>
      </c>
      <c r="E3537" t="s">
        <v>3746</v>
      </c>
    </row>
    <row r="3538" spans="1:5">
      <c r="A3538">
        <v>3536</v>
      </c>
      <c r="B3538" t="s">
        <v>3611</v>
      </c>
      <c r="C3538" t="s">
        <v>7143</v>
      </c>
      <c r="D3538" t="s">
        <v>3606</v>
      </c>
      <c r="E3538" t="s">
        <v>3746</v>
      </c>
    </row>
    <row r="3539" spans="1:5">
      <c r="A3539">
        <v>3537</v>
      </c>
      <c r="B3539" t="s">
        <v>3612</v>
      </c>
      <c r="C3539" t="s">
        <v>7144</v>
      </c>
      <c r="D3539" t="s">
        <v>3606</v>
      </c>
      <c r="E3539" t="s">
        <v>3746</v>
      </c>
    </row>
    <row r="3540" spans="1:5">
      <c r="A3540">
        <v>3538</v>
      </c>
      <c r="B3540" t="s">
        <v>3613</v>
      </c>
      <c r="C3540" t="s">
        <v>7145</v>
      </c>
      <c r="D3540" t="s">
        <v>3606</v>
      </c>
      <c r="E3540" t="s">
        <v>3746</v>
      </c>
    </row>
    <row r="3541" spans="1:5">
      <c r="A3541">
        <v>3539</v>
      </c>
      <c r="B3541" t="s">
        <v>3614</v>
      </c>
      <c r="C3541" t="s">
        <v>7146</v>
      </c>
      <c r="D3541" t="s">
        <v>3606</v>
      </c>
      <c r="E3541" t="s">
        <v>3746</v>
      </c>
    </row>
    <row r="3542" spans="1:5">
      <c r="A3542">
        <v>3540</v>
      </c>
      <c r="B3542" t="s">
        <v>3615</v>
      </c>
      <c r="C3542" t="s">
        <v>7147</v>
      </c>
      <c r="D3542" t="s">
        <v>3606</v>
      </c>
      <c r="E3542" t="s">
        <v>3746</v>
      </c>
    </row>
    <row r="3543" spans="1:5">
      <c r="A3543">
        <v>3541</v>
      </c>
      <c r="B3543" t="s">
        <v>3616</v>
      </c>
      <c r="C3543" t="s">
        <v>7148</v>
      </c>
      <c r="D3543" t="s">
        <v>3606</v>
      </c>
      <c r="E3543" t="s">
        <v>3746</v>
      </c>
    </row>
    <row r="3544" spans="1:5">
      <c r="A3544">
        <v>3542</v>
      </c>
      <c r="B3544" t="s">
        <v>3617</v>
      </c>
      <c r="C3544" t="s">
        <v>7149</v>
      </c>
      <c r="D3544" t="s">
        <v>3606</v>
      </c>
      <c r="E3544" t="s">
        <v>3746</v>
      </c>
    </row>
    <row r="3545" spans="1:5">
      <c r="A3545">
        <v>3543</v>
      </c>
      <c r="B3545" t="s">
        <v>3618</v>
      </c>
      <c r="C3545" t="s">
        <v>7150</v>
      </c>
      <c r="D3545" t="s">
        <v>3606</v>
      </c>
      <c r="E3545" t="s">
        <v>3746</v>
      </c>
    </row>
    <row r="3546" spans="1:5">
      <c r="A3546">
        <v>3544</v>
      </c>
      <c r="B3546" t="s">
        <v>3619</v>
      </c>
      <c r="C3546" t="s">
        <v>7151</v>
      </c>
      <c r="D3546" t="s">
        <v>3606</v>
      </c>
      <c r="E3546" t="s">
        <v>3746</v>
      </c>
    </row>
    <row r="3547" spans="1:5">
      <c r="A3547">
        <v>3545</v>
      </c>
      <c r="B3547" t="s">
        <v>3620</v>
      </c>
      <c r="C3547" t="s">
        <v>7152</v>
      </c>
      <c r="D3547" t="s">
        <v>3606</v>
      </c>
      <c r="E3547" t="s">
        <v>3746</v>
      </c>
    </row>
    <row r="3548" spans="1:5">
      <c r="A3548">
        <v>3546</v>
      </c>
      <c r="B3548" t="s">
        <v>3621</v>
      </c>
      <c r="C3548" t="s">
        <v>7153</v>
      </c>
      <c r="D3548" t="s">
        <v>3606</v>
      </c>
      <c r="E3548" t="s">
        <v>3746</v>
      </c>
    </row>
    <row r="3549" spans="1:5">
      <c r="A3549">
        <v>3547</v>
      </c>
      <c r="B3549" t="s">
        <v>3622</v>
      </c>
      <c r="C3549" t="s">
        <v>7154</v>
      </c>
      <c r="D3549" t="s">
        <v>3606</v>
      </c>
      <c r="E3549" t="s">
        <v>3746</v>
      </c>
    </row>
    <row r="3550" spans="1:5">
      <c r="A3550">
        <v>3548</v>
      </c>
      <c r="B3550" t="s">
        <v>3623</v>
      </c>
      <c r="C3550" t="s">
        <v>7155</v>
      </c>
      <c r="D3550" t="s">
        <v>3606</v>
      </c>
      <c r="E3550" t="s">
        <v>3746</v>
      </c>
    </row>
    <row r="3551" spans="1:5">
      <c r="A3551">
        <v>3549</v>
      </c>
      <c r="B3551" t="s">
        <v>3624</v>
      </c>
      <c r="C3551" t="s">
        <v>7156</v>
      </c>
      <c r="D3551" t="s">
        <v>3606</v>
      </c>
      <c r="E3551" t="s">
        <v>3746</v>
      </c>
    </row>
    <row r="3552" spans="1:5">
      <c r="A3552">
        <v>3550</v>
      </c>
      <c r="B3552" t="s">
        <v>3625</v>
      </c>
      <c r="C3552" t="s">
        <v>7157</v>
      </c>
      <c r="D3552" t="s">
        <v>3606</v>
      </c>
      <c r="E3552" t="s">
        <v>3746</v>
      </c>
    </row>
    <row r="3553" spans="1:5">
      <c r="A3553">
        <v>3551</v>
      </c>
      <c r="B3553" t="s">
        <v>3626</v>
      </c>
      <c r="C3553" t="s">
        <v>7158</v>
      </c>
      <c r="D3553" t="s">
        <v>3606</v>
      </c>
      <c r="E3553" t="s">
        <v>3746</v>
      </c>
    </row>
    <row r="3554" spans="1:5">
      <c r="A3554">
        <v>3552</v>
      </c>
      <c r="B3554" t="s">
        <v>3627</v>
      </c>
      <c r="C3554" t="s">
        <v>7159</v>
      </c>
      <c r="D3554" t="s">
        <v>3606</v>
      </c>
      <c r="E3554" t="s">
        <v>3746</v>
      </c>
    </row>
    <row r="3555" spans="1:5">
      <c r="A3555">
        <v>3553</v>
      </c>
      <c r="B3555" t="s">
        <v>3628</v>
      </c>
      <c r="C3555" t="s">
        <v>7160</v>
      </c>
      <c r="D3555" t="s">
        <v>3606</v>
      </c>
      <c r="E3555" t="s">
        <v>3746</v>
      </c>
    </row>
    <row r="3556" spans="1:5">
      <c r="A3556">
        <v>3554</v>
      </c>
      <c r="B3556" t="s">
        <v>3629</v>
      </c>
      <c r="C3556" t="s">
        <v>7161</v>
      </c>
      <c r="D3556" t="s">
        <v>3606</v>
      </c>
      <c r="E3556" t="s">
        <v>3746</v>
      </c>
    </row>
    <row r="3557" spans="1:5">
      <c r="A3557">
        <v>3555</v>
      </c>
      <c r="B3557" t="s">
        <v>3630</v>
      </c>
      <c r="C3557" t="s">
        <v>7162</v>
      </c>
      <c r="D3557" t="s">
        <v>3606</v>
      </c>
      <c r="E3557" t="s">
        <v>3746</v>
      </c>
    </row>
    <row r="3558" spans="1:5">
      <c r="A3558">
        <v>3556</v>
      </c>
      <c r="B3558" t="s">
        <v>3631</v>
      </c>
      <c r="C3558" t="s">
        <v>7163</v>
      </c>
      <c r="D3558" t="s">
        <v>3606</v>
      </c>
      <c r="E3558" t="s">
        <v>3746</v>
      </c>
    </row>
    <row r="3559" spans="1:5">
      <c r="A3559">
        <v>3557</v>
      </c>
      <c r="B3559" t="s">
        <v>3632</v>
      </c>
      <c r="C3559" t="s">
        <v>7164</v>
      </c>
      <c r="D3559" t="s">
        <v>3606</v>
      </c>
      <c r="E3559" t="s">
        <v>3746</v>
      </c>
    </row>
    <row r="3560" spans="1:5">
      <c r="A3560">
        <v>3558</v>
      </c>
      <c r="B3560" t="s">
        <v>3633</v>
      </c>
      <c r="C3560" t="s">
        <v>7165</v>
      </c>
      <c r="D3560" t="s">
        <v>3606</v>
      </c>
      <c r="E3560" t="s">
        <v>3746</v>
      </c>
    </row>
    <row r="3561" spans="1:5">
      <c r="A3561">
        <v>3559</v>
      </c>
      <c r="B3561" t="s">
        <v>3634</v>
      </c>
      <c r="C3561" t="s">
        <v>7166</v>
      </c>
      <c r="D3561" t="s">
        <v>3606</v>
      </c>
      <c r="E3561" t="s">
        <v>3746</v>
      </c>
    </row>
    <row r="3562" spans="1:5">
      <c r="A3562">
        <v>3560</v>
      </c>
      <c r="B3562" t="s">
        <v>3635</v>
      </c>
      <c r="C3562" t="s">
        <v>7167</v>
      </c>
      <c r="D3562" t="s">
        <v>3606</v>
      </c>
      <c r="E3562" t="s">
        <v>3746</v>
      </c>
    </row>
    <row r="3563" spans="1:5">
      <c r="A3563">
        <v>3561</v>
      </c>
      <c r="B3563" t="s">
        <v>3636</v>
      </c>
      <c r="C3563" t="s">
        <v>7168</v>
      </c>
      <c r="D3563" t="s">
        <v>3606</v>
      </c>
      <c r="E3563" t="s">
        <v>3746</v>
      </c>
    </row>
    <row r="3564" spans="1:5">
      <c r="A3564">
        <v>3562</v>
      </c>
      <c r="B3564" t="s">
        <v>3637</v>
      </c>
      <c r="C3564" t="s">
        <v>7169</v>
      </c>
      <c r="D3564" t="s">
        <v>3606</v>
      </c>
      <c r="E3564" t="s">
        <v>3746</v>
      </c>
    </row>
    <row r="3565" spans="1:5">
      <c r="A3565">
        <v>3563</v>
      </c>
      <c r="B3565" t="s">
        <v>3638</v>
      </c>
      <c r="C3565" t="s">
        <v>7170</v>
      </c>
      <c r="D3565" t="s">
        <v>3606</v>
      </c>
      <c r="E3565" t="s">
        <v>3746</v>
      </c>
    </row>
    <row r="3566" spans="1:5">
      <c r="A3566">
        <v>3564</v>
      </c>
      <c r="B3566" t="s">
        <v>3639</v>
      </c>
      <c r="C3566" t="s">
        <v>7171</v>
      </c>
      <c r="D3566" t="s">
        <v>3606</v>
      </c>
      <c r="E3566" t="s">
        <v>3746</v>
      </c>
    </row>
    <row r="3567" spans="1:5">
      <c r="A3567">
        <v>3565</v>
      </c>
      <c r="B3567" t="s">
        <v>3640</v>
      </c>
      <c r="C3567" t="s">
        <v>7172</v>
      </c>
      <c r="D3567" t="s">
        <v>3606</v>
      </c>
      <c r="E3567" t="s">
        <v>3746</v>
      </c>
    </row>
    <row r="3568" spans="1:5">
      <c r="A3568">
        <v>3566</v>
      </c>
      <c r="B3568" t="s">
        <v>3641</v>
      </c>
      <c r="C3568" t="s">
        <v>7173</v>
      </c>
      <c r="D3568" t="s">
        <v>3606</v>
      </c>
      <c r="E3568" t="s">
        <v>3746</v>
      </c>
    </row>
    <row r="3569" spans="1:5">
      <c r="A3569">
        <v>3567</v>
      </c>
      <c r="B3569" t="s">
        <v>3642</v>
      </c>
      <c r="C3569" t="s">
        <v>7174</v>
      </c>
      <c r="D3569" t="s">
        <v>3606</v>
      </c>
      <c r="E3569" t="s">
        <v>3746</v>
      </c>
    </row>
    <row r="3570" spans="1:5">
      <c r="A3570">
        <v>3568</v>
      </c>
      <c r="B3570" t="s">
        <v>3643</v>
      </c>
      <c r="C3570" t="s">
        <v>7175</v>
      </c>
      <c r="D3570" t="s">
        <v>3606</v>
      </c>
      <c r="E3570" t="s">
        <v>3746</v>
      </c>
    </row>
    <row r="3571" spans="1:5">
      <c r="A3571">
        <v>3569</v>
      </c>
      <c r="B3571" t="s">
        <v>3644</v>
      </c>
      <c r="C3571" t="s">
        <v>7176</v>
      </c>
      <c r="D3571" t="s">
        <v>3606</v>
      </c>
      <c r="E3571" t="s">
        <v>3746</v>
      </c>
    </row>
    <row r="3572" spans="1:5">
      <c r="A3572">
        <v>3570</v>
      </c>
      <c r="B3572" t="s">
        <v>3645</v>
      </c>
      <c r="C3572" t="s">
        <v>7177</v>
      </c>
      <c r="D3572" t="s">
        <v>3606</v>
      </c>
      <c r="E3572" t="s">
        <v>3746</v>
      </c>
    </row>
    <row r="3573" spans="1:5">
      <c r="A3573">
        <v>3571</v>
      </c>
      <c r="B3573" t="s">
        <v>3646</v>
      </c>
      <c r="C3573" t="s">
        <v>7178</v>
      </c>
      <c r="D3573" t="s">
        <v>3606</v>
      </c>
      <c r="E3573" t="s">
        <v>3746</v>
      </c>
    </row>
    <row r="3574" spans="1:5">
      <c r="A3574">
        <v>3572</v>
      </c>
      <c r="B3574" t="s">
        <v>899</v>
      </c>
      <c r="C3574" t="s">
        <v>4466</v>
      </c>
      <c r="D3574" t="s">
        <v>3606</v>
      </c>
      <c r="E3574" t="s">
        <v>3746</v>
      </c>
    </row>
    <row r="3575" spans="1:5">
      <c r="A3575">
        <v>3573</v>
      </c>
      <c r="B3575" t="s">
        <v>3647</v>
      </c>
      <c r="C3575" t="s">
        <v>7179</v>
      </c>
      <c r="D3575" t="s">
        <v>3606</v>
      </c>
      <c r="E3575" t="s">
        <v>3746</v>
      </c>
    </row>
    <row r="3576" spans="1:5">
      <c r="A3576">
        <v>3574</v>
      </c>
      <c r="B3576" t="s">
        <v>3648</v>
      </c>
      <c r="C3576" t="s">
        <v>7180</v>
      </c>
      <c r="D3576" t="s">
        <v>3606</v>
      </c>
      <c r="E3576" t="s">
        <v>3746</v>
      </c>
    </row>
    <row r="3577" spans="1:5">
      <c r="A3577">
        <v>3575</v>
      </c>
      <c r="B3577" t="s">
        <v>3649</v>
      </c>
      <c r="C3577" t="s">
        <v>7181</v>
      </c>
      <c r="D3577" t="s">
        <v>3606</v>
      </c>
      <c r="E3577" t="s">
        <v>3746</v>
      </c>
    </row>
    <row r="3578" spans="1:5">
      <c r="A3578">
        <v>3576</v>
      </c>
      <c r="B3578" t="s">
        <v>3650</v>
      </c>
      <c r="C3578" t="s">
        <v>7182</v>
      </c>
      <c r="D3578" t="s">
        <v>3606</v>
      </c>
      <c r="E3578" t="s">
        <v>3746</v>
      </c>
    </row>
    <row r="3579" spans="1:5">
      <c r="A3579">
        <v>3577</v>
      </c>
      <c r="B3579" t="s">
        <v>3651</v>
      </c>
      <c r="C3579" t="s">
        <v>7183</v>
      </c>
      <c r="D3579" t="s">
        <v>3606</v>
      </c>
      <c r="E3579" t="s">
        <v>3746</v>
      </c>
    </row>
    <row r="3580" spans="1:5">
      <c r="A3580">
        <v>3578</v>
      </c>
      <c r="B3580" t="s">
        <v>3652</v>
      </c>
      <c r="C3580" t="s">
        <v>7184</v>
      </c>
      <c r="D3580" t="s">
        <v>3606</v>
      </c>
      <c r="E3580" t="s">
        <v>3746</v>
      </c>
    </row>
    <row r="3581" spans="1:5">
      <c r="A3581">
        <v>3579</v>
      </c>
      <c r="B3581" t="s">
        <v>3653</v>
      </c>
      <c r="C3581" t="s">
        <v>7185</v>
      </c>
      <c r="D3581" t="s">
        <v>3606</v>
      </c>
      <c r="E3581" t="s">
        <v>3746</v>
      </c>
    </row>
    <row r="3582" spans="1:5">
      <c r="A3582">
        <v>3580</v>
      </c>
      <c r="B3582" t="s">
        <v>3654</v>
      </c>
      <c r="C3582" t="s">
        <v>7186</v>
      </c>
      <c r="D3582" t="s">
        <v>3606</v>
      </c>
      <c r="E3582" t="s">
        <v>3746</v>
      </c>
    </row>
    <row r="3583" spans="1:5">
      <c r="A3583">
        <v>3581</v>
      </c>
      <c r="B3583" t="s">
        <v>3655</v>
      </c>
      <c r="C3583" t="s">
        <v>7187</v>
      </c>
      <c r="D3583" t="s">
        <v>3606</v>
      </c>
      <c r="E3583" t="s">
        <v>3746</v>
      </c>
    </row>
    <row r="3584" spans="1:5">
      <c r="A3584">
        <v>3582</v>
      </c>
      <c r="B3584" t="s">
        <v>3656</v>
      </c>
      <c r="C3584" t="s">
        <v>7188</v>
      </c>
      <c r="D3584" t="s">
        <v>3606</v>
      </c>
      <c r="E3584" t="s">
        <v>3746</v>
      </c>
    </row>
    <row r="3585" spans="1:5">
      <c r="A3585">
        <v>3583</v>
      </c>
      <c r="B3585" t="s">
        <v>3657</v>
      </c>
      <c r="C3585" t="s">
        <v>7409</v>
      </c>
      <c r="D3585" t="s">
        <v>3606</v>
      </c>
      <c r="E3585" t="s">
        <v>3746</v>
      </c>
    </row>
    <row r="3586" spans="1:5">
      <c r="A3586">
        <v>3584</v>
      </c>
      <c r="B3586" t="s">
        <v>3658</v>
      </c>
      <c r="C3586" t="s">
        <v>7189</v>
      </c>
      <c r="D3586" t="s">
        <v>3606</v>
      </c>
      <c r="E3586" t="s">
        <v>3746</v>
      </c>
    </row>
    <row r="3587" spans="1:5">
      <c r="A3587">
        <v>3585</v>
      </c>
      <c r="B3587" t="s">
        <v>3659</v>
      </c>
      <c r="C3587" t="s">
        <v>7190</v>
      </c>
      <c r="D3587" t="s">
        <v>3606</v>
      </c>
      <c r="E3587" t="s">
        <v>3746</v>
      </c>
    </row>
    <row r="3588" spans="1:5">
      <c r="A3588">
        <v>3586</v>
      </c>
      <c r="B3588" t="s">
        <v>3660</v>
      </c>
      <c r="C3588" t="s">
        <v>7191</v>
      </c>
      <c r="D3588" t="s">
        <v>3606</v>
      </c>
      <c r="E3588" t="s">
        <v>3746</v>
      </c>
    </row>
    <row r="3589" spans="1:5">
      <c r="A3589">
        <v>3587</v>
      </c>
      <c r="B3589" t="s">
        <v>3661</v>
      </c>
      <c r="C3589" t="s">
        <v>7192</v>
      </c>
      <c r="D3589" t="s">
        <v>3606</v>
      </c>
      <c r="E3589" t="s">
        <v>3746</v>
      </c>
    </row>
    <row r="3590" spans="1:5">
      <c r="A3590">
        <v>3588</v>
      </c>
      <c r="B3590" t="s">
        <v>3662</v>
      </c>
      <c r="C3590" t="s">
        <v>7193</v>
      </c>
      <c r="D3590" t="s">
        <v>3606</v>
      </c>
      <c r="E3590" t="s">
        <v>3746</v>
      </c>
    </row>
    <row r="3591" spans="1:5">
      <c r="A3591">
        <v>3589</v>
      </c>
      <c r="B3591" t="s">
        <v>3663</v>
      </c>
      <c r="C3591" t="s">
        <v>7194</v>
      </c>
      <c r="D3591" t="s">
        <v>3606</v>
      </c>
      <c r="E3591" t="s">
        <v>3746</v>
      </c>
    </row>
    <row r="3592" spans="1:5">
      <c r="A3592">
        <v>3590</v>
      </c>
      <c r="B3592" t="s">
        <v>3664</v>
      </c>
      <c r="C3592" t="s">
        <v>7195</v>
      </c>
      <c r="D3592" t="s">
        <v>3606</v>
      </c>
      <c r="E3592" t="s">
        <v>3746</v>
      </c>
    </row>
    <row r="3593" spans="1:5">
      <c r="A3593">
        <v>3591</v>
      </c>
      <c r="B3593" t="s">
        <v>3665</v>
      </c>
      <c r="C3593" t="s">
        <v>7196</v>
      </c>
      <c r="D3593" t="s">
        <v>3606</v>
      </c>
      <c r="E3593" t="s">
        <v>3746</v>
      </c>
    </row>
    <row r="3594" spans="1:5">
      <c r="A3594">
        <v>3592</v>
      </c>
      <c r="B3594" t="s">
        <v>3666</v>
      </c>
      <c r="C3594" t="s">
        <v>7197</v>
      </c>
      <c r="D3594" t="s">
        <v>3606</v>
      </c>
      <c r="E3594" t="s">
        <v>3746</v>
      </c>
    </row>
    <row r="3595" spans="1:5">
      <c r="A3595">
        <v>3593</v>
      </c>
      <c r="B3595" t="s">
        <v>3667</v>
      </c>
      <c r="C3595" t="s">
        <v>7198</v>
      </c>
      <c r="D3595" t="s">
        <v>3606</v>
      </c>
      <c r="E3595" t="s">
        <v>3746</v>
      </c>
    </row>
    <row r="3596" spans="1:5">
      <c r="A3596">
        <v>3594</v>
      </c>
      <c r="B3596" t="s">
        <v>3668</v>
      </c>
      <c r="C3596" t="s">
        <v>7199</v>
      </c>
      <c r="D3596" t="s">
        <v>3606</v>
      </c>
      <c r="E3596" t="s">
        <v>3746</v>
      </c>
    </row>
    <row r="3597" spans="1:5">
      <c r="A3597">
        <v>3595</v>
      </c>
      <c r="B3597" t="s">
        <v>3669</v>
      </c>
      <c r="C3597" t="s">
        <v>7200</v>
      </c>
      <c r="D3597" t="s">
        <v>3606</v>
      </c>
      <c r="E3597" t="s">
        <v>3746</v>
      </c>
    </row>
    <row r="3598" spans="1:5">
      <c r="A3598">
        <v>3596</v>
      </c>
      <c r="B3598" t="s">
        <v>3670</v>
      </c>
      <c r="C3598" t="s">
        <v>7201</v>
      </c>
      <c r="D3598" t="s">
        <v>3606</v>
      </c>
      <c r="E3598" t="s">
        <v>3746</v>
      </c>
    </row>
    <row r="3599" spans="1:5">
      <c r="A3599">
        <v>3597</v>
      </c>
      <c r="B3599" t="s">
        <v>3671</v>
      </c>
      <c r="C3599" t="s">
        <v>7202</v>
      </c>
      <c r="D3599" t="s">
        <v>3606</v>
      </c>
      <c r="E3599" t="s">
        <v>3746</v>
      </c>
    </row>
    <row r="3600" spans="1:5">
      <c r="A3600">
        <v>3598</v>
      </c>
      <c r="B3600" t="s">
        <v>3672</v>
      </c>
      <c r="C3600" t="s">
        <v>7203</v>
      </c>
      <c r="D3600" t="s">
        <v>3606</v>
      </c>
      <c r="E3600" t="s">
        <v>3746</v>
      </c>
    </row>
    <row r="3601" spans="1:5">
      <c r="A3601">
        <v>3599</v>
      </c>
      <c r="B3601" t="s">
        <v>3673</v>
      </c>
      <c r="C3601" t="s">
        <v>7204</v>
      </c>
      <c r="D3601" t="s">
        <v>3606</v>
      </c>
      <c r="E3601" t="s">
        <v>3746</v>
      </c>
    </row>
    <row r="3602" spans="1:5">
      <c r="A3602">
        <v>3600</v>
      </c>
      <c r="B3602" t="s">
        <v>3674</v>
      </c>
      <c r="C3602" t="s">
        <v>7205</v>
      </c>
      <c r="D3602" t="s">
        <v>3606</v>
      </c>
      <c r="E3602" t="s">
        <v>3746</v>
      </c>
    </row>
    <row r="3603" spans="1:5">
      <c r="A3603">
        <v>3601</v>
      </c>
      <c r="B3603" t="s">
        <v>3675</v>
      </c>
      <c r="C3603" t="s">
        <v>7206</v>
      </c>
      <c r="D3603" t="s">
        <v>3606</v>
      </c>
      <c r="E3603" t="s">
        <v>3746</v>
      </c>
    </row>
    <row r="3604" spans="1:5">
      <c r="A3604">
        <v>3602</v>
      </c>
      <c r="B3604" t="s">
        <v>3676</v>
      </c>
      <c r="C3604" t="s">
        <v>7207</v>
      </c>
      <c r="D3604" t="s">
        <v>3606</v>
      </c>
      <c r="E3604" t="s">
        <v>3746</v>
      </c>
    </row>
    <row r="3605" spans="1:5">
      <c r="A3605">
        <v>3603</v>
      </c>
      <c r="B3605" t="s">
        <v>3677</v>
      </c>
      <c r="C3605" t="s">
        <v>7208</v>
      </c>
      <c r="D3605" t="s">
        <v>3606</v>
      </c>
      <c r="E3605" t="s">
        <v>3746</v>
      </c>
    </row>
    <row r="3606" spans="1:5">
      <c r="A3606">
        <v>3604</v>
      </c>
      <c r="B3606" t="s">
        <v>3678</v>
      </c>
      <c r="C3606" t="s">
        <v>7209</v>
      </c>
      <c r="D3606" t="s">
        <v>3606</v>
      </c>
      <c r="E3606" t="s">
        <v>3746</v>
      </c>
    </row>
    <row r="3607" spans="1:5">
      <c r="A3607">
        <v>3605</v>
      </c>
      <c r="B3607" t="s">
        <v>3679</v>
      </c>
      <c r="C3607" t="s">
        <v>7210</v>
      </c>
      <c r="D3607" t="s">
        <v>3606</v>
      </c>
      <c r="E3607" t="s">
        <v>3746</v>
      </c>
    </row>
    <row r="3608" spans="1:5">
      <c r="A3608">
        <v>3606</v>
      </c>
      <c r="B3608" t="s">
        <v>3680</v>
      </c>
      <c r="C3608" t="s">
        <v>7211</v>
      </c>
      <c r="D3608" t="s">
        <v>3606</v>
      </c>
      <c r="E3608" t="s">
        <v>3746</v>
      </c>
    </row>
    <row r="3609" spans="1:5">
      <c r="A3609">
        <v>3607</v>
      </c>
      <c r="B3609" t="s">
        <v>3681</v>
      </c>
      <c r="C3609" t="s">
        <v>7212</v>
      </c>
      <c r="D3609" t="s">
        <v>3606</v>
      </c>
      <c r="E3609" t="s">
        <v>3746</v>
      </c>
    </row>
    <row r="3610" spans="1:5">
      <c r="A3610">
        <v>3608</v>
      </c>
      <c r="B3610" t="s">
        <v>3682</v>
      </c>
      <c r="C3610" t="s">
        <v>7213</v>
      </c>
      <c r="D3610" t="s">
        <v>3606</v>
      </c>
      <c r="E3610" t="s">
        <v>3746</v>
      </c>
    </row>
    <row r="3611" spans="1:5">
      <c r="A3611">
        <v>3609</v>
      </c>
      <c r="B3611" t="s">
        <v>3683</v>
      </c>
      <c r="C3611" t="s">
        <v>7214</v>
      </c>
      <c r="D3611" t="s">
        <v>3606</v>
      </c>
      <c r="E3611" t="s">
        <v>3746</v>
      </c>
    </row>
    <row r="3612" spans="1:5">
      <c r="A3612">
        <v>3610</v>
      </c>
      <c r="B3612" t="s">
        <v>3684</v>
      </c>
      <c r="C3612" t="s">
        <v>7215</v>
      </c>
      <c r="D3612" t="s">
        <v>3606</v>
      </c>
      <c r="E3612" t="s">
        <v>3746</v>
      </c>
    </row>
    <row r="3613" spans="1:5">
      <c r="A3613">
        <v>3611</v>
      </c>
      <c r="B3613" t="s">
        <v>3685</v>
      </c>
      <c r="C3613" t="s">
        <v>7216</v>
      </c>
      <c r="D3613" t="s">
        <v>3606</v>
      </c>
      <c r="E3613" t="s">
        <v>3746</v>
      </c>
    </row>
    <row r="3614" spans="1:5">
      <c r="A3614">
        <v>3612</v>
      </c>
      <c r="B3614" t="s">
        <v>3686</v>
      </c>
      <c r="C3614" t="s">
        <v>7217</v>
      </c>
      <c r="D3614" t="s">
        <v>3606</v>
      </c>
      <c r="E3614" t="s">
        <v>3746</v>
      </c>
    </row>
    <row r="3615" spans="1:5">
      <c r="A3615">
        <v>3613</v>
      </c>
      <c r="B3615" t="s">
        <v>3687</v>
      </c>
      <c r="C3615" t="s">
        <v>7218</v>
      </c>
      <c r="D3615" t="s">
        <v>3606</v>
      </c>
      <c r="E3615" t="s">
        <v>3746</v>
      </c>
    </row>
    <row r="3616" spans="1:5">
      <c r="A3616">
        <v>3614</v>
      </c>
      <c r="B3616" t="s">
        <v>3688</v>
      </c>
      <c r="C3616" t="s">
        <v>7219</v>
      </c>
      <c r="D3616" t="s">
        <v>3606</v>
      </c>
      <c r="E3616" t="s">
        <v>3746</v>
      </c>
    </row>
    <row r="3617" spans="1:5">
      <c r="A3617">
        <v>3615</v>
      </c>
      <c r="B3617" t="s">
        <v>3689</v>
      </c>
      <c r="C3617" t="s">
        <v>7220</v>
      </c>
      <c r="D3617" t="s">
        <v>3606</v>
      </c>
      <c r="E3617" t="s">
        <v>3746</v>
      </c>
    </row>
    <row r="3618" spans="1:5">
      <c r="A3618">
        <v>3616</v>
      </c>
      <c r="B3618" t="s">
        <v>3690</v>
      </c>
      <c r="C3618" t="s">
        <v>7221</v>
      </c>
      <c r="D3618" t="s">
        <v>3606</v>
      </c>
      <c r="E3618" t="s">
        <v>3746</v>
      </c>
    </row>
    <row r="3619" spans="1:5">
      <c r="A3619">
        <v>3617</v>
      </c>
      <c r="B3619" t="s">
        <v>3691</v>
      </c>
      <c r="C3619" t="s">
        <v>7222</v>
      </c>
      <c r="D3619" t="s">
        <v>3606</v>
      </c>
      <c r="E3619" t="s">
        <v>3746</v>
      </c>
    </row>
    <row r="3620" spans="1:5">
      <c r="A3620">
        <v>3618</v>
      </c>
      <c r="B3620" t="s">
        <v>3692</v>
      </c>
      <c r="C3620" t="s">
        <v>7223</v>
      </c>
      <c r="D3620" t="s">
        <v>3606</v>
      </c>
      <c r="E3620" t="s">
        <v>3746</v>
      </c>
    </row>
    <row r="3621" spans="1:5">
      <c r="A3621">
        <v>3619</v>
      </c>
      <c r="B3621" t="s">
        <v>3693</v>
      </c>
      <c r="C3621" t="s">
        <v>7224</v>
      </c>
      <c r="D3621" t="s">
        <v>3606</v>
      </c>
      <c r="E3621" t="s">
        <v>3746</v>
      </c>
    </row>
    <row r="3622" spans="1:5">
      <c r="A3622">
        <v>3620</v>
      </c>
      <c r="B3622" t="s">
        <v>3694</v>
      </c>
      <c r="C3622" t="s">
        <v>7225</v>
      </c>
      <c r="D3622" t="s">
        <v>3606</v>
      </c>
      <c r="E3622" t="s">
        <v>3746</v>
      </c>
    </row>
    <row r="3623" spans="1:5">
      <c r="A3623">
        <v>3621</v>
      </c>
      <c r="B3623" t="s">
        <v>3695</v>
      </c>
      <c r="C3623" t="s">
        <v>7226</v>
      </c>
      <c r="D3623" t="s">
        <v>3606</v>
      </c>
      <c r="E3623" t="s">
        <v>3746</v>
      </c>
    </row>
    <row r="3624" spans="1:5">
      <c r="A3624">
        <v>3622</v>
      </c>
      <c r="B3624" t="s">
        <v>3696</v>
      </c>
      <c r="C3624" t="s">
        <v>7227</v>
      </c>
      <c r="D3624" t="s">
        <v>3606</v>
      </c>
      <c r="E3624" t="s">
        <v>3746</v>
      </c>
    </row>
    <row r="3625" spans="1:5">
      <c r="A3625">
        <v>3623</v>
      </c>
      <c r="B3625" t="s">
        <v>1478</v>
      </c>
      <c r="C3625" t="s">
        <v>5038</v>
      </c>
      <c r="D3625" t="s">
        <v>3606</v>
      </c>
      <c r="E3625" t="s">
        <v>3746</v>
      </c>
    </row>
    <row r="3626" spans="1:5">
      <c r="A3626">
        <v>3624</v>
      </c>
      <c r="B3626" t="s">
        <v>3697</v>
      </c>
      <c r="C3626" t="s">
        <v>7228</v>
      </c>
      <c r="D3626" t="s">
        <v>3606</v>
      </c>
      <c r="E3626" t="s">
        <v>3746</v>
      </c>
    </row>
    <row r="3627" spans="1:5">
      <c r="A3627">
        <v>3625</v>
      </c>
      <c r="B3627" t="s">
        <v>3698</v>
      </c>
      <c r="C3627" t="s">
        <v>7229</v>
      </c>
      <c r="D3627" t="s">
        <v>3606</v>
      </c>
      <c r="E3627" t="s">
        <v>3746</v>
      </c>
    </row>
    <row r="3628" spans="1:5">
      <c r="A3628">
        <v>3626</v>
      </c>
      <c r="B3628" t="s">
        <v>3699</v>
      </c>
      <c r="C3628" t="s">
        <v>7230</v>
      </c>
      <c r="D3628" t="s">
        <v>3606</v>
      </c>
      <c r="E3628" t="s">
        <v>3746</v>
      </c>
    </row>
    <row r="3629" spans="1:5">
      <c r="A3629">
        <v>3627</v>
      </c>
      <c r="B3629" t="s">
        <v>3700</v>
      </c>
      <c r="C3629" t="s">
        <v>7231</v>
      </c>
      <c r="D3629" t="s">
        <v>3606</v>
      </c>
      <c r="E3629" t="s">
        <v>3746</v>
      </c>
    </row>
    <row r="3630" spans="1:5">
      <c r="A3630">
        <v>3628</v>
      </c>
      <c r="B3630" t="s">
        <v>3701</v>
      </c>
      <c r="C3630" t="s">
        <v>7232</v>
      </c>
      <c r="D3630" t="s">
        <v>3606</v>
      </c>
      <c r="E3630" t="s">
        <v>3746</v>
      </c>
    </row>
    <row r="3631" spans="1:5">
      <c r="A3631">
        <v>3629</v>
      </c>
      <c r="B3631" t="s">
        <v>3702</v>
      </c>
      <c r="C3631" t="s">
        <v>7233</v>
      </c>
      <c r="D3631" t="s">
        <v>3606</v>
      </c>
      <c r="E3631" t="s">
        <v>3746</v>
      </c>
    </row>
    <row r="3632" spans="1:5">
      <c r="A3632">
        <v>3630</v>
      </c>
      <c r="B3632" t="s">
        <v>3703</v>
      </c>
      <c r="C3632" t="s">
        <v>7234</v>
      </c>
      <c r="D3632" t="s">
        <v>3606</v>
      </c>
      <c r="E3632" t="s">
        <v>3746</v>
      </c>
    </row>
    <row r="3633" spans="1:5">
      <c r="A3633">
        <v>3631</v>
      </c>
      <c r="B3633" t="s">
        <v>3704</v>
      </c>
      <c r="C3633" t="s">
        <v>7235</v>
      </c>
      <c r="D3633" t="s">
        <v>3606</v>
      </c>
      <c r="E3633" t="s">
        <v>3746</v>
      </c>
    </row>
    <row r="3634" spans="1:5">
      <c r="A3634">
        <v>3632</v>
      </c>
      <c r="B3634" t="s">
        <v>3705</v>
      </c>
      <c r="C3634" t="s">
        <v>7236</v>
      </c>
      <c r="D3634" t="s">
        <v>3606</v>
      </c>
      <c r="E3634" t="s">
        <v>3746</v>
      </c>
    </row>
    <row r="3635" spans="1:5">
      <c r="A3635">
        <v>3633</v>
      </c>
      <c r="B3635" t="s">
        <v>3706</v>
      </c>
      <c r="C3635" t="s">
        <v>7237</v>
      </c>
      <c r="D3635" t="s">
        <v>3606</v>
      </c>
      <c r="E3635" t="s">
        <v>3746</v>
      </c>
    </row>
    <row r="3636" spans="1:5">
      <c r="A3636">
        <v>3634</v>
      </c>
      <c r="B3636" t="s">
        <v>3707</v>
      </c>
      <c r="C3636" t="s">
        <v>7238</v>
      </c>
      <c r="D3636" t="s">
        <v>3606</v>
      </c>
      <c r="E3636" t="s">
        <v>3746</v>
      </c>
    </row>
    <row r="3637" spans="1:5">
      <c r="A3637">
        <v>3635</v>
      </c>
      <c r="B3637" t="s">
        <v>3708</v>
      </c>
      <c r="C3637" t="s">
        <v>7239</v>
      </c>
      <c r="D3637" t="s">
        <v>3606</v>
      </c>
      <c r="E3637" t="s">
        <v>3746</v>
      </c>
    </row>
    <row r="3638" spans="1:5">
      <c r="A3638">
        <v>3636</v>
      </c>
      <c r="B3638" t="s">
        <v>3709</v>
      </c>
      <c r="C3638" t="s">
        <v>7240</v>
      </c>
      <c r="D3638" t="s">
        <v>3606</v>
      </c>
      <c r="E3638" t="s">
        <v>3746</v>
      </c>
    </row>
    <row r="3639" spans="1:5">
      <c r="A3639">
        <v>3637</v>
      </c>
      <c r="B3639" t="s">
        <v>3710</v>
      </c>
      <c r="C3639" t="s">
        <v>7241</v>
      </c>
      <c r="D3639" t="s">
        <v>3606</v>
      </c>
      <c r="E3639" t="s">
        <v>3746</v>
      </c>
    </row>
    <row r="3640" spans="1:5">
      <c r="A3640">
        <v>3638</v>
      </c>
      <c r="B3640" t="s">
        <v>3711</v>
      </c>
      <c r="C3640" t="s">
        <v>7242</v>
      </c>
      <c r="D3640" t="s">
        <v>3606</v>
      </c>
      <c r="E3640" t="s">
        <v>3746</v>
      </c>
    </row>
    <row r="3641" spans="1:5">
      <c r="A3641">
        <v>3639</v>
      </c>
      <c r="B3641" t="s">
        <v>3712</v>
      </c>
      <c r="C3641" t="s">
        <v>7243</v>
      </c>
      <c r="D3641" t="s">
        <v>3606</v>
      </c>
      <c r="E3641" t="s">
        <v>3746</v>
      </c>
    </row>
    <row r="3642" spans="1:5">
      <c r="A3642">
        <v>3640</v>
      </c>
      <c r="B3642" t="s">
        <v>3713</v>
      </c>
      <c r="C3642" t="s">
        <v>7244</v>
      </c>
      <c r="D3642" t="s">
        <v>3606</v>
      </c>
      <c r="E3642" t="s">
        <v>3746</v>
      </c>
    </row>
    <row r="3643" spans="1:5">
      <c r="A3643">
        <v>3641</v>
      </c>
      <c r="B3643" t="s">
        <v>3714</v>
      </c>
      <c r="C3643" t="s">
        <v>7245</v>
      </c>
      <c r="D3643" t="s">
        <v>3606</v>
      </c>
      <c r="E3643" t="s">
        <v>3746</v>
      </c>
    </row>
    <row r="3644" spans="1:5">
      <c r="A3644">
        <v>3642</v>
      </c>
      <c r="B3644" t="s">
        <v>3715</v>
      </c>
      <c r="C3644" t="s">
        <v>7246</v>
      </c>
      <c r="D3644" t="s">
        <v>3606</v>
      </c>
      <c r="E3644" t="s">
        <v>3746</v>
      </c>
    </row>
    <row r="3645" spans="1:5">
      <c r="A3645">
        <v>3643</v>
      </c>
      <c r="B3645" t="s">
        <v>3716</v>
      </c>
      <c r="C3645" t="s">
        <v>7247</v>
      </c>
      <c r="D3645" t="s">
        <v>3606</v>
      </c>
      <c r="E3645" t="s">
        <v>3746</v>
      </c>
    </row>
    <row r="3646" spans="1:5">
      <c r="A3646">
        <v>3644</v>
      </c>
      <c r="B3646" t="s">
        <v>3717</v>
      </c>
      <c r="C3646" t="s">
        <v>7248</v>
      </c>
      <c r="D3646" t="s">
        <v>3606</v>
      </c>
      <c r="E3646" t="s">
        <v>3746</v>
      </c>
    </row>
    <row r="3647" spans="1:5">
      <c r="A3647">
        <v>3645</v>
      </c>
      <c r="B3647" t="s">
        <v>3718</v>
      </c>
      <c r="C3647" t="s">
        <v>7249</v>
      </c>
      <c r="D3647" t="s">
        <v>3606</v>
      </c>
      <c r="E3647" t="s">
        <v>3746</v>
      </c>
    </row>
    <row r="3648" spans="1:5">
      <c r="A3648">
        <v>3646</v>
      </c>
      <c r="B3648" t="s">
        <v>3719</v>
      </c>
      <c r="C3648" t="s">
        <v>7250</v>
      </c>
      <c r="D3648" t="s">
        <v>3606</v>
      </c>
      <c r="E3648" t="s">
        <v>3746</v>
      </c>
    </row>
    <row r="3649" spans="1:5">
      <c r="A3649">
        <v>3647</v>
      </c>
      <c r="B3649" t="s">
        <v>3720</v>
      </c>
      <c r="C3649" t="s">
        <v>7251</v>
      </c>
      <c r="D3649" t="s">
        <v>3606</v>
      </c>
      <c r="E3649" t="s">
        <v>3746</v>
      </c>
    </row>
    <row r="3650" spans="1:5">
      <c r="A3650">
        <v>3648</v>
      </c>
      <c r="B3650" t="s">
        <v>3721</v>
      </c>
      <c r="C3650" t="s">
        <v>7252</v>
      </c>
      <c r="D3650" t="s">
        <v>3606</v>
      </c>
      <c r="E3650" t="s">
        <v>3746</v>
      </c>
    </row>
    <row r="3651" spans="1:5">
      <c r="A3651">
        <v>3649</v>
      </c>
      <c r="B3651" t="s">
        <v>3722</v>
      </c>
      <c r="C3651" t="s">
        <v>7253</v>
      </c>
      <c r="D3651" t="s">
        <v>3606</v>
      </c>
      <c r="E3651" t="s">
        <v>3746</v>
      </c>
    </row>
    <row r="3652" spans="1:5">
      <c r="A3652">
        <v>3650</v>
      </c>
      <c r="B3652" t="s">
        <v>3723</v>
      </c>
      <c r="C3652" t="s">
        <v>7254</v>
      </c>
      <c r="D3652" t="s">
        <v>3606</v>
      </c>
      <c r="E3652" t="s">
        <v>3746</v>
      </c>
    </row>
    <row r="3653" spans="1:5">
      <c r="A3653">
        <v>3651</v>
      </c>
      <c r="B3653" t="s">
        <v>3724</v>
      </c>
      <c r="C3653" t="s">
        <v>7255</v>
      </c>
      <c r="D3653" t="s">
        <v>3606</v>
      </c>
      <c r="E3653" t="s">
        <v>3746</v>
      </c>
    </row>
    <row r="3654" spans="1:5">
      <c r="A3654">
        <v>3652</v>
      </c>
      <c r="B3654" t="s">
        <v>3725</v>
      </c>
      <c r="C3654" t="s">
        <v>7256</v>
      </c>
      <c r="D3654" t="s">
        <v>3606</v>
      </c>
      <c r="E3654" t="s">
        <v>3746</v>
      </c>
    </row>
    <row r="3655" spans="1:5">
      <c r="A3655">
        <v>3653</v>
      </c>
      <c r="B3655" t="s">
        <v>3726</v>
      </c>
      <c r="C3655" t="s">
        <v>7257</v>
      </c>
      <c r="D3655" t="s">
        <v>3606</v>
      </c>
      <c r="E3655" t="s">
        <v>3746</v>
      </c>
    </row>
    <row r="3656" spans="1:5">
      <c r="A3656">
        <v>3654</v>
      </c>
      <c r="B3656" t="s">
        <v>3727</v>
      </c>
      <c r="C3656" t="s">
        <v>7258</v>
      </c>
      <c r="D3656" t="s">
        <v>3606</v>
      </c>
      <c r="E3656" t="s">
        <v>3746</v>
      </c>
    </row>
    <row r="3657" spans="1:5">
      <c r="A3657">
        <v>3655</v>
      </c>
      <c r="B3657" t="s">
        <v>3728</v>
      </c>
      <c r="C3657" t="s">
        <v>7259</v>
      </c>
      <c r="D3657" t="s">
        <v>3606</v>
      </c>
      <c r="E3657" t="s">
        <v>3746</v>
      </c>
    </row>
    <row r="3658" spans="1:5">
      <c r="A3658">
        <v>3656</v>
      </c>
      <c r="B3658" t="s">
        <v>3729</v>
      </c>
      <c r="C3658" t="s">
        <v>7260</v>
      </c>
      <c r="D3658" t="s">
        <v>3606</v>
      </c>
      <c r="E3658" t="s">
        <v>3746</v>
      </c>
    </row>
    <row r="3659" spans="1:5">
      <c r="A3659">
        <v>3657</v>
      </c>
      <c r="B3659" t="s">
        <v>3730</v>
      </c>
      <c r="C3659" t="s">
        <v>7261</v>
      </c>
      <c r="D3659" t="s">
        <v>3606</v>
      </c>
      <c r="E3659" t="s">
        <v>3746</v>
      </c>
    </row>
    <row r="3660" spans="1:5">
      <c r="A3660">
        <v>3658</v>
      </c>
      <c r="B3660" t="s">
        <v>3731</v>
      </c>
      <c r="C3660" t="s">
        <v>7262</v>
      </c>
      <c r="D3660" t="s">
        <v>3606</v>
      </c>
      <c r="E3660" t="s">
        <v>3746</v>
      </c>
    </row>
    <row r="3661" spans="1:5">
      <c r="A3661">
        <v>3659</v>
      </c>
      <c r="B3661" t="s">
        <v>3732</v>
      </c>
      <c r="C3661" t="s">
        <v>7263</v>
      </c>
      <c r="D3661" t="s">
        <v>3606</v>
      </c>
      <c r="E3661" t="s">
        <v>3746</v>
      </c>
    </row>
    <row r="3662" spans="1:5">
      <c r="A3662">
        <v>3660</v>
      </c>
      <c r="B3662" t="s">
        <v>3733</v>
      </c>
      <c r="C3662" t="s">
        <v>7264</v>
      </c>
      <c r="D3662" t="s">
        <v>3606</v>
      </c>
      <c r="E3662" t="s">
        <v>3746</v>
      </c>
    </row>
    <row r="3663" spans="1:5">
      <c r="A3663">
        <v>3661</v>
      </c>
      <c r="B3663" t="s">
        <v>3734</v>
      </c>
      <c r="C3663" t="s">
        <v>7265</v>
      </c>
      <c r="D3663" t="s">
        <v>3606</v>
      </c>
      <c r="E3663" t="s">
        <v>3746</v>
      </c>
    </row>
    <row r="3664" spans="1:5">
      <c r="A3664">
        <v>3662</v>
      </c>
      <c r="B3664" t="s">
        <v>3735</v>
      </c>
      <c r="C3664" t="s">
        <v>7266</v>
      </c>
      <c r="D3664" t="s">
        <v>3606</v>
      </c>
      <c r="E3664" t="s">
        <v>3746</v>
      </c>
    </row>
    <row r="3665" spans="1:5">
      <c r="A3665">
        <v>3663</v>
      </c>
      <c r="B3665" t="s">
        <v>3736</v>
      </c>
      <c r="C3665" t="s">
        <v>7267</v>
      </c>
      <c r="D3665" t="s">
        <v>3606</v>
      </c>
      <c r="E3665" t="s">
        <v>3746</v>
      </c>
    </row>
    <row r="3666" spans="1:5">
      <c r="A3666">
        <v>3664</v>
      </c>
      <c r="B3666" t="s">
        <v>3737</v>
      </c>
      <c r="C3666" t="s">
        <v>7268</v>
      </c>
      <c r="D3666" t="s">
        <v>3606</v>
      </c>
      <c r="E3666" t="s">
        <v>3746</v>
      </c>
    </row>
    <row r="3667" spans="1:5">
      <c r="A3667">
        <v>3665</v>
      </c>
      <c r="B3667" t="s">
        <v>3738</v>
      </c>
      <c r="C3667" t="s">
        <v>7269</v>
      </c>
      <c r="D3667" t="s">
        <v>3606</v>
      </c>
      <c r="E3667" t="s">
        <v>3746</v>
      </c>
    </row>
    <row r="3668" spans="1:5">
      <c r="A3668">
        <v>3666</v>
      </c>
      <c r="B3668" t="s">
        <v>3739</v>
      </c>
      <c r="C3668" t="s">
        <v>7270</v>
      </c>
      <c r="D3668" t="s">
        <v>3606</v>
      </c>
      <c r="E3668" t="s">
        <v>3746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32"/>
  <sheetViews>
    <sheetView workbookViewId="0">
      <selection activeCell="A16" sqref="A16"/>
    </sheetView>
  </sheetViews>
  <sheetFormatPr defaultColWidth="8.875" defaultRowHeight="14.25"/>
  <cols>
    <col min="1" max="1" width="15.125" bestFit="1" customWidth="1"/>
    <col min="2" max="2" width="7.5" bestFit="1" customWidth="1"/>
    <col min="3" max="4" width="7.125" bestFit="1" customWidth="1"/>
    <col min="5" max="5" width="11" bestFit="1" customWidth="1"/>
  </cols>
  <sheetData>
    <row r="1" spans="1:6">
      <c r="A1" s="79" t="s">
        <v>60</v>
      </c>
      <c r="B1" s="79" t="s">
        <v>61</v>
      </c>
      <c r="C1" s="79" t="s">
        <v>7445</v>
      </c>
      <c r="D1" s="79" t="s">
        <v>7446</v>
      </c>
      <c r="E1" s="79" t="s">
        <v>7447</v>
      </c>
      <c r="F1" s="79" t="s">
        <v>7448</v>
      </c>
    </row>
    <row r="2" spans="1:6">
      <c r="A2" s="79" t="s">
        <v>38</v>
      </c>
      <c r="B2" s="49">
        <v>510050</v>
      </c>
      <c r="C2" s="34">
        <v>5.0000000000000001E-3</v>
      </c>
      <c r="D2" s="34">
        <v>1E-3</v>
      </c>
      <c r="E2" s="34">
        <v>0</v>
      </c>
      <c r="F2" s="34">
        <f>SUM(C2:E2)</f>
        <v>6.0000000000000001E-3</v>
      </c>
    </row>
    <row r="3" spans="1:6">
      <c r="A3" s="79" t="s">
        <v>36</v>
      </c>
      <c r="B3" s="49" t="s">
        <v>7449</v>
      </c>
      <c r="C3" s="34">
        <v>5.0000000000000001E-3</v>
      </c>
      <c r="D3" s="34">
        <v>1E-3</v>
      </c>
      <c r="E3" s="34">
        <v>0</v>
      </c>
      <c r="F3" s="34">
        <f t="shared" ref="F3:F7" si="0">SUM(C3:E3)</f>
        <v>6.0000000000000001E-3</v>
      </c>
    </row>
    <row r="4" spans="1:6">
      <c r="A4" s="79" t="s">
        <v>7451</v>
      </c>
      <c r="B4" s="49" t="s">
        <v>68</v>
      </c>
      <c r="C4" s="34">
        <v>0.01</v>
      </c>
      <c r="D4" s="34">
        <v>1.8E-3</v>
      </c>
      <c r="E4" s="34">
        <v>0</v>
      </c>
      <c r="F4" s="34">
        <f t="shared" si="0"/>
        <v>1.18E-2</v>
      </c>
    </row>
    <row r="5" spans="1:6">
      <c r="A5" s="79" t="s">
        <v>78</v>
      </c>
      <c r="B5" s="49">
        <v>510050</v>
      </c>
      <c r="C5" s="34">
        <v>5.0000000000000001E-3</v>
      </c>
      <c r="D5" s="34">
        <v>1E-3</v>
      </c>
      <c r="E5" s="34">
        <v>0</v>
      </c>
      <c r="F5" s="34">
        <f t="shared" si="0"/>
        <v>6.0000000000000001E-3</v>
      </c>
    </row>
    <row r="6" spans="1:6">
      <c r="A6" s="79" t="s">
        <v>7452</v>
      </c>
      <c r="B6" s="49" t="s">
        <v>62</v>
      </c>
      <c r="C6" s="34">
        <v>0.01</v>
      </c>
      <c r="D6" s="34">
        <v>1.5E-3</v>
      </c>
      <c r="E6" s="34">
        <v>0</v>
      </c>
      <c r="F6" s="34">
        <f t="shared" si="0"/>
        <v>1.15E-2</v>
      </c>
    </row>
    <row r="7" spans="1:6">
      <c r="A7" s="79" t="s">
        <v>89</v>
      </c>
      <c r="B7" s="49">
        <v>510050</v>
      </c>
      <c r="C7" s="34">
        <v>5.0000000000000001E-3</v>
      </c>
      <c r="D7" s="34">
        <v>1E-3</v>
      </c>
      <c r="E7" s="34">
        <v>0</v>
      </c>
      <c r="F7" s="34">
        <f t="shared" si="0"/>
        <v>6.0000000000000001E-3</v>
      </c>
    </row>
    <row r="8" spans="1:6">
      <c r="A8" s="79" t="s">
        <v>143</v>
      </c>
      <c r="B8" s="49" t="s">
        <v>7450</v>
      </c>
      <c r="C8" s="34">
        <v>5.0000000000000001E-3</v>
      </c>
      <c r="D8" s="34">
        <v>1E-3</v>
      </c>
      <c r="E8" s="34">
        <v>0</v>
      </c>
      <c r="F8" s="34">
        <f t="shared" ref="F8:F10" si="1">SUM(C8:E8)</f>
        <v>6.0000000000000001E-3</v>
      </c>
    </row>
    <row r="9" spans="1:6">
      <c r="A9" s="79" t="s">
        <v>7453</v>
      </c>
      <c r="B9" s="49" t="s">
        <v>7295</v>
      </c>
      <c r="C9" s="34">
        <v>5.0000000000000001E-3</v>
      </c>
      <c r="D9" s="34">
        <v>1E-3</v>
      </c>
      <c r="E9" s="34">
        <v>0</v>
      </c>
      <c r="F9" s="34">
        <f t="shared" si="1"/>
        <v>6.0000000000000001E-3</v>
      </c>
    </row>
    <row r="10" spans="1:6">
      <c r="A10" s="79" t="s">
        <v>7454</v>
      </c>
      <c r="B10" s="49" t="s">
        <v>7455</v>
      </c>
      <c r="C10" s="34">
        <v>1.2E-2</v>
      </c>
      <c r="D10" s="34">
        <v>2E-3</v>
      </c>
      <c r="E10" s="34">
        <v>0</v>
      </c>
      <c r="F10" s="34">
        <f t="shared" si="1"/>
        <v>1.4E-2</v>
      </c>
    </row>
    <row r="11" spans="1:6">
      <c r="A11" s="79" t="s">
        <v>7479</v>
      </c>
      <c r="B11" s="49" t="s">
        <v>7480</v>
      </c>
      <c r="C11" s="34">
        <v>7.4999999999999997E-3</v>
      </c>
      <c r="D11" s="34">
        <v>1.5E-3</v>
      </c>
      <c r="E11" s="34">
        <v>0</v>
      </c>
      <c r="F11" s="34">
        <f t="shared" ref="F11" si="2">SUM(C11:E11)</f>
        <v>8.9999999999999993E-3</v>
      </c>
    </row>
    <row r="12" spans="1:6">
      <c r="A12" s="79" t="s">
        <v>7456</v>
      </c>
      <c r="B12" s="49" t="s">
        <v>64</v>
      </c>
      <c r="C12" s="34">
        <v>5.0000000000000001E-3</v>
      </c>
      <c r="D12" s="34">
        <v>1E-3</v>
      </c>
      <c r="E12" s="34">
        <v>0</v>
      </c>
      <c r="F12" s="34">
        <f t="shared" ref="F12" si="3">SUM(C12:E12)</f>
        <v>6.0000000000000001E-3</v>
      </c>
    </row>
    <row r="13" spans="1:6">
      <c r="A13" s="79" t="s">
        <v>7458</v>
      </c>
      <c r="B13" s="49" t="s">
        <v>7459</v>
      </c>
      <c r="C13" s="34">
        <v>5.0000000000000001E-3</v>
      </c>
      <c r="D13" s="34">
        <v>1E-3</v>
      </c>
      <c r="E13" s="34">
        <v>0</v>
      </c>
      <c r="F13" s="34">
        <f t="shared" ref="F13" si="4">SUM(C13:E13)</f>
        <v>6.0000000000000001E-3</v>
      </c>
    </row>
    <row r="14" spans="1:6">
      <c r="A14" s="79" t="s">
        <v>7457</v>
      </c>
      <c r="B14" s="49" t="s">
        <v>63</v>
      </c>
      <c r="C14" s="34">
        <v>5.0000000000000001E-3</v>
      </c>
      <c r="D14" s="34">
        <v>1E-3</v>
      </c>
      <c r="E14" s="34">
        <v>0</v>
      </c>
      <c r="F14" s="34">
        <f t="shared" ref="F14" si="5">SUM(C14:E14)</f>
        <v>6.0000000000000001E-3</v>
      </c>
    </row>
    <row r="15" spans="1:6">
      <c r="A15" s="79" t="s">
        <v>49</v>
      </c>
      <c r="B15" s="49" t="s">
        <v>7460</v>
      </c>
      <c r="C15" s="34">
        <v>5.0000000000000001E-3</v>
      </c>
      <c r="D15" s="34">
        <v>1E-3</v>
      </c>
      <c r="E15" s="34">
        <v>0</v>
      </c>
      <c r="F15" s="34">
        <f t="shared" ref="F15" si="6">SUM(C15:E15)</f>
        <v>6.0000000000000001E-3</v>
      </c>
    </row>
    <row r="16" spans="1:6">
      <c r="A16" s="125" t="s">
        <v>7562</v>
      </c>
      <c r="B16" s="49" t="s">
        <v>7563</v>
      </c>
      <c r="C16" s="34">
        <v>5.0000000000000001E-3</v>
      </c>
      <c r="D16" s="34">
        <v>1E-3</v>
      </c>
      <c r="E16" s="34">
        <v>0</v>
      </c>
      <c r="F16" s="34">
        <f t="shared" ref="F16" si="7">SUM(C16:E16)</f>
        <v>6.0000000000000001E-3</v>
      </c>
    </row>
    <row r="17" spans="1:6">
      <c r="A17" s="79" t="s">
        <v>7461</v>
      </c>
      <c r="B17" s="49" t="s">
        <v>7462</v>
      </c>
      <c r="C17" s="34">
        <v>5.0000000000000001E-3</v>
      </c>
      <c r="D17" s="34">
        <v>1E-3</v>
      </c>
      <c r="E17" s="34">
        <v>0</v>
      </c>
      <c r="F17" s="34">
        <f t="shared" ref="F17" si="8">SUM(C17:E17)</f>
        <v>6.0000000000000001E-3</v>
      </c>
    </row>
    <row r="18" spans="1:6">
      <c r="A18" s="79" t="s">
        <v>7463</v>
      </c>
      <c r="B18" s="49" t="s">
        <v>65</v>
      </c>
      <c r="C18" s="34">
        <v>5.0000000000000001E-3</v>
      </c>
      <c r="D18" s="34">
        <v>1E-3</v>
      </c>
      <c r="E18" s="34">
        <v>0</v>
      </c>
      <c r="F18" s="34">
        <f t="shared" ref="F18" si="9">SUM(C18:E18)</f>
        <v>6.0000000000000001E-3</v>
      </c>
    </row>
    <row r="19" spans="1:6">
      <c r="A19" s="79" t="s">
        <v>7465</v>
      </c>
      <c r="B19" s="49" t="s">
        <v>7464</v>
      </c>
      <c r="C19" s="34">
        <v>1.4999999999999999E-2</v>
      </c>
      <c r="D19" s="34">
        <v>2.5000000000000001E-3</v>
      </c>
      <c r="E19" s="34">
        <v>0</v>
      </c>
      <c r="F19" s="34">
        <f t="shared" ref="F19" si="10">SUM(C19:E19)</f>
        <v>1.7499999999999998E-2</v>
      </c>
    </row>
    <row r="20" spans="1:6">
      <c r="A20" s="79" t="s">
        <v>7467</v>
      </c>
      <c r="B20" s="49" t="s">
        <v>125</v>
      </c>
      <c r="C20" s="34">
        <v>5.0000000000000001E-3</v>
      </c>
      <c r="D20" s="34">
        <v>1E-3</v>
      </c>
      <c r="E20" s="34">
        <v>0</v>
      </c>
      <c r="F20" s="34">
        <f t="shared" ref="F20:F25" si="11">SUM(C20:E20)</f>
        <v>6.0000000000000001E-3</v>
      </c>
    </row>
    <row r="21" spans="1:6">
      <c r="A21" s="79" t="s">
        <v>48</v>
      </c>
      <c r="B21" s="49" t="s">
        <v>7466</v>
      </c>
      <c r="C21" s="34">
        <v>5.0000000000000001E-3</v>
      </c>
      <c r="D21" s="34">
        <v>1E-3</v>
      </c>
      <c r="E21" s="34">
        <v>0</v>
      </c>
      <c r="F21" s="34">
        <f t="shared" si="11"/>
        <v>6.0000000000000001E-3</v>
      </c>
    </row>
    <row r="22" spans="1:6">
      <c r="A22" s="79" t="s">
        <v>7468</v>
      </c>
      <c r="B22" s="49" t="s">
        <v>66</v>
      </c>
      <c r="C22" s="34">
        <v>6.0000000000000001E-3</v>
      </c>
      <c r="D22" s="34">
        <v>1.5E-3</v>
      </c>
      <c r="E22" s="34">
        <v>0</v>
      </c>
      <c r="F22" s="34">
        <f t="shared" si="11"/>
        <v>7.4999999999999997E-3</v>
      </c>
    </row>
    <row r="23" spans="1:6">
      <c r="A23" s="79" t="s">
        <v>7470</v>
      </c>
      <c r="B23" s="49" t="s">
        <v>7471</v>
      </c>
      <c r="C23" s="34">
        <v>1.2E-2</v>
      </c>
      <c r="D23" s="34">
        <v>2.5000000000000001E-3</v>
      </c>
      <c r="E23" s="34">
        <v>0</v>
      </c>
      <c r="F23" s="34">
        <f t="shared" si="11"/>
        <v>1.4500000000000001E-2</v>
      </c>
    </row>
    <row r="24" spans="1:6">
      <c r="A24" s="79" t="s">
        <v>7469</v>
      </c>
      <c r="B24" s="49" t="s">
        <v>126</v>
      </c>
      <c r="C24" s="34">
        <v>8.0000000000000002E-3</v>
      </c>
      <c r="D24" s="34">
        <v>2E-3</v>
      </c>
      <c r="E24" s="34">
        <v>0</v>
      </c>
      <c r="F24" s="34">
        <f t="shared" si="11"/>
        <v>0.01</v>
      </c>
    </row>
    <row r="25" spans="1:6">
      <c r="A25" s="79" t="s">
        <v>7472</v>
      </c>
      <c r="B25" s="49" t="s">
        <v>7305</v>
      </c>
      <c r="C25" s="34">
        <v>0.01</v>
      </c>
      <c r="D25" s="34">
        <v>2.8E-3</v>
      </c>
      <c r="E25" s="34">
        <v>0</v>
      </c>
      <c r="F25" s="34">
        <f t="shared" si="11"/>
        <v>1.2800000000000001E-2</v>
      </c>
    </row>
    <row r="26" spans="1:6">
      <c r="A26" s="79" t="s">
        <v>7473</v>
      </c>
      <c r="B26" s="49" t="s">
        <v>7476</v>
      </c>
      <c r="C26" s="34">
        <v>5.0000000000000001E-3</v>
      </c>
      <c r="D26" s="34">
        <v>1E-3</v>
      </c>
      <c r="E26" s="34">
        <v>0</v>
      </c>
      <c r="F26" s="34">
        <f t="shared" ref="F26" si="12">SUM(C26:E26)</f>
        <v>6.0000000000000001E-3</v>
      </c>
    </row>
    <row r="27" spans="1:6">
      <c r="A27" s="79" t="s">
        <v>7474</v>
      </c>
      <c r="B27" s="49">
        <v>340001</v>
      </c>
      <c r="C27" s="34">
        <v>1.3000000000000001E-2</v>
      </c>
      <c r="D27" s="34">
        <v>2.5000000000000001E-3</v>
      </c>
      <c r="E27" s="34">
        <v>0</v>
      </c>
      <c r="F27" s="34">
        <f t="shared" ref="F27:F30" si="13">SUM(C27:E27)</f>
        <v>1.5500000000000002E-2</v>
      </c>
    </row>
    <row r="28" spans="1:6">
      <c r="A28" s="79" t="s">
        <v>7477</v>
      </c>
      <c r="B28" s="49">
        <v>110027</v>
      </c>
      <c r="C28" s="34">
        <v>7.0000000000000001E-3</v>
      </c>
      <c r="D28" s="34">
        <v>2E-3</v>
      </c>
      <c r="E28" s="34">
        <v>0</v>
      </c>
      <c r="F28" s="34">
        <f t="shared" si="13"/>
        <v>9.0000000000000011E-3</v>
      </c>
    </row>
    <row r="29" spans="1:6">
      <c r="A29" s="79" t="s">
        <v>7475</v>
      </c>
      <c r="B29" s="49">
        <v>519977</v>
      </c>
      <c r="C29" s="34">
        <v>7.0000000000000001E-3</v>
      </c>
      <c r="D29" s="34">
        <v>2E-3</v>
      </c>
      <c r="E29" s="34">
        <v>0</v>
      </c>
      <c r="F29" s="34">
        <f t="shared" si="13"/>
        <v>9.0000000000000011E-3</v>
      </c>
    </row>
    <row r="30" spans="1:6">
      <c r="A30" s="79" t="s">
        <v>7478</v>
      </c>
      <c r="B30" s="49" t="s">
        <v>7308</v>
      </c>
      <c r="C30" s="34">
        <v>7.4999999999999997E-3</v>
      </c>
      <c r="D30" s="34">
        <v>2.2000000000000001E-3</v>
      </c>
      <c r="E30" s="34">
        <v>0</v>
      </c>
      <c r="F30" s="34">
        <f t="shared" si="13"/>
        <v>9.7000000000000003E-3</v>
      </c>
    </row>
    <row r="31" spans="1:6">
      <c r="B31" s="27"/>
    </row>
    <row r="32" spans="1:6">
      <c r="B32" s="27"/>
    </row>
  </sheetData>
  <phoneticPr fontId="3" type="noConversion"/>
  <conditionalFormatting sqref="F2:F30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交易明细</vt:lpstr>
      <vt:lpstr>且慢估值与基金净值</vt:lpstr>
      <vt:lpstr>资产配置情况</vt:lpstr>
      <vt:lpstr>涨乐财富通</vt:lpstr>
      <vt:lpstr>天天基金网</vt:lpstr>
      <vt:lpstr>持仓市值汇总</vt:lpstr>
      <vt:lpstr>资产配置旭日图</vt:lpstr>
      <vt:lpstr>空间压力测试</vt:lpstr>
      <vt:lpstr>时间压力测试</vt:lpstr>
      <vt:lpstr>指数行业占比</vt:lpstr>
      <vt:lpstr>聚宽行业分类</vt:lpstr>
      <vt:lpstr>基金成本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lishuyun</dc:creator>
  <cp:keywords>Keywords</cp:keywords>
  <cp:lastModifiedBy>kangliquan</cp:lastModifiedBy>
  <dcterms:created xsi:type="dcterms:W3CDTF">2018-05-19T08:29:27Z</dcterms:created>
  <dcterms:modified xsi:type="dcterms:W3CDTF">2019-10-01T03:29:43Z</dcterms:modified>
</cp:coreProperties>
</file>