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4BA0FF58-627A-4FD7-9E8F-9D1E26715E0B}" xr6:coauthVersionLast="43" xr6:coauthVersionMax="43" xr10:uidLastSave="{00000000-0000-0000-0000-000000000000}"/>
  <bookViews>
    <workbookView xWindow="-120" yWindow="-120" windowWidth="38640" windowHeight="2124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交易明细!$A$1:$X$135</definedName>
    <definedName name="_xlchart.v1.0" hidden="1">资产配置情况!$A$2:$D$32</definedName>
    <definedName name="_xlchart.v1.1" hidden="1">资产配置情况!$E$2:$E$32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86" i="11" l="1"/>
  <c r="C87" i="11"/>
  <c r="C88" i="11"/>
  <c r="C89" i="11"/>
  <c r="C90" i="11"/>
  <c r="C91" i="11"/>
  <c r="C92" i="11"/>
  <c r="C93" i="11"/>
  <c r="C94" i="11"/>
  <c r="C95" i="11"/>
  <c r="C83" i="11"/>
  <c r="C84" i="11"/>
  <c r="C80" i="11"/>
  <c r="C78" i="11"/>
  <c r="C82" i="11"/>
  <c r="C70" i="11"/>
  <c r="C71" i="11"/>
  <c r="C72" i="11"/>
  <c r="C73" i="11"/>
  <c r="C74" i="11"/>
  <c r="C75" i="11"/>
  <c r="C76" i="11"/>
  <c r="C69" i="11"/>
  <c r="G31" i="11"/>
  <c r="T6" i="1"/>
  <c r="N11" i="17"/>
  <c r="M11" i="17"/>
  <c r="L11" i="17"/>
  <c r="K11" i="17"/>
  <c r="H11" i="17"/>
  <c r="F11" i="17"/>
  <c r="E11" i="17"/>
  <c r="B11" i="17"/>
  <c r="A11" i="17"/>
  <c r="N10" i="17"/>
  <c r="M10" i="17"/>
  <c r="L10" i="17"/>
  <c r="K10" i="17"/>
  <c r="H10" i="17"/>
  <c r="F10" i="17"/>
  <c r="E10" i="17"/>
  <c r="B10" i="17"/>
  <c r="A10" i="17"/>
  <c r="N9" i="17"/>
  <c r="M9" i="17"/>
  <c r="L9" i="17"/>
  <c r="K9" i="17"/>
  <c r="H9" i="17"/>
  <c r="F9" i="17"/>
  <c r="E9" i="17"/>
  <c r="B9" i="17"/>
  <c r="A9" i="17"/>
  <c r="N8" i="17"/>
  <c r="M8" i="17"/>
  <c r="L8" i="17"/>
  <c r="K8" i="17"/>
  <c r="H8" i="17"/>
  <c r="F8" i="17"/>
  <c r="E8" i="17"/>
  <c r="B8" i="17"/>
  <c r="A8" i="17"/>
  <c r="N7" i="17"/>
  <c r="M7" i="17"/>
  <c r="L7" i="17"/>
  <c r="K7" i="17"/>
  <c r="H7" i="17"/>
  <c r="F7" i="17"/>
  <c r="E7" i="17"/>
  <c r="B7" i="17"/>
  <c r="A7" i="17"/>
  <c r="N6" i="17"/>
  <c r="M6" i="17"/>
  <c r="L6" i="17"/>
  <c r="K6" i="17"/>
  <c r="H6" i="17"/>
  <c r="F6" i="17"/>
  <c r="E6" i="17"/>
  <c r="B6" i="17"/>
  <c r="A6" i="17"/>
  <c r="N5" i="17"/>
  <c r="M5" i="17"/>
  <c r="L5" i="17"/>
  <c r="K5" i="17"/>
  <c r="H5" i="17"/>
  <c r="F5" i="17"/>
  <c r="E5" i="17"/>
  <c r="B5" i="17"/>
  <c r="A5" i="17"/>
  <c r="N4" i="17"/>
  <c r="M4" i="17"/>
  <c r="L4" i="17"/>
  <c r="K4" i="17"/>
  <c r="H4" i="17"/>
  <c r="F4" i="17"/>
  <c r="E4" i="17"/>
  <c r="B4" i="17"/>
  <c r="A4" i="17"/>
  <c r="N3" i="17"/>
  <c r="M3" i="17"/>
  <c r="L3" i="17"/>
  <c r="K3" i="17"/>
  <c r="H3" i="17"/>
  <c r="F3" i="17"/>
  <c r="E3" i="17"/>
  <c r="B3" i="17"/>
  <c r="A3" i="17"/>
  <c r="N2" i="17"/>
  <c r="M2" i="17"/>
  <c r="L2" i="17"/>
  <c r="K2" i="17"/>
  <c r="H2" i="17"/>
  <c r="F2" i="17"/>
  <c r="E2" i="17"/>
  <c r="B2" i="17"/>
  <c r="A2" i="17"/>
  <c r="T5" i="1" l="1"/>
  <c r="H16" i="11" s="1"/>
  <c r="T4" i="1"/>
  <c r="Q8" i="1"/>
  <c r="K8" i="11" l="1"/>
  <c r="F25" i="11" s="1"/>
  <c r="S8" i="1"/>
  <c r="N121" i="1"/>
  <c r="N126" i="1"/>
  <c r="N118" i="1"/>
  <c r="N103" i="1"/>
  <c r="N72" i="1"/>
  <c r="R8" i="1"/>
  <c r="U8" i="1" s="1"/>
  <c r="J150" i="1"/>
  <c r="J143" i="1"/>
  <c r="J137" i="1"/>
  <c r="J152" i="1"/>
  <c r="R4" i="1" l="1"/>
  <c r="K135" i="1"/>
  <c r="J135" i="1"/>
  <c r="K125" i="1" l="1"/>
  <c r="J125" i="1"/>
  <c r="K132" i="1"/>
  <c r="J132" i="1"/>
  <c r="J158" i="1"/>
  <c r="J165" i="1"/>
  <c r="K131" i="1"/>
  <c r="J131" i="1"/>
  <c r="C81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3" i="1" s="1"/>
  <c r="J133" i="1" s="1"/>
  <c r="J17" i="1"/>
  <c r="J19" i="1"/>
  <c r="U29" i="1"/>
  <c r="H21" i="1" s="1"/>
  <c r="J21" i="1" s="1"/>
  <c r="U30" i="1"/>
  <c r="H62" i="1" s="1"/>
  <c r="J62" i="1" s="1"/>
  <c r="U21" i="1"/>
  <c r="H134" i="1" s="1"/>
  <c r="J134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77" i="11"/>
  <c r="C79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F66" i="10" l="1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C3" i="11" s="1"/>
  <c r="A39" i="11" s="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C12" i="11" s="1"/>
  <c r="A45" i="11" s="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15" i="11" l="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<sst xmlns="http://schemas.openxmlformats.org/spreadsheetml/2006/main" count="15830" uniqueCount="7645">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</sst>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1.255643072625E-2</c:v>
                </c:pt>
                <c:pt idx="1">
                  <c:v>6.8961613049999981E-2</c:v>
                </c:pt>
                <c:pt idx="2">
                  <c:v>0.11967883277249998</c:v>
                </c:pt>
                <c:pt idx="3">
                  <c:v>9.1103234526250007E-2</c:v>
                </c:pt>
                <c:pt idx="4">
                  <c:v>5.0567830042499998E-2</c:v>
                </c:pt>
                <c:pt idx="5">
                  <c:v>0.11640169389249999</c:v>
                </c:pt>
                <c:pt idx="6">
                  <c:v>0.17750155587499999</c:v>
                </c:pt>
                <c:pt idx="7">
                  <c:v>9.8055962621250006E-2</c:v>
                </c:pt>
                <c:pt idx="8">
                  <c:v>1.2696654437499998E-3</c:v>
                </c:pt>
                <c:pt idx="9">
                  <c:v>2.7227719291249997E-2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tabSelected="1" topLeftCell="N1" zoomScaleNormal="100" workbookViewId="0">
      <pane ySplit="1" topLeftCell="A2" activePane="bottomLeft" state="frozen"/>
      <selection pane="bottomLeft" activeCell="W41" sqref="W41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14.436233421750662</v>
      </c>
      <c r="I2" s="21">
        <f>$F2*$W$34</f>
        <v>1.3964809902740938</v>
      </c>
      <c r="J2" s="21">
        <f t="shared" ref="J2:J33" si="0">H2*(-$M2)</f>
        <v>49083.193633952251</v>
      </c>
      <c r="K2" s="21">
        <f t="shared" ref="K2:K33" si="1">I2*(-$M2)</f>
        <v>4748.0353669319193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2.0689537500000004E-2</v>
      </c>
      <c r="U2" s="18" t="s">
        <v>140</v>
      </c>
      <c r="V2" s="18">
        <f>((SUM(T4:T6)+S8) - SUM(R4:R6))/SUM(R4:R6)</f>
        <v>1.4387689991571457E-2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29.597404933196298</v>
      </c>
      <c r="I3" s="21">
        <f>$F3*$W$25</f>
        <v>3.5340184994861259</v>
      </c>
      <c r="J3" s="21">
        <f t="shared" si="0"/>
        <v>219020.7965056526</v>
      </c>
      <c r="K3" s="21">
        <f t="shared" si="1"/>
        <v>26151.736896197333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9.7197195571955728</v>
      </c>
      <c r="I4" s="21">
        <f>F4*$W$15</f>
        <v>0.98392619926199276</v>
      </c>
      <c r="J4" s="21">
        <f t="shared" si="0"/>
        <v>38490.089446494465</v>
      </c>
      <c r="K4" s="21">
        <f t="shared" si="1"/>
        <v>3896.3477490774912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440545.55</v>
      </c>
      <c r="S4" s="29">
        <v>24828.7</v>
      </c>
      <c r="T4" s="131">
        <f>SUM(天天基金网!G2:G50)</f>
        <v>465374.25</v>
      </c>
      <c r="U4" s="26">
        <f>T4/R4-1</f>
        <v>5.6358984899518294E-2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24.439506172839508</v>
      </c>
      <c r="I5" s="21">
        <f>E5*$W$26</f>
        <v>3.2523662551440329</v>
      </c>
      <c r="J5" s="21">
        <f t="shared" si="0"/>
        <v>96780.444444444453</v>
      </c>
      <c r="K5" s="21">
        <f t="shared" si="1"/>
        <v>12879.37037037037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-2852.68</v>
      </c>
      <c r="T5" s="131">
        <f>R5+S5</f>
        <v>9147.32</v>
      </c>
      <c r="U5" s="26">
        <f>T5/R5-1</f>
        <v>-0.2377233333333334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386044.94</v>
      </c>
      <c r="S6" s="29">
        <v>-17335.54</v>
      </c>
      <c r="T6" s="130">
        <f>SUM(涨乐财富通!I2:I50)</f>
        <v>368709.4</v>
      </c>
      <c r="U6" s="26">
        <f>T6/R6-1</f>
        <v>-4.4905497271897854E-2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30.877497430626928</v>
      </c>
      <c r="I7" s="21">
        <f>F7*$W$25</f>
        <v>3.686865364850977</v>
      </c>
      <c r="J7" s="21">
        <f t="shared" si="0"/>
        <v>122274.88982528263</v>
      </c>
      <c r="K7" s="21">
        <f t="shared" si="1"/>
        <v>14599.98684480987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25.412501624431449</v>
      </c>
      <c r="I8" s="21">
        <f>E8*$W$26</f>
        <v>3.3818507688975523</v>
      </c>
      <c r="J8" s="21">
        <f t="shared" si="0"/>
        <v>100633.50643274855</v>
      </c>
      <c r="K8" s="21">
        <f t="shared" si="1"/>
        <v>13392.129044834308</v>
      </c>
      <c r="L8" s="7" t="s">
        <v>10</v>
      </c>
      <c r="M8" s="4">
        <v>-3960</v>
      </c>
      <c r="N8" s="4"/>
      <c r="O8" s="4">
        <v>4.75</v>
      </c>
      <c r="P8" s="4"/>
      <c r="Q8" s="11">
        <f>9*6400</f>
        <v>57600</v>
      </c>
      <c r="R8" s="11">
        <f>[1]分红信息!$K$20</f>
        <v>4486.25</v>
      </c>
      <c r="S8" s="11">
        <f>SUM(N:N)</f>
        <v>7424.9</v>
      </c>
      <c r="T8" s="11">
        <f>Q8+R8+S8</f>
        <v>69511.149999999994</v>
      </c>
      <c r="U8" s="134">
        <f>SUM(S4:S6)+$S$8+$R$8</f>
        <v>16551.629999999997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25.300428849902534</v>
      </c>
      <c r="I10" s="21">
        <f>E10*$W$26</f>
        <v>3.3669363222871991</v>
      </c>
      <c r="J10" s="21">
        <f t="shared" si="0"/>
        <v>100189.69824561404</v>
      </c>
      <c r="K10" s="21">
        <f t="shared" si="1"/>
        <v>13333.067836257309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30.485941389000402</v>
      </c>
      <c r="I11" s="21">
        <f>F11*$W$24</f>
        <v>3.6401124046567648</v>
      </c>
      <c r="J11" s="21">
        <f t="shared" si="0"/>
        <v>121748.655531112</v>
      </c>
      <c r="K11" s="21">
        <f t="shared" si="1"/>
        <v>14537.152899237255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29.019620712023507</v>
      </c>
      <c r="I12" s="21">
        <f>F12*$W$19</f>
        <v>2.2123135040256421</v>
      </c>
      <c r="J12" s="21">
        <f t="shared" si="0"/>
        <v>112816.09708764835</v>
      </c>
      <c r="K12" s="21">
        <f t="shared" si="1"/>
        <v>8600.5457319800062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30.509610598153348</v>
      </c>
      <c r="I13" s="21">
        <f>F13*$W$24</f>
        <v>3.6429385788839821</v>
      </c>
      <c r="J13" s="21">
        <f t="shared" si="0"/>
        <v>121937.76067763948</v>
      </c>
      <c r="K13" s="21">
        <f t="shared" si="1"/>
        <v>14559.732618225611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27.227733048422181</v>
      </c>
      <c r="I14" s="21">
        <f>F14*$W$19</f>
        <v>2.0757087800969209</v>
      </c>
      <c r="J14" s="21">
        <f t="shared" si="0"/>
        <v>99294.096880986021</v>
      </c>
      <c r="K14" s="21">
        <f t="shared" si="1"/>
        <v>7569.694779257452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25.366653671215076</v>
      </c>
      <c r="I15" s="21">
        <f>E15*$W$26</f>
        <v>3.375749404375135</v>
      </c>
      <c r="J15" s="21">
        <f t="shared" si="0"/>
        <v>200903.89707602339</v>
      </c>
      <c r="K15" s="21">
        <f t="shared" si="1"/>
        <v>26735.935282651069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2.71</v>
      </c>
      <c r="T15" s="86">
        <v>10.57</v>
      </c>
      <c r="U15" s="32">
        <f t="shared" ref="U15:U35" si="3">T15/S15</f>
        <v>3.9003690036900371</v>
      </c>
      <c r="V15" s="86">
        <v>1.07</v>
      </c>
      <c r="W15" s="32">
        <f t="shared" ref="W15:W35" si="4">V15/S15</f>
        <v>0.39483394833948343</v>
      </c>
      <c r="X15" s="51">
        <v>0.1295</v>
      </c>
      <c r="Y15" s="42">
        <f>SUMIF(C:C,"=红利",J:J)/SUMIFS(M:M,C:C,"=红利",M:M,"&lt;0")*-1</f>
        <v>10.145214999176531</v>
      </c>
      <c r="Z15" s="42">
        <f>SUMIF(C:C,"=红利",K:K)/SUMIFS(M:M,C:C,"=红利",M:M,"&lt;0")*-1</f>
        <v>1.0269990585732154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29.72852669610598</v>
      </c>
      <c r="I16" s="21">
        <f>F16*$W$24</f>
        <v>3.5496748293857889</v>
      </c>
      <c r="J16" s="21">
        <f t="shared" si="0"/>
        <v>115750.99154395824</v>
      </c>
      <c r="K16" s="21">
        <f t="shared" si="1"/>
        <v>13821.013915696507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10.58</v>
      </c>
      <c r="U16" s="32">
        <f t="shared" si="3"/>
        <v>3.58887381275441</v>
      </c>
      <c r="V16" s="86">
        <v>1.23</v>
      </c>
      <c r="W16" s="32">
        <f t="shared" si="4"/>
        <v>0.41723202170963364</v>
      </c>
      <c r="X16" s="51">
        <v>0.12139999999999999</v>
      </c>
      <c r="Y16" s="42">
        <f>SUMIF(C:C,"=50ETF",J:J)/SUMIFS(M:M,C:C,"=50ETF",M:M,"&lt;0")*-1</f>
        <v>8.5630529172320227</v>
      </c>
      <c r="Z16" s="42">
        <f>SUMIF(C:C,"=50ETF",K:K)/SUMIFS(M:M,C:C,"=50ETF",M:M,"&lt;0")*-1</f>
        <v>0.99551560379918591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3.8574999999999999</v>
      </c>
      <c r="T17" s="86">
        <v>13.25</v>
      </c>
      <c r="U17" s="32">
        <f t="shared" si="3"/>
        <v>3.4348671419313028</v>
      </c>
      <c r="V17" s="86">
        <v>1.48</v>
      </c>
      <c r="W17" s="32">
        <f t="shared" si="4"/>
        <v>0.38366817887232663</v>
      </c>
      <c r="X17" s="51">
        <v>0.11890000000000001</v>
      </c>
      <c r="Y17" s="42">
        <f>SUMIF(C:C,"=300ETF",J:J)/SUMIFS(M:M,C:C,"=300ETF",M:M,"&lt;0")*-1</f>
        <v>11.744148696284807</v>
      </c>
      <c r="Z17" s="42">
        <f>SUMIF(C:C,"=300ETF",K:K)/SUMIFS(M:M,C:C,"=300ETF",M:M,"&lt;0")*-1</f>
        <v>1.3117992506038876</v>
      </c>
      <c r="AA17" s="152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9.9030369003690044</v>
      </c>
      <c r="I18" s="21">
        <f>F18*$W$15</f>
        <v>1.0024833948339484</v>
      </c>
      <c r="J18" s="21">
        <f t="shared" si="0"/>
        <v>39216.026125461256</v>
      </c>
      <c r="K18" s="21">
        <f t="shared" si="1"/>
        <v>3969.8342435424356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1.9179999999999999</v>
      </c>
      <c r="T18" s="86">
        <v>13.25</v>
      </c>
      <c r="U18" s="32">
        <f t="shared" si="3"/>
        <v>6.9082377476538062</v>
      </c>
      <c r="V18" s="86">
        <v>1.48</v>
      </c>
      <c r="W18" s="32">
        <f t="shared" si="4"/>
        <v>0.77163712200208556</v>
      </c>
      <c r="X18" s="112">
        <v>0.11890000000000001</v>
      </c>
      <c r="Y18" s="42">
        <f>SUMIF(C:C,"=300ETF",J:J)/SUMIFS(M:M,C:C,"=300ETF",M:M,"&lt;0")*-1</f>
        <v>11.744148696284807</v>
      </c>
      <c r="Z18" s="42">
        <f>SUMIF(C:C,"=300ETF",K:K)/SUMIFS(M:M,C:C,"=300ETF",M:M,"&lt;0")*-1</f>
        <v>1.3117992506038876</v>
      </c>
      <c r="AA18" s="153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5.2413999999999996</v>
      </c>
      <c r="T19" s="86">
        <v>23.48</v>
      </c>
      <c r="U19" s="32">
        <f t="shared" si="3"/>
        <v>4.4797191590033201</v>
      </c>
      <c r="V19" s="86">
        <v>1.79</v>
      </c>
      <c r="W19" s="32">
        <f t="shared" si="4"/>
        <v>0.34151180982180335</v>
      </c>
      <c r="X19" s="112">
        <v>7.8E-2</v>
      </c>
      <c r="Y19" s="42">
        <f>SUMIF(C:C,"=500ETF",J:J)/SUMIFS(M:M,C:C,"=500ETF",M:M,"&lt;0")*-1</f>
        <v>25.415394378273209</v>
      </c>
      <c r="Z19" s="42">
        <f>SUMIF(C:C,"=500ETF",K:K)/SUMIFS(M:M,C:C,"=500ETF",M:M,"&lt;0")*-1</f>
        <v>1.937544971767847</v>
      </c>
      <c r="AA19" s="152">
        <f>(SUMIF(C:C,"=500ETF",M:M)*-1)/$R$2</f>
        <v>0.23263318749999998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29.498950662036862</v>
      </c>
      <c r="I20" s="21">
        <f>F20*$W$19</f>
        <v>2.248855267676575</v>
      </c>
      <c r="J20" s="21">
        <f t="shared" si="0"/>
        <v>233147.31647346131</v>
      </c>
      <c r="K20" s="21">
        <f t="shared" si="1"/>
        <v>17774.007516503225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</v>
      </c>
      <c r="T20" s="86">
        <v>23.48</v>
      </c>
      <c r="U20" s="32">
        <f t="shared" si="3"/>
        <v>12.357894736842105</v>
      </c>
      <c r="V20" s="86">
        <v>1.79</v>
      </c>
      <c r="W20" s="32">
        <f t="shared" si="4"/>
        <v>0.94210526315789478</v>
      </c>
      <c r="X20" s="112">
        <v>7.8E-2</v>
      </c>
      <c r="Y20" s="42">
        <f>SUMIF(C:C,"=500ETF",J:J)/SUMIFS(M:M,C:C,"=500ETF",M:M,"&lt;0")*-1</f>
        <v>25.415394378273209</v>
      </c>
      <c r="Z20" s="42">
        <f>SUMIF(C:C,"=500ETF",K:K)/SUMIFS(M:M,C:C,"=500ETF",M:M,"&lt;0")*-1</f>
        <v>1.937544971767847</v>
      </c>
      <c r="AA20" s="153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37.831783427839774</v>
      </c>
      <c r="I21" s="21">
        <f>F21*$W$29</f>
        <v>3.0355368575086885</v>
      </c>
      <c r="J21" s="21">
        <f t="shared" si="0"/>
        <v>151327.13371135909</v>
      </c>
      <c r="K21" s="21">
        <f t="shared" si="1"/>
        <v>12142.147430034755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0.6351</v>
      </c>
      <c r="T21" s="86">
        <v>33.85</v>
      </c>
      <c r="U21" s="32">
        <f t="shared" si="3"/>
        <v>53.298693119193828</v>
      </c>
      <c r="V21" s="86">
        <v>2.15</v>
      </c>
      <c r="W21" s="32">
        <f t="shared" si="4"/>
        <v>3.3852936545425916</v>
      </c>
      <c r="X21" s="112">
        <v>5.8400000000000001E-2</v>
      </c>
      <c r="Y21" s="42">
        <f>SUMIF(C:C,"=1000ETF",J:J)/SUMIFS(M:M,C:C,"=1000ETF",M:M,"&lt;0")*-1</f>
        <v>38.309775726299321</v>
      </c>
      <c r="Z21" s="42">
        <f>SUMIF(C:C,"=1000ETF",K:K)/SUMIFS(M:M,C:C,"=1000ETF",M:M,"&lt;0")*-1</f>
        <v>2.433264927962882</v>
      </c>
      <c r="AA21" s="33">
        <f>(SUMIF(C:C,"=1000ETF",M:M)*-1)/$R$2</f>
        <v>5.7593512499999999E-2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28.849391383981384</v>
      </c>
      <c r="I22" s="21">
        <f>F22*$W$19</f>
        <v>2.1993360552524135</v>
      </c>
      <c r="J22" s="21">
        <f t="shared" si="0"/>
        <v>111496.26233906974</v>
      </c>
      <c r="K22" s="21">
        <f t="shared" si="1"/>
        <v>8499.9280062578709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1.4628000000000001</v>
      </c>
      <c r="T22" s="86">
        <v>52</v>
      </c>
      <c r="U22" s="32">
        <f>T22/S22</f>
        <v>35.54826360404703</v>
      </c>
      <c r="V22" s="86">
        <v>4.45</v>
      </c>
      <c r="W22" s="32">
        <f t="shared" si="4"/>
        <v>3.042111019961717</v>
      </c>
      <c r="X22" s="112">
        <v>9.0800000000000006E-2</v>
      </c>
      <c r="Y22" s="42">
        <f>SUMIF(C:C,"=创业板",J:J)/SUMIFS(M:M,C:C,"=创业板",M:M,"&lt;0")*-1</f>
        <v>47.848488007697775</v>
      </c>
      <c r="Z22" s="42">
        <f>SUMIF(C:C,"=创业板",K:K)/SUMIFS(M:M,C:C,"=创业板",M:M,"&lt;0")*-1</f>
        <v>4.0947263775818294</v>
      </c>
      <c r="AA22" s="152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29.449673751287825</v>
      </c>
      <c r="I23" s="21">
        <f>F23*$W$19</f>
        <v>2.2450986377685354</v>
      </c>
      <c r="J23" s="21">
        <f t="shared" si="0"/>
        <v>116184.55838684321</v>
      </c>
      <c r="K23" s="21">
        <f t="shared" si="1"/>
        <v>8857.3406947380481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1.5817000000000001</v>
      </c>
      <c r="T23" s="86">
        <v>52</v>
      </c>
      <c r="U23" s="32">
        <f>T23/S23</f>
        <v>32.876019472719221</v>
      </c>
      <c r="V23" s="86">
        <v>4.45</v>
      </c>
      <c r="W23" s="32">
        <f t="shared" si="4"/>
        <v>2.8134285894923181</v>
      </c>
      <c r="X23" s="112">
        <v>9.0800000000000006E-2</v>
      </c>
      <c r="Y23" s="42">
        <f>SUMIF(C:C,"=创业板",J:J)/SUMIFS(M:M,C:C,"=创业板",M:M,"&lt;0")*-1</f>
        <v>47.848488007697775</v>
      </c>
      <c r="Z23" s="42">
        <f>SUMIF(C:C,"=创业板",K:K)/SUMIFS(M:M,C:C,"=创业板",M:M,"&lt;0")*-1</f>
        <v>4.0947263775818294</v>
      </c>
      <c r="AA23" s="154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11.018542435424356</v>
      </c>
      <c r="I24" s="21">
        <f>F24*$W$15</f>
        <v>1.1154059040590407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1.2455000000000001</v>
      </c>
      <c r="T24" s="86">
        <v>29.48</v>
      </c>
      <c r="U24" s="32">
        <f t="shared" si="3"/>
        <v>23.669209152950621</v>
      </c>
      <c r="V24" s="86">
        <v>3.52</v>
      </c>
      <c r="W24" s="32">
        <f t="shared" si="4"/>
        <v>2.8261742272179848</v>
      </c>
      <c r="X24" s="112">
        <v>0.10639999999999999</v>
      </c>
      <c r="Y24" s="42">
        <f>SUMIF(C:C,"=医药",J:J)/SUMIFS(M:M,C:C,"=医药",M:M,"&lt;0")*-1</f>
        <v>29.044416543209845</v>
      </c>
      <c r="Z24" s="42">
        <f>SUMIF(C:C,"=医药",K:K)/SUMIFS(M:M,C:C,"=医药",M:M,"&lt;0")*-1</f>
        <v>3.4679900350101311</v>
      </c>
      <c r="AA24" s="152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44.884910485933503</v>
      </c>
      <c r="I25" s="21">
        <f>F25*$W$30</f>
        <v>3.5379369138959937</v>
      </c>
      <c r="J25" s="21">
        <f t="shared" si="0"/>
        <v>179575.54987212276</v>
      </c>
      <c r="K25" s="21">
        <f t="shared" si="1"/>
        <v>14154.578005115092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0.77839999999999998</v>
      </c>
      <c r="T25" s="86">
        <v>29.48</v>
      </c>
      <c r="U25" s="32">
        <f t="shared" si="3"/>
        <v>37.872559095580677</v>
      </c>
      <c r="V25" s="86">
        <v>3.52</v>
      </c>
      <c r="W25" s="32">
        <f t="shared" si="4"/>
        <v>4.5220966084275442</v>
      </c>
      <c r="X25" s="112">
        <v>0.10639999999999999</v>
      </c>
      <c r="Y25" s="42">
        <f>SUMIF(C:C,"=医药",J:J)/SUMIFS(M:M,C:C,"=医药",M:M,"&lt;0")*-1</f>
        <v>29.044416543209845</v>
      </c>
      <c r="Z25" s="42">
        <f>SUMIF(C:C,"=医药",K:K)/SUMIFS(M:M,C:C,"=医药",M:M,"&lt;0")*-1</f>
        <v>3.4679900350101311</v>
      </c>
      <c r="AA25" s="153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28.894188575571416</v>
      </c>
      <c r="I26" s="21">
        <f>F26*$W$19</f>
        <v>2.2027511733506318</v>
      </c>
      <c r="J26" s="21">
        <f t="shared" si="0"/>
        <v>111842.75831266458</v>
      </c>
      <c r="K26" s="21">
        <f t="shared" si="1"/>
        <v>8526.3431592704255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0.9234</v>
      </c>
      <c r="T26" s="86">
        <v>23.52</v>
      </c>
      <c r="U26" s="32">
        <f t="shared" si="3"/>
        <v>25.471085120207928</v>
      </c>
      <c r="V26" s="86">
        <v>3.13</v>
      </c>
      <c r="W26" s="32">
        <f t="shared" si="4"/>
        <v>3.3896469568984187</v>
      </c>
      <c r="X26" s="112">
        <v>0.13930000000000001</v>
      </c>
      <c r="Y26" s="42">
        <f>SUMIF(C:C,"=养老",J:J)/SUMIFS(M:M,C:C,"=养老",M:M,"&lt;0")*-1</f>
        <v>23.759422948359827</v>
      </c>
      <c r="Z26" s="42">
        <f>SUMIF(C:C,"=养老",K:K)/SUMIFS(M:M,C:C,"=养老",M:M,"&lt;0")*-1</f>
        <v>3.1235065546646297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34.404616791659052</v>
      </c>
      <c r="I27" s="21">
        <f>F27*$W$29</f>
        <v>2.7605487470276207</v>
      </c>
      <c r="J27" s="21">
        <f t="shared" si="0"/>
        <v>137618.4671666362</v>
      </c>
      <c r="K27" s="21">
        <f t="shared" si="1"/>
        <v>11042.194988110483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0.96789999999999998</v>
      </c>
      <c r="T27" s="86">
        <v>32.03</v>
      </c>
      <c r="U27" s="32">
        <f t="shared" si="3"/>
        <v>33.092261597272447</v>
      </c>
      <c r="V27" s="86">
        <v>1.68</v>
      </c>
      <c r="W27" s="32">
        <f t="shared" si="4"/>
        <v>1.7357164996383925</v>
      </c>
      <c r="X27" s="112">
        <v>5.2400000000000002E-2</v>
      </c>
      <c r="Y27" s="42">
        <f>SUMIF(C:C,"=证券",J:J)/SUMIFS(M:M,C:C,"=证券",M:M,"&lt;0")*-1</f>
        <v>26.370580929050679</v>
      </c>
      <c r="Z27" s="42">
        <f>SUMIF(C:C,"=证券",K:K)/SUMIFS(M:M,C:C,"=证券",M:M,"&lt;0")*-1</f>
        <v>1.3831587874119617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27.070942877857064</v>
      </c>
      <c r="I28" s="21">
        <f>F28*$W$19</f>
        <v>2.0637558667531577</v>
      </c>
      <c r="J28" s="21">
        <f t="shared" si="0"/>
        <v>212709.12153447556</v>
      </c>
      <c r="K28" s="21">
        <f t="shared" si="1"/>
        <v>16215.899810336934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0.72760000000000002</v>
      </c>
      <c r="T28" s="86">
        <v>26.92</v>
      </c>
      <c r="U28" s="32">
        <f t="shared" si="3"/>
        <v>36.998350742166025</v>
      </c>
      <c r="V28" s="86">
        <v>2.16</v>
      </c>
      <c r="W28" s="32">
        <f t="shared" si="4"/>
        <v>2.9686641011544808</v>
      </c>
      <c r="X28" s="112">
        <v>0.1</v>
      </c>
      <c r="Y28" s="42">
        <f>SUMIF(C:C,"=环保",J:J)/SUMIFS(M:M,C:C,"=环保",M:M,"&lt;0")*-1</f>
        <v>32.096343277509618</v>
      </c>
      <c r="Z28" s="42">
        <f>SUMIF(C:C,"=环保",K:K)/SUMIFS(M:M,C:C,"=环保",M:M,"&lt;0")*-1</f>
        <v>2.5753380935891816</v>
      </c>
      <c r="AA28" s="152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26.94551074140497</v>
      </c>
      <c r="I29" s="21">
        <f>F29*$W$19</f>
        <v>2.0541935360781469</v>
      </c>
      <c r="J29" s="21">
        <f t="shared" si="0"/>
        <v>1345510.0672064717</v>
      </c>
      <c r="K29" s="21">
        <f t="shared" si="1"/>
        <v>102575.08604342351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0.54669999999999996</v>
      </c>
      <c r="T29" s="86">
        <v>26.92</v>
      </c>
      <c r="U29" s="32">
        <f t="shared" si="3"/>
        <v>49.240899945125307</v>
      </c>
      <c r="V29" s="86">
        <v>2.16</v>
      </c>
      <c r="W29" s="32">
        <f t="shared" si="4"/>
        <v>3.9509785988659232</v>
      </c>
      <c r="X29" s="112">
        <v>0.1</v>
      </c>
      <c r="Y29" s="42">
        <f>SUMIF(C:C,"=环保",J:J)/SUMIFS(M:M,C:C,"=环保",M:M,"&lt;0")*-1</f>
        <v>32.096343277509618</v>
      </c>
      <c r="Z29" s="42">
        <f>SUMIF(C:C,"=环保",K:K)/SUMIFS(M:M,C:C,"=环保",M:M,"&lt;0")*-1</f>
        <v>2.5753380935891816</v>
      </c>
      <c r="AA29" s="153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10.480291512915128</v>
      </c>
      <c r="I30" s="21">
        <f>F30*$W$15</f>
        <v>1.060918819188192</v>
      </c>
      <c r="J30" s="21">
        <f t="shared" si="0"/>
        <v>209605.83025830257</v>
      </c>
      <c r="K30" s="21">
        <f t="shared" si="1"/>
        <v>21218.37638376384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0.70379999999999998</v>
      </c>
      <c r="T30" s="86">
        <v>31.59</v>
      </c>
      <c r="U30" s="32">
        <f t="shared" si="3"/>
        <v>44.884910485933503</v>
      </c>
      <c r="V30" s="86">
        <v>2.4900000000000002</v>
      </c>
      <c r="W30" s="32">
        <f t="shared" si="4"/>
        <v>3.5379369138959937</v>
      </c>
      <c r="X30" s="71">
        <v>7.8600000000000003E-2</v>
      </c>
      <c r="Y30" s="42">
        <f>SUMIF(C:C,"=传媒",J:J)/SUMIFS(M:M,C:C,"=传媒",M:M,"&lt;0")*-1</f>
        <v>38.907211835907241</v>
      </c>
      <c r="Z30" s="42">
        <f>SUMIF(C:C,"=传媒",K:K)/SUMIFS(M:M,C:C,"=传媒",M:M,"&lt;0")*-1</f>
        <v>3.06676028716078</v>
      </c>
      <c r="AA30" s="152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41.359785860494412</v>
      </c>
      <c r="I31" s="21">
        <f>F31*$W$21</f>
        <v>2.6269878759250513</v>
      </c>
      <c r="J31" s="21">
        <f t="shared" si="0"/>
        <v>828221.43989922851</v>
      </c>
      <c r="K31" s="21">
        <f t="shared" si="1"/>
        <v>52604.906817823969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0.7097</v>
      </c>
      <c r="T31" s="86">
        <v>31.59</v>
      </c>
      <c r="U31" s="32">
        <f t="shared" si="3"/>
        <v>44.511765534732987</v>
      </c>
      <c r="V31" s="86">
        <v>2.4900000000000002</v>
      </c>
      <c r="W31" s="32">
        <f t="shared" si="4"/>
        <v>3.5085247287586308</v>
      </c>
      <c r="X31" s="124">
        <v>7.8600000000000003E-2</v>
      </c>
      <c r="Y31" s="42">
        <f>SUMIF(C:C,"=传媒",J:J)/SUMIFS(M:M,C:C,"=传媒",M:M,"&lt;0")*-1</f>
        <v>38.907211835907241</v>
      </c>
      <c r="Z31" s="42">
        <f>SUMIF(C:C,"=传媒",K:K)/SUMIFS(M:M,C:C,"=传媒",M:M,"&lt;0")*-1</f>
        <v>3.06676028716078</v>
      </c>
      <c r="AA31" s="152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40.50700677058731</v>
      </c>
      <c r="I32" s="21">
        <f>F32*$W$21</f>
        <v>2.5728231774523698</v>
      </c>
      <c r="J32" s="21">
        <f t="shared" si="0"/>
        <v>406447.7110061408</v>
      </c>
      <c r="K32" s="21">
        <f t="shared" si="1"/>
        <v>25815.733490788854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2.87</v>
      </c>
      <c r="T32" s="86">
        <v>35.69</v>
      </c>
      <c r="U32" s="32">
        <f t="shared" si="3"/>
        <v>12.435540069686409</v>
      </c>
      <c r="V32" s="86">
        <v>6.84</v>
      </c>
      <c r="W32" s="32">
        <f t="shared" si="4"/>
        <v>2.3832752613240418</v>
      </c>
      <c r="X32" s="71">
        <v>0.1875</v>
      </c>
      <c r="Y32" s="42">
        <f>SUMIF(C:C,"=消费",J:J)/SUMIF(C:C,"=消费",M:M)*-1</f>
        <v>54.995130729907501</v>
      </c>
      <c r="Z32" s="42">
        <f>SUMIF(C:C,"=消费",K:K)/SUMIFS(M:M,C:C,"=消费",M:M,"&lt;0")*-1</f>
        <v>-5.830570585191639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1.0775999999999999</v>
      </c>
      <c r="T33" s="70">
        <v>9.1300000000000008</v>
      </c>
      <c r="U33" s="32">
        <f t="shared" si="3"/>
        <v>8.4725315515961412</v>
      </c>
      <c r="V33" s="70">
        <v>1.2</v>
      </c>
      <c r="W33" s="32">
        <f t="shared" si="4"/>
        <v>1.1135857461024499</v>
      </c>
      <c r="X33" s="71">
        <f>V33/T33</f>
        <v>0.13143483023001093</v>
      </c>
      <c r="Y33" s="42">
        <f>SUMIF(C:C,"=金融地产",J:J)/SUMIFS(M:M,C:C,"=金融地产",M:M,"&lt;0")*-1</f>
        <v>7.6936234842860696</v>
      </c>
      <c r="Z33" s="42">
        <f>SUMIF(C:C,"=金融地产",K:K)/SUMIFS(M:M,C:C,"=金融地产",M:M,"&lt;0")*-1</f>
        <v>1.0112100965107647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33.83834644229011</v>
      </c>
      <c r="I34" s="21">
        <f>F34*$W$29</f>
        <v>2.7151124931406625</v>
      </c>
      <c r="J34" s="21">
        <f t="shared" ref="J34:J65" si="5">H34*(-$M34)</f>
        <v>135353.38576916044</v>
      </c>
      <c r="K34" s="21">
        <f t="shared" ref="K34:K65" si="6">I34*(-$M34)</f>
        <v>10860.44997256265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1.131</v>
      </c>
      <c r="T34" s="75">
        <v>16.23</v>
      </c>
      <c r="U34" s="76">
        <f t="shared" si="3"/>
        <v>14.350132625994695</v>
      </c>
      <c r="V34" s="70">
        <v>1.57</v>
      </c>
      <c r="W34" s="32">
        <f t="shared" si="4"/>
        <v>1.3881520778072503</v>
      </c>
      <c r="X34" s="112">
        <f>V34/T34</f>
        <v>9.6734442390634626E-2</v>
      </c>
      <c r="Y34" s="42">
        <f>SUMIF(C:C,"=德国30",J:J)/SUMIFS(M:M,C:C,"=德国30",M:M,"&lt;0")*-1</f>
        <v>15.695997277059224</v>
      </c>
      <c r="Z34" s="42">
        <f>SUMIF(C:C,"=德国30",K:K)/SUMIFS(M:M,C:C,"=德国30",M:M,"&lt;0")*-1</f>
        <v>1.5183435443612439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33.261517317207257</v>
      </c>
      <c r="I35" s="21">
        <f>F35*$W$28</f>
        <v>2.6688290269378783</v>
      </c>
      <c r="J35" s="21">
        <f t="shared" si="5"/>
        <v>134586.4101357889</v>
      </c>
      <c r="K35" s="21">
        <f t="shared" si="6"/>
        <v>10798.909579989006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1.5567</v>
      </c>
      <c r="T35" s="70">
        <v>10.16</v>
      </c>
      <c r="U35" s="32">
        <f t="shared" si="3"/>
        <v>6.5266268388257211</v>
      </c>
      <c r="V35" s="70">
        <v>1.1100000000000001</v>
      </c>
      <c r="W35" s="32">
        <f t="shared" si="4"/>
        <v>0.71304682983233769</v>
      </c>
      <c r="X35" s="112">
        <f>V35/T35</f>
        <v>0.10925196850393702</v>
      </c>
      <c r="Y35" s="42">
        <f>SUMIF(C:C,"=恒生",J:J)/SUMIFS(M:M,C:C,"=恒生",M:M,"&lt;0")*-1</f>
        <v>9.4649142416650598</v>
      </c>
      <c r="Z35" s="42">
        <f>SUMIF(C:C,"=恒生",K:K)/SUMIFS(M:M,C:C,"=恒生",M:M,"&lt;0")*-1</f>
        <v>1.0340605126228561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1.175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42.461125319693089</v>
      </c>
      <c r="I37" s="21">
        <f>F37*$W$30</f>
        <v>3.3468883205456099</v>
      </c>
      <c r="J37" s="21">
        <f t="shared" si="5"/>
        <v>273198.70180818409</v>
      </c>
      <c r="K37" s="21">
        <f t="shared" si="6"/>
        <v>21534.180674339303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1.0696000000000001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33.964485981308414</v>
      </c>
      <c r="I38" s="21">
        <f>F38*$W$28</f>
        <v>2.7252336448598133</v>
      </c>
      <c r="J38" s="21">
        <f t="shared" si="5"/>
        <v>651779.84456074773</v>
      </c>
      <c r="K38" s="21">
        <f t="shared" si="6"/>
        <v>52297.342654205611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1.5049999999999999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3.7338</v>
      </c>
      <c r="T39" s="72"/>
      <c r="U39" s="72"/>
      <c r="V39" s="72"/>
      <c r="W39" s="72"/>
      <c r="X39" s="72"/>
      <c r="Y39" s="2"/>
      <c r="Z39" s="41"/>
      <c r="AA39" s="152">
        <f>(SUMIF(C:C,"=可转债",M:M)*-1)/$R$2</f>
        <v>0.08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29.419020559975205</v>
      </c>
      <c r="I40" s="21">
        <f>F40*$W$27</f>
        <v>1.5430519681785309</v>
      </c>
      <c r="J40" s="21">
        <f t="shared" si="5"/>
        <v>376685.84629321215</v>
      </c>
      <c r="K40" s="21">
        <f t="shared" si="6"/>
        <v>19757.484288872816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2.2635999999999998</v>
      </c>
      <c r="T40" s="72"/>
      <c r="U40" s="72"/>
      <c r="V40" s="72"/>
      <c r="W40" s="72"/>
      <c r="X40" s="72"/>
      <c r="Y40" s="68"/>
      <c r="Z40" s="68"/>
      <c r="AA40" s="153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42.461125319693089</v>
      </c>
      <c r="I41" s="21">
        <f>F41*$W$30</f>
        <v>3.3468883205456099</v>
      </c>
      <c r="J41" s="21">
        <f t="shared" si="5"/>
        <v>273198.70180818409</v>
      </c>
      <c r="K41" s="21">
        <f t="shared" si="6"/>
        <v>21534.180674339303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2.5489999999999999</v>
      </c>
      <c r="T41" s="72"/>
      <c r="U41" s="72"/>
      <c r="V41" s="72"/>
      <c r="W41" s="72"/>
      <c r="X41" s="72"/>
      <c r="Y41" s="68"/>
      <c r="Z41" s="68"/>
      <c r="AA41" s="153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26.89623383065593</v>
      </c>
      <c r="I42" s="21">
        <f>F42*$W$19</f>
        <v>2.0504369061701073</v>
      </c>
      <c r="J42" s="21">
        <f t="shared" si="5"/>
        <v>177668.9897398405</v>
      </c>
      <c r="K42" s="21">
        <f t="shared" si="6"/>
        <v>13544.612079826002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0.45800000000000002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1.1760999999999999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26.466180791391615</v>
      </c>
      <c r="I44" s="21">
        <f>F44*$W$19</f>
        <v>2.0176517724272145</v>
      </c>
      <c r="J44" s="21">
        <f t="shared" si="5"/>
        <v>172032.82176212466</v>
      </c>
      <c r="K44" s="21">
        <f t="shared" si="6"/>
        <v>13114.938285954138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1.7488762500000001E-2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7.9980697847067566</v>
      </c>
      <c r="I45" s="21">
        <f>F45*$W$33</f>
        <v>1.0512249443207127</v>
      </c>
      <c r="J45" s="21">
        <f t="shared" si="5"/>
        <v>51187.64662212324</v>
      </c>
      <c r="K45" s="21">
        <f t="shared" si="6"/>
        <v>6727.8396436525609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3.7467800000000051E-2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25.98685084137826</v>
      </c>
      <c r="I46" s="21">
        <f>F46*$W$19</f>
        <v>1.9811100087762812</v>
      </c>
      <c r="J46" s="21">
        <f t="shared" si="5"/>
        <v>497573.61135047895</v>
      </c>
      <c r="K46" s="21">
        <f t="shared" si="6"/>
        <v>37932.570882340602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12.513220998055736</v>
      </c>
      <c r="I47" s="21">
        <f>F47*$W$17</f>
        <v>1.3977031756318858</v>
      </c>
      <c r="J47" s="21">
        <f t="shared" si="5"/>
        <v>82070.587692158137</v>
      </c>
      <c r="K47" s="21">
        <f t="shared" si="6"/>
        <v>9167.129795048606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24.750448353493343</v>
      </c>
      <c r="I48" s="21">
        <f>F48*$W$19</f>
        <v>1.8868527492654636</v>
      </c>
      <c r="J48" s="21">
        <f t="shared" si="5"/>
        <v>314579.18859083456</v>
      </c>
      <c r="K48" s="21">
        <f t="shared" si="6"/>
        <v>23981.973917274016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24.248719807684974</v>
      </c>
      <c r="I49" s="21">
        <f>F49*$W$19</f>
        <v>1.8486034265654216</v>
      </c>
      <c r="J49" s="21">
        <f t="shared" si="5"/>
        <v>157541.5077185485</v>
      </c>
      <c r="K49" s="21">
        <f t="shared" si="6"/>
        <v>12010.191602052888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25.447949168302511</v>
      </c>
      <c r="I51" s="21">
        <f>F51*$W$27</f>
        <v>1.3347659882219238</v>
      </c>
      <c r="J51" s="21">
        <f t="shared" si="5"/>
        <v>162459.19853145984</v>
      </c>
      <c r="K51" s="21">
        <f t="shared" si="6"/>
        <v>8521.1193734889966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52.184850970741039</v>
      </c>
      <c r="I52" s="21">
        <f>F52*$W$22</f>
        <v>4.4658189773038002</v>
      </c>
      <c r="J52" s="21">
        <f t="shared" si="5"/>
        <v>337139.70784796274</v>
      </c>
      <c r="K52" s="21">
        <f t="shared" si="6"/>
        <v>28851.378844681429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11.843421905379133</v>
      </c>
      <c r="I53" s="21">
        <f>F53*$W$17</f>
        <v>1.3228878807517821</v>
      </c>
      <c r="J53" s="21">
        <f t="shared" si="5"/>
        <v>73519.699556707725</v>
      </c>
      <c r="K53" s="21">
        <f t="shared" si="6"/>
        <v>8212.0117240699929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28.266739967014843</v>
      </c>
      <c r="I54" s="21">
        <f>F54*$W$28</f>
        <v>2.2680593732820231</v>
      </c>
      <c r="J54" s="21">
        <f t="shared" si="5"/>
        <v>181440.81183947224</v>
      </c>
      <c r="K54" s="21">
        <f t="shared" si="6"/>
        <v>14558.400949972513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7.2016518188567202</v>
      </c>
      <c r="I55" s="21">
        <f>F55*$W$33</f>
        <v>0.94654788418708236</v>
      </c>
      <c r="J55" s="21">
        <f t="shared" si="5"/>
        <v>46090.571640683011</v>
      </c>
      <c r="K55" s="21">
        <f t="shared" si="6"/>
        <v>6057.9064587973271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10.187763837638377</v>
      </c>
      <c r="I56" s="21">
        <f>F56*$W$15</f>
        <v>1.0313062730627307</v>
      </c>
      <c r="J56" s="21">
        <f t="shared" si="5"/>
        <v>65201.68856088561</v>
      </c>
      <c r="K56" s="21">
        <f t="shared" si="6"/>
        <v>6600.3601476014765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25.463443794671868</v>
      </c>
      <c r="I57" s="21">
        <f>E57*$W$26</f>
        <v>3.388630062811349</v>
      </c>
      <c r="J57" s="21">
        <f t="shared" si="5"/>
        <v>162966.04028589994</v>
      </c>
      <c r="K57" s="21">
        <f t="shared" si="6"/>
        <v>21687.232401992635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10.117557195571957</v>
      </c>
      <c r="I58" s="21">
        <f>F58*$W$15</f>
        <v>1.0241992619926199</v>
      </c>
      <c r="J58" s="21">
        <f t="shared" si="5"/>
        <v>64752.366051660523</v>
      </c>
      <c r="K58" s="21">
        <f t="shared" si="6"/>
        <v>6554.8752767527676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8.5630529172320227</v>
      </c>
      <c r="I60" s="21">
        <f>F60*$W$16</f>
        <v>0.99551560379918591</v>
      </c>
      <c r="J60" s="21">
        <f t="shared" si="5"/>
        <v>55175.945841655361</v>
      </c>
      <c r="K60" s="21">
        <f t="shared" si="6"/>
        <v>6414.5948379240162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17.17710875331565</v>
      </c>
      <c r="I61" s="21">
        <f>$F61*$W$34</f>
        <v>1.6616180371352787</v>
      </c>
      <c r="J61" s="21">
        <f t="shared" si="5"/>
        <v>109933.49602122017</v>
      </c>
      <c r="K61" s="21">
        <f t="shared" si="6"/>
        <v>10634.355437665783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36.715856777493606</v>
      </c>
      <c r="I62" s="21">
        <f>F62*$W$30</f>
        <v>2.8940323955669225</v>
      </c>
      <c r="J62" s="21">
        <f t="shared" si="5"/>
        <v>234308.84887979541</v>
      </c>
      <c r="K62" s="21">
        <f t="shared" si="6"/>
        <v>18468.788658141519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34.750747913714378</v>
      </c>
      <c r="I64" s="21">
        <f>F64*$W$21</f>
        <v>2.2072114627617698</v>
      </c>
      <c r="J64" s="21">
        <f t="shared" si="5"/>
        <v>113310.02618485279</v>
      </c>
      <c r="K64" s="21">
        <f t="shared" si="6"/>
        <v>7196.9440560541652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24.284557560956998</v>
      </c>
      <c r="I65" s="21">
        <f>F65*$W$19</f>
        <v>1.8513355210439961</v>
      </c>
      <c r="J65" s="21">
        <f t="shared" si="5"/>
        <v>158007.47377036672</v>
      </c>
      <c r="K65" s="21">
        <f t="shared" si="6"/>
        <v>12045.714567672761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32.991891040780978</v>
      </c>
      <c r="I66" s="21">
        <f>F66*$W$21</f>
        <v>2.095496772161864</v>
      </c>
      <c r="J66" s="21">
        <f t="shared" ref="J66:J99" si="7">H66*(-$M66)</f>
        <v>106215.41369233192</v>
      </c>
      <c r="K66" s="21">
        <f t="shared" ref="K66:K99" si="8">I66*(-$M66)</f>
        <v>6746.3261281687919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23.043675353913081</v>
      </c>
      <c r="I67" s="21">
        <f>F67*$W$19</f>
        <v>1.7567367497233564</v>
      </c>
      <c r="J67" s="21">
        <f t="shared" si="7"/>
        <v>142272.34294531998</v>
      </c>
      <c r="K67" s="21">
        <f t="shared" si="8"/>
        <v>10846.145394894493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11.458716785482826</v>
      </c>
      <c r="I68" s="21">
        <f>F68*$W$17</f>
        <v>1.2799170447180817</v>
      </c>
      <c r="J68" s="21">
        <f t="shared" si="7"/>
        <v>72644.483043421904</v>
      </c>
      <c r="K68" s="21">
        <f t="shared" si="8"/>
        <v>8114.2516908878806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29.775865114411882</v>
      </c>
      <c r="I69" s="21">
        <f>F69*$W$24</f>
        <v>3.5553271778402249</v>
      </c>
      <c r="J69" s="21">
        <f t="shared" si="7"/>
        <v>191074.1085083902</v>
      </c>
      <c r="K69" s="21">
        <f t="shared" si="8"/>
        <v>22814.818926374952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10.109756457564577</v>
      </c>
      <c r="I71" s="21">
        <f>F71*$W$15</f>
        <v>1.0234095940959411</v>
      </c>
      <c r="J71" s="21">
        <f t="shared" si="7"/>
        <v>64702.441328413297</v>
      </c>
      <c r="K71" s="21">
        <f t="shared" si="8"/>
        <v>6549.8214022140228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22.862846003898635</v>
      </c>
      <c r="I74" s="21">
        <f>E74*$W$26</f>
        <v>3.0425471085120206</v>
      </c>
      <c r="J74" s="21">
        <f t="shared" si="7"/>
        <v>146322.21442495126</v>
      </c>
      <c r="K74" s="21">
        <f t="shared" si="8"/>
        <v>19472.301494476931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29.597404933196298</v>
      </c>
      <c r="I75" s="21">
        <f>F75*$W$25</f>
        <v>3.5340184994861259</v>
      </c>
      <c r="J75" s="21">
        <f t="shared" si="7"/>
        <v>189423.39157245631</v>
      </c>
      <c r="K75" s="21">
        <f t="shared" si="8"/>
        <v>22617.718396711207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25.463443794671868</v>
      </c>
      <c r="I76" s="21">
        <f>E76*$W$26</f>
        <v>3.0398353909465019</v>
      </c>
      <c r="J76" s="21">
        <f t="shared" si="7"/>
        <v>162966.04028589994</v>
      </c>
      <c r="K76" s="21">
        <f t="shared" si="8"/>
        <v>19454.946502057614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32.855754475703321</v>
      </c>
      <c r="I77" s="21">
        <f>F77*$W$30</f>
        <v>2.5897698209718674</v>
      </c>
      <c r="J77" s="21">
        <f t="shared" si="7"/>
        <v>209280.31361125316</v>
      </c>
      <c r="K77" s="21">
        <f t="shared" si="8"/>
        <v>16495.979135549875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23.066073949708095</v>
      </c>
      <c r="I78" s="21">
        <f>F78*$W$19</f>
        <v>1.7584443087724655</v>
      </c>
      <c r="J78" s="21">
        <f t="shared" si="7"/>
        <v>142549.25965215403</v>
      </c>
      <c r="K78" s="21">
        <f t="shared" si="8"/>
        <v>10867.256165986188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22.989918724005037</v>
      </c>
      <c r="I79" s="21">
        <f>F79*$W$19</f>
        <v>1.7526386080054948</v>
      </c>
      <c r="J79" s="21">
        <f t="shared" si="7"/>
        <v>11800.725281031784</v>
      </c>
      <c r="K79" s="21">
        <f t="shared" si="8"/>
        <v>899.62939748922042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22.716655855305834</v>
      </c>
      <c r="I81" s="21">
        <f>F81*$W$19</f>
        <v>1.7318063876063647</v>
      </c>
      <c r="J81" s="21">
        <f t="shared" si="7"/>
        <v>149784.99638066164</v>
      </c>
      <c r="K81" s="21">
        <f t="shared" si="8"/>
        <v>11418.873233449078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11.530848995463383</v>
      </c>
      <c r="I82" s="21">
        <f>F82*$W$17</f>
        <v>1.2879740764744005</v>
      </c>
      <c r="J82" s="21">
        <f t="shared" si="7"/>
        <v>73561.973634478287</v>
      </c>
      <c r="K82" s="21">
        <f t="shared" si="8"/>
        <v>8216.7336587945556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31.179735474728389</v>
      </c>
      <c r="I84" s="21">
        <f>F84*$W$21</f>
        <v>1.980396787907416</v>
      </c>
      <c r="J84" s="21">
        <f t="shared" si="7"/>
        <v>98516.42759801606</v>
      </c>
      <c r="K84" s="21">
        <f t="shared" si="8"/>
        <v>6257.3211029759095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22.286602816041515</v>
      </c>
      <c r="I85" s="21">
        <f>F85*$W$19</f>
        <v>1.6990212538634715</v>
      </c>
      <c r="J85" s="21">
        <f t="shared" si="7"/>
        <v>144167.35343038119</v>
      </c>
      <c r="K85" s="21">
        <f t="shared" si="8"/>
        <v>10990.611696779486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11.83381126173097</v>
      </c>
      <c r="I86" s="21">
        <f>F86*$W$18</f>
        <v>1.3218143899895727</v>
      </c>
      <c r="J86" s="21">
        <f t="shared" si="7"/>
        <v>75736.392075078213</v>
      </c>
      <c r="K86" s="21">
        <f t="shared" si="8"/>
        <v>8459.6120959332657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23.211799870045486</v>
      </c>
      <c r="I88" s="21">
        <f>E88*$W$26</f>
        <v>3.0889852718215289</v>
      </c>
      <c r="J88" s="21">
        <f t="shared" si="7"/>
        <v>148555.5191682911</v>
      </c>
      <c r="K88" s="21">
        <f t="shared" si="8"/>
        <v>19769.505739657787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7.881148849294731</v>
      </c>
      <c r="I89" s="21">
        <f>F89*$W$33</f>
        <v>1.0358574610244988</v>
      </c>
      <c r="J89" s="21">
        <f t="shared" si="7"/>
        <v>50439.352635486277</v>
      </c>
      <c r="K89" s="21">
        <f t="shared" si="8"/>
        <v>6629.4877505567929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47.456931911402783</v>
      </c>
      <c r="I90" s="21">
        <f>F90*$W$22</f>
        <v>4.0612182116488924</v>
      </c>
      <c r="J90" s="21">
        <f t="shared" si="7"/>
        <v>304104.01968826907</v>
      </c>
      <c r="K90" s="21">
        <f t="shared" si="8"/>
        <v>26024.286300246102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20.736619987026366</v>
      </c>
      <c r="I91" s="21">
        <f>F91*$W$19</f>
        <v>1.5808581676651274</v>
      </c>
      <c r="J91" s="21">
        <f t="shared" si="7"/>
        <v>134412.6970939062</v>
      </c>
      <c r="K91" s="21">
        <f t="shared" si="8"/>
        <v>10246.964556988589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26.472918807810892</v>
      </c>
      <c r="I92" s="21">
        <f>F92*$W$25</f>
        <v>3.1609455292908533</v>
      </c>
      <c r="J92" s="21">
        <f t="shared" si="7"/>
        <v>169426.68036998971</v>
      </c>
      <c r="K92" s="21">
        <f t="shared" si="8"/>
        <v>20230.051387461463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21.179047422254367</v>
      </c>
      <c r="I93" s="21">
        <f>F93*$W$27</f>
        <v>1.1108585597685712</v>
      </c>
      <c r="J93" s="21">
        <f t="shared" si="7"/>
        <v>135206.61516272344</v>
      </c>
      <c r="K93" s="21">
        <f t="shared" si="8"/>
        <v>7091.6988283913624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23.482985183830259</v>
      </c>
      <c r="I94" s="21">
        <f>F94*$W$29</f>
        <v>1.8842216937991587</v>
      </c>
      <c r="J94" s="21">
        <f t="shared" si="7"/>
        <v>150291.10517651367</v>
      </c>
      <c r="K94" s="21">
        <f t="shared" si="8"/>
        <v>12059.018840314617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26.32521582733813</v>
      </c>
      <c r="I95" s="21">
        <f>F95*$W$25</f>
        <v>3.1433093525179863</v>
      </c>
      <c r="J95" s="21">
        <f t="shared" si="7"/>
        <v>168481.38129496403</v>
      </c>
      <c r="K95" s="21">
        <f t="shared" si="8"/>
        <v>20117.179856115112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9.8913357933579338</v>
      </c>
      <c r="I96" s="21">
        <f>F96*$W$15</f>
        <v>1.0012988929889299</v>
      </c>
      <c r="J96" s="21">
        <f t="shared" si="7"/>
        <v>63304.549077490774</v>
      </c>
      <c r="K96" s="21">
        <f t="shared" si="8"/>
        <v>6408.3129151291514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10.811392075078206</v>
      </c>
      <c r="I97" s="21">
        <f>F97*$W$18</f>
        <v>1.2076120959332639</v>
      </c>
      <c r="J97" s="21">
        <f t="shared" si="7"/>
        <v>69192.90928050052</v>
      </c>
      <c r="K97" s="21">
        <f t="shared" si="8"/>
        <v>7728.7174139728886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20.217515789473683</v>
      </c>
      <c r="I98" s="21">
        <f>F98*$W$20</f>
        <v>1.5412842105263158</v>
      </c>
      <c r="J98" s="21">
        <f t="shared" si="7"/>
        <v>129392.10105263158</v>
      </c>
      <c r="K98" s="21">
        <f t="shared" si="8"/>
        <v>9864.2189473684211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21.302080139372819</v>
      </c>
      <c r="I99" s="21">
        <f>F99*$W$32</f>
        <v>4.0825505226480834</v>
      </c>
      <c r="J99" s="21">
        <f t="shared" si="7"/>
        <v>136333.31289198605</v>
      </c>
      <c r="K99" s="21">
        <f t="shared" si="8"/>
        <v>26128.323344947734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43.863185180501986</v>
      </c>
      <c r="I100" s="21">
        <f>F100*$W$23</f>
        <v>3.7536764241006511</v>
      </c>
      <c r="J100" s="21">
        <f>H100*(-M100)</f>
        <v>280724.38515521272</v>
      </c>
      <c r="K100" s="21">
        <f>I100*(-$M100)</f>
        <v>24023.529114244167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20.47111111111111</v>
      </c>
      <c r="I102" s="21">
        <f>E102*$W$26</f>
        <v>2.7242592592592589</v>
      </c>
      <c r="J102" s="21">
        <f>H102*(-$M102)</f>
        <v>131015.11111111111</v>
      </c>
      <c r="K102" s="21">
        <f>I102*(-$M102)</f>
        <v>17435.259259259255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10.039549815498155</v>
      </c>
      <c r="I104" s="21">
        <f>F104*$W$15</f>
        <v>1.0163025830258303</v>
      </c>
      <c r="J104" s="21">
        <f>H104*(-$M104)</f>
        <v>64253.118819188196</v>
      </c>
      <c r="K104" s="21">
        <f>I104*(-$M104)</f>
        <v>6504.3365313653139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21.885831578947368</v>
      </c>
      <c r="I106" s="21">
        <f>F106*$W$20</f>
        <v>1.6684684210526315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11.198253388946819</v>
      </c>
      <c r="I107" s="21">
        <f>F107*$W$18</f>
        <v>1.2508237747653808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18.759284210526317</v>
      </c>
      <c r="I109" s="21">
        <f>F109*$W$20</f>
        <v>1.4301157894736842</v>
      </c>
      <c r="J109" s="21">
        <f t="shared" si="11"/>
        <v>120059.41894736842</v>
      </c>
      <c r="K109" s="21">
        <f t="shared" si="12"/>
        <v>9152.7410526315798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9.4649142416650598</v>
      </c>
      <c r="I110" s="21">
        <f>F110*$W$35</f>
        <v>1.0340605126228561</v>
      </c>
      <c r="J110" s="21">
        <f t="shared" si="11"/>
        <v>60575.451146656385</v>
      </c>
      <c r="K110" s="21">
        <f t="shared" si="12"/>
        <v>6617.9872807862794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15.483793103448274</v>
      </c>
      <c r="I113" s="21">
        <f>$F113*$W$34</f>
        <v>1.4978160919540229</v>
      </c>
      <c r="J113" s="21">
        <f t="shared" si="11"/>
        <v>99096.275862068956</v>
      </c>
      <c r="K113" s="21">
        <f t="shared" si="12"/>
        <v>9586.022988505747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9.8913357933579338</v>
      </c>
      <c r="I115" s="21">
        <f>F115*$W$15</f>
        <v>1.0012988929889299</v>
      </c>
      <c r="J115" s="21">
        <f t="shared" si="11"/>
        <v>63304.549077490774</v>
      </c>
      <c r="K115" s="21">
        <f t="shared" si="12"/>
        <v>6408.3129151291514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20.697803768680963</v>
      </c>
      <c r="I116" s="21">
        <f>E116*$W$26</f>
        <v>2.7544271171756551</v>
      </c>
      <c r="J116" s="21">
        <f t="shared" si="11"/>
        <v>132465.94411955817</v>
      </c>
      <c r="K116" s="21">
        <f t="shared" si="12"/>
        <v>17628.333549924191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11.191345151199167</v>
      </c>
      <c r="I119" s="21">
        <f>F119*$W$18</f>
        <v>1.2500521376433786</v>
      </c>
      <c r="J119" s="21">
        <f t="shared" si="11"/>
        <v>71624.608967674663</v>
      </c>
      <c r="K119" s="21">
        <f t="shared" si="12"/>
        <v>8000.3336809176235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26.121242416148363</v>
      </c>
      <c r="I121" s="21">
        <f>F121*$W$19</f>
        <v>1.9913553630709355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15.096339522546419</v>
      </c>
      <c r="I122" s="21">
        <f>$F122*$W$34</f>
        <v>1.4603359858532274</v>
      </c>
      <c r="J122" s="21">
        <f t="shared" ref="J122:J128" si="13">H122*(-$M122)</f>
        <v>96616.572944297077</v>
      </c>
      <c r="K122" s="21">
        <f t="shared" ref="K122:K128" si="14">I122*(-$M122)</f>
        <v>9346.150309460656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36.23257714527265</v>
      </c>
      <c r="I124" s="21">
        <f>$F124*$W$31</f>
        <v>2.8559391292095251</v>
      </c>
      <c r="J124" s="21">
        <f t="shared" si="13"/>
        <v>231888.49372974495</v>
      </c>
      <c r="K124" s="21">
        <f t="shared" si="14"/>
        <v>18278.01042694096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33.302376306620204</v>
      </c>
      <c r="I126" s="21">
        <f>F126*$W$32</f>
        <v>6.3824111498257841</v>
      </c>
      <c r="J126" s="21">
        <f t="shared" si="13"/>
        <v>-331040.27353337978</v>
      </c>
      <c r="K126" s="21">
        <f t="shared" si="14"/>
        <v>-63443.975090174223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12.763966299416722</v>
      </c>
      <c r="I128" s="21">
        <f>F128*$W$17</f>
        <v>1.4257109526895657</v>
      </c>
      <c r="J128" s="21">
        <f t="shared" si="13"/>
        <v>80648.610504212586</v>
      </c>
      <c r="K128" s="21">
        <f t="shared" si="14"/>
        <v>9008.2976261309141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23.070553668867099</v>
      </c>
      <c r="I133" s="21">
        <f>F133*$W$19</f>
        <v>1.7587858205822873</v>
      </c>
      <c r="J133" s="21">
        <f t="shared" si="17"/>
        <v>142604.62916014806</v>
      </c>
      <c r="K133" s="21">
        <f t="shared" si="18"/>
        <v>10871.477265616057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33.311683199496144</v>
      </c>
      <c r="I134" s="21">
        <f>F134*$W$21</f>
        <v>2.11580853408912</v>
      </c>
      <c r="J134" s="21">
        <f t="shared" si="17"/>
        <v>212404.61935128327</v>
      </c>
      <c r="K134" s="21">
        <f t="shared" si="18"/>
        <v>13490.987639741774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/>
      <c r="B136" s="128"/>
      <c r="C136" s="128"/>
      <c r="D136" s="3"/>
      <c r="E136" s="21"/>
      <c r="F136" s="21"/>
      <c r="G136" s="20"/>
      <c r="H136" s="21"/>
      <c r="I136" s="21"/>
      <c r="J136" s="21"/>
      <c r="K136" s="21"/>
      <c r="L136" s="5"/>
      <c r="M136" s="1"/>
      <c r="N136" s="1"/>
      <c r="O136" s="4"/>
      <c r="Q136" s="36"/>
    </row>
    <row r="137" spans="1:22">
      <c r="A137" s="3"/>
      <c r="B137" s="128"/>
      <c r="C137" s="128"/>
      <c r="D137" s="3"/>
      <c r="E137" s="21"/>
      <c r="F137" s="21"/>
      <c r="G137" s="20"/>
      <c r="H137" s="21"/>
      <c r="I137" s="21"/>
      <c r="J137" s="21">
        <f t="shared" ref="J137" si="19">H137*(-M137)</f>
        <v>0</v>
      </c>
      <c r="K137" s="21"/>
      <c r="L137" s="5"/>
      <c r="M137" s="1"/>
      <c r="N137" s="1"/>
      <c r="O137" s="4"/>
      <c r="Q137" s="36"/>
    </row>
    <row r="138" spans="1:22">
      <c r="A138" s="3"/>
      <c r="B138" s="128"/>
      <c r="C138" s="128"/>
      <c r="D138" s="3"/>
      <c r="E138" s="21"/>
      <c r="F138" s="21"/>
      <c r="G138" s="20"/>
      <c r="H138" s="21"/>
      <c r="I138" s="21"/>
      <c r="J138" s="21"/>
      <c r="K138" s="21"/>
      <c r="L138" s="5"/>
      <c r="M138" s="1"/>
      <c r="N138" s="1"/>
      <c r="O138" s="4"/>
      <c r="Q138" s="36"/>
    </row>
    <row r="139" spans="1:22">
      <c r="A139" s="3"/>
      <c r="B139" s="128"/>
      <c r="C139" s="128"/>
      <c r="D139" s="3"/>
      <c r="E139" s="21"/>
      <c r="F139" s="21"/>
      <c r="G139" s="20"/>
      <c r="H139" s="21"/>
      <c r="I139" s="21"/>
      <c r="J139" s="21"/>
      <c r="K139" s="21"/>
      <c r="L139" s="5"/>
      <c r="M139" s="1"/>
      <c r="N139" s="1"/>
      <c r="O139" s="4"/>
      <c r="Q139" s="36"/>
    </row>
    <row r="140" spans="1:22">
      <c r="A140" s="3"/>
      <c r="B140" s="128"/>
      <c r="C140" s="128"/>
      <c r="D140" s="3"/>
      <c r="E140" s="21"/>
      <c r="F140" s="21"/>
      <c r="G140" s="20"/>
      <c r="H140" s="21"/>
      <c r="I140" s="21"/>
      <c r="J140" s="21"/>
      <c r="K140" s="21"/>
      <c r="L140" s="5"/>
      <c r="M140" s="1"/>
      <c r="N140" s="1"/>
      <c r="O140" s="4"/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0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1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2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3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4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25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26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26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26"/>
        <v>0</v>
      </c>
      <c r="K171" s="21"/>
      <c r="L171" s="5"/>
      <c r="M171" s="1"/>
      <c r="N171" s="1"/>
      <c r="O171" s="4"/>
    </row>
    <row r="172" spans="1:19">
      <c r="A172" s="3">
        <v>43649</v>
      </c>
      <c r="D172" s="3"/>
      <c r="E172" s="3"/>
      <c r="F172" s="3"/>
      <c r="G172" s="3"/>
      <c r="H172" s="3"/>
      <c r="I172" s="3"/>
      <c r="J172" s="21">
        <f t="shared" si="26"/>
        <v>0</v>
      </c>
      <c r="K172" s="21"/>
      <c r="L172" s="8" t="s">
        <v>128</v>
      </c>
      <c r="M172" s="1">
        <f>SUM(T4:T6)+T8</f>
        <v>912742.12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26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26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26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26"/>
        <v>0</v>
      </c>
      <c r="K176" s="21"/>
      <c r="L176" s="8" t="s">
        <v>26</v>
      </c>
      <c r="M176" s="12">
        <f>XIRR($M2:$M175,$A2:$A175)</f>
        <v>0.17176619172096252</v>
      </c>
      <c r="N176" s="12"/>
      <c r="O176" s="12"/>
    </row>
    <row r="177" spans="10:14">
      <c r="J177" s="21">
        <f t="shared" si="26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26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29.044416543209845</v>
      </c>
    </row>
  </sheetData>
  <autoFilter ref="A1:X135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4" priority="131" operator="greaterThan">
      <formula>3</formula>
    </cfRule>
  </conditionalFormatting>
  <conditionalFormatting sqref="O43:O47 O172:O174">
    <cfRule type="cellIs" dxfId="93" priority="130" operator="greaterThan">
      <formula>3</formula>
    </cfRule>
  </conditionalFormatting>
  <conditionalFormatting sqref="O48">
    <cfRule type="cellIs" dxfId="92" priority="128" operator="greaterThan">
      <formula>3</formula>
    </cfRule>
  </conditionalFormatting>
  <conditionalFormatting sqref="O49">
    <cfRule type="cellIs" dxfId="91" priority="127" operator="greaterThan">
      <formula>3</formula>
    </cfRule>
  </conditionalFormatting>
  <conditionalFormatting sqref="O50">
    <cfRule type="cellIs" dxfId="90" priority="126" operator="greaterThan">
      <formula>3</formula>
    </cfRule>
  </conditionalFormatting>
  <conditionalFormatting sqref="O52">
    <cfRule type="cellIs" dxfId="89" priority="125" operator="greaterThan">
      <formula>3</formula>
    </cfRule>
  </conditionalFormatting>
  <conditionalFormatting sqref="O53">
    <cfRule type="cellIs" dxfId="88" priority="124" operator="greaterThan">
      <formula>3</formula>
    </cfRule>
  </conditionalFormatting>
  <conditionalFormatting sqref="O54 O60 O78">
    <cfRule type="cellIs" dxfId="87" priority="123" operator="greaterThan">
      <formula>3</formula>
    </cfRule>
  </conditionalFormatting>
  <conditionalFormatting sqref="O51">
    <cfRule type="cellIs" dxfId="86" priority="122" operator="greaterThan">
      <formula>3</formula>
    </cfRule>
  </conditionalFormatting>
  <conditionalFormatting sqref="O25">
    <cfRule type="cellIs" dxfId="85" priority="120" operator="greaterThan">
      <formula>3</formula>
    </cfRule>
  </conditionalFormatting>
  <conditionalFormatting sqref="O55">
    <cfRule type="cellIs" dxfId="84" priority="118" operator="greaterThan">
      <formula>3</formula>
    </cfRule>
  </conditionalFormatting>
  <conditionalFormatting sqref="O56">
    <cfRule type="cellIs" dxfId="83" priority="117" operator="greaterThan">
      <formula>3</formula>
    </cfRule>
  </conditionalFormatting>
  <conditionalFormatting sqref="O57">
    <cfRule type="cellIs" dxfId="82" priority="115" operator="greaterThan">
      <formula>3</formula>
    </cfRule>
  </conditionalFormatting>
  <conditionalFormatting sqref="O58">
    <cfRule type="cellIs" dxfId="81" priority="114" operator="greaterThan">
      <formula>3</formula>
    </cfRule>
  </conditionalFormatting>
  <conditionalFormatting sqref="O59">
    <cfRule type="cellIs" dxfId="80" priority="113" operator="greaterThan">
      <formula>3</formula>
    </cfRule>
  </conditionalFormatting>
  <conditionalFormatting sqref="O70">
    <cfRule type="cellIs" dxfId="79" priority="112" operator="greaterThan">
      <formula>3</formula>
    </cfRule>
  </conditionalFormatting>
  <conditionalFormatting sqref="O61">
    <cfRule type="cellIs" dxfId="78" priority="110" operator="greaterThan">
      <formula>3</formula>
    </cfRule>
  </conditionalFormatting>
  <conditionalFormatting sqref="O62:O63 O69">
    <cfRule type="cellIs" dxfId="77" priority="109" operator="greaterThan">
      <formula>3</formula>
    </cfRule>
  </conditionalFormatting>
  <conditionalFormatting sqref="O66">
    <cfRule type="cellIs" dxfId="76" priority="105" operator="greaterThan">
      <formula>3</formula>
    </cfRule>
  </conditionalFormatting>
  <conditionalFormatting sqref="O65">
    <cfRule type="cellIs" dxfId="75" priority="106" operator="greaterThan">
      <formula>3</formula>
    </cfRule>
  </conditionalFormatting>
  <conditionalFormatting sqref="O64">
    <cfRule type="cellIs" dxfId="74" priority="107" operator="greaterThan">
      <formula>3</formula>
    </cfRule>
  </conditionalFormatting>
  <conditionalFormatting sqref="O68">
    <cfRule type="cellIs" dxfId="73" priority="103" operator="greaterThan">
      <formula>3</formula>
    </cfRule>
  </conditionalFormatting>
  <conditionalFormatting sqref="O67">
    <cfRule type="cellIs" dxfId="72" priority="104" operator="greaterThan">
      <formula>3</formula>
    </cfRule>
  </conditionalFormatting>
  <conditionalFormatting sqref="O17:O18">
    <cfRule type="cellIs" dxfId="71" priority="102" operator="greaterThan">
      <formula>3</formula>
    </cfRule>
  </conditionalFormatting>
  <conditionalFormatting sqref="O77">
    <cfRule type="cellIs" dxfId="70" priority="101" operator="greaterThan">
      <formula>3</formula>
    </cfRule>
  </conditionalFormatting>
  <conditionalFormatting sqref="O71">
    <cfRule type="cellIs" dxfId="69" priority="100" operator="greaterThan">
      <formula>3</formula>
    </cfRule>
  </conditionalFormatting>
  <conditionalFormatting sqref="O74">
    <cfRule type="cellIs" dxfId="68" priority="99" operator="greaterThan">
      <formula>3</formula>
    </cfRule>
  </conditionalFormatting>
  <conditionalFormatting sqref="O76">
    <cfRule type="cellIs" dxfId="67" priority="98" operator="greaterThan">
      <formula>3</formula>
    </cfRule>
  </conditionalFormatting>
  <conditionalFormatting sqref="O72">
    <cfRule type="cellIs" dxfId="66" priority="95" operator="greaterThan">
      <formula>3</formula>
    </cfRule>
  </conditionalFormatting>
  <conditionalFormatting sqref="O79">
    <cfRule type="cellIs" dxfId="65" priority="94" operator="greaterThan">
      <formula>3</formula>
    </cfRule>
  </conditionalFormatting>
  <conditionalFormatting sqref="O81">
    <cfRule type="cellIs" dxfId="64" priority="93" operator="greaterThan">
      <formula>3</formula>
    </cfRule>
  </conditionalFormatting>
  <conditionalFormatting sqref="O82">
    <cfRule type="cellIs" dxfId="63" priority="92" operator="greaterThan">
      <formula>3</formula>
    </cfRule>
  </conditionalFormatting>
  <conditionalFormatting sqref="O84">
    <cfRule type="cellIs" dxfId="62" priority="91" operator="greaterThan">
      <formula>3</formula>
    </cfRule>
  </conditionalFormatting>
  <conditionalFormatting sqref="O166:O171">
    <cfRule type="cellIs" dxfId="61" priority="86" operator="greaterThan">
      <formula>3</formula>
    </cfRule>
  </conditionalFormatting>
  <conditionalFormatting sqref="O85">
    <cfRule type="cellIs" dxfId="60" priority="85" operator="greaterThan">
      <formula>3</formula>
    </cfRule>
  </conditionalFormatting>
  <conditionalFormatting sqref="O86">
    <cfRule type="cellIs" dxfId="59" priority="84" operator="greaterThan">
      <formula>3</formula>
    </cfRule>
  </conditionalFormatting>
  <conditionalFormatting sqref="O87">
    <cfRule type="cellIs" dxfId="58" priority="83" operator="greaterThan">
      <formula>3</formula>
    </cfRule>
  </conditionalFormatting>
  <conditionalFormatting sqref="O88">
    <cfRule type="cellIs" dxfId="57" priority="82" operator="greaterThan">
      <formula>3</formula>
    </cfRule>
  </conditionalFormatting>
  <conditionalFormatting sqref="O89">
    <cfRule type="cellIs" dxfId="56" priority="80" operator="greaterThan">
      <formula>3</formula>
    </cfRule>
  </conditionalFormatting>
  <conditionalFormatting sqref="O90">
    <cfRule type="cellIs" dxfId="55" priority="79" operator="greaterThan">
      <formula>3</formula>
    </cfRule>
  </conditionalFormatting>
  <conditionalFormatting sqref="O75">
    <cfRule type="cellIs" dxfId="54" priority="76" operator="greaterThan">
      <formula>3</formula>
    </cfRule>
  </conditionalFormatting>
  <conditionalFormatting sqref="O92">
    <cfRule type="cellIs" dxfId="53" priority="75" operator="greaterThan">
      <formula>3</formula>
    </cfRule>
  </conditionalFormatting>
  <conditionalFormatting sqref="O91">
    <cfRule type="cellIs" dxfId="52" priority="74" operator="greaterThan">
      <formula>3</formula>
    </cfRule>
  </conditionalFormatting>
  <conditionalFormatting sqref="O93">
    <cfRule type="cellIs" dxfId="51" priority="73" operator="greaterThan">
      <formula>3</formula>
    </cfRule>
  </conditionalFormatting>
  <conditionalFormatting sqref="O95">
    <cfRule type="cellIs" dxfId="50" priority="70" operator="greaterThan">
      <formula>3</formula>
    </cfRule>
  </conditionalFormatting>
  <conditionalFormatting sqref="O94">
    <cfRule type="cellIs" dxfId="49" priority="71" operator="greaterThan">
      <formula>3</formula>
    </cfRule>
  </conditionalFormatting>
  <conditionalFormatting sqref="O96">
    <cfRule type="cellIs" dxfId="48" priority="68" operator="greaterThan">
      <formula>3</formula>
    </cfRule>
  </conditionalFormatting>
  <conditionalFormatting sqref="O97">
    <cfRule type="cellIs" dxfId="47" priority="67" operator="greaterThan">
      <formula>3</formula>
    </cfRule>
  </conditionalFormatting>
  <conditionalFormatting sqref="O98">
    <cfRule type="cellIs" dxfId="46" priority="65" operator="greaterThan">
      <formula>3</formula>
    </cfRule>
  </conditionalFormatting>
  <conditionalFormatting sqref="O99">
    <cfRule type="cellIs" dxfId="45" priority="64" operator="greaterThan">
      <formula>3</formula>
    </cfRule>
  </conditionalFormatting>
  <conditionalFormatting sqref="O100">
    <cfRule type="cellIs" dxfId="44" priority="63" operator="greaterThan">
      <formula>3</formula>
    </cfRule>
  </conditionalFormatting>
  <conditionalFormatting sqref="O101">
    <cfRule type="cellIs" dxfId="43" priority="62" operator="greaterThan">
      <formula>3</formula>
    </cfRule>
  </conditionalFormatting>
  <conditionalFormatting sqref="O102">
    <cfRule type="cellIs" dxfId="42" priority="61" operator="greaterThan">
      <formula>3</formula>
    </cfRule>
  </conditionalFormatting>
  <conditionalFormatting sqref="O103">
    <cfRule type="cellIs" dxfId="41" priority="58" operator="greaterThan">
      <formula>3</formula>
    </cfRule>
  </conditionalFormatting>
  <conditionalFormatting sqref="O104">
    <cfRule type="cellIs" dxfId="40" priority="57" operator="greaterThan">
      <formula>3</formula>
    </cfRule>
  </conditionalFormatting>
  <conditionalFormatting sqref="O164:O165">
    <cfRule type="cellIs" dxfId="39" priority="56" operator="greaterThan">
      <formula>3</formula>
    </cfRule>
  </conditionalFormatting>
  <conditionalFormatting sqref="O106">
    <cfRule type="cellIs" dxfId="38" priority="52" operator="greaterThan">
      <formula>3</formula>
    </cfRule>
  </conditionalFormatting>
  <conditionalFormatting sqref="O107">
    <cfRule type="cellIs" dxfId="37" priority="50" operator="greaterThan">
      <formula>3</formula>
    </cfRule>
  </conditionalFormatting>
  <conditionalFormatting sqref="O108">
    <cfRule type="cellIs" dxfId="36" priority="45" operator="greaterThan">
      <formula>3</formula>
    </cfRule>
  </conditionalFormatting>
  <conditionalFormatting sqref="O109">
    <cfRule type="cellIs" dxfId="35" priority="44" operator="greaterThan">
      <formula>3</formula>
    </cfRule>
  </conditionalFormatting>
  <conditionalFormatting sqref="O110">
    <cfRule type="cellIs" dxfId="34" priority="43" operator="greaterThan">
      <formula>3</formula>
    </cfRule>
  </conditionalFormatting>
  <conditionalFormatting sqref="O113">
    <cfRule type="cellIs" dxfId="33" priority="39" operator="greaterThan">
      <formula>3</formula>
    </cfRule>
  </conditionalFormatting>
  <conditionalFormatting sqref="O111">
    <cfRule type="cellIs" dxfId="32" priority="41" operator="greaterThan">
      <formula>3</formula>
    </cfRule>
  </conditionalFormatting>
  <conditionalFormatting sqref="O112">
    <cfRule type="cellIs" dxfId="31" priority="40" operator="greaterThan">
      <formula>3</formula>
    </cfRule>
  </conditionalFormatting>
  <conditionalFormatting sqref="O114">
    <cfRule type="cellIs" dxfId="30" priority="38" operator="greaterThan">
      <formula>3</formula>
    </cfRule>
  </conditionalFormatting>
  <conditionalFormatting sqref="O115">
    <cfRule type="cellIs" dxfId="29" priority="37" operator="greaterThan">
      <formula>3</formula>
    </cfRule>
  </conditionalFormatting>
  <conditionalFormatting sqref="O116">
    <cfRule type="cellIs" dxfId="28" priority="36" operator="greaterThan">
      <formula>3</formula>
    </cfRule>
  </conditionalFormatting>
  <conditionalFormatting sqref="O117">
    <cfRule type="cellIs" dxfId="27" priority="35" operator="greaterThan">
      <formula>3</formula>
    </cfRule>
  </conditionalFormatting>
  <conditionalFormatting sqref="O118">
    <cfRule type="cellIs" dxfId="26" priority="34" operator="greaterThan">
      <formula>3</formula>
    </cfRule>
  </conditionalFormatting>
  <conditionalFormatting sqref="O119">
    <cfRule type="cellIs" dxfId="25" priority="33" operator="greaterThan">
      <formula>3</formula>
    </cfRule>
  </conditionalFormatting>
  <conditionalFormatting sqref="O120">
    <cfRule type="cellIs" dxfId="24" priority="31" operator="greaterThan">
      <formula>3</formula>
    </cfRule>
  </conditionalFormatting>
  <conditionalFormatting sqref="O73">
    <cfRule type="cellIs" dxfId="23" priority="29" operator="greaterThan">
      <formula>3</formula>
    </cfRule>
  </conditionalFormatting>
  <conditionalFormatting sqref="O80">
    <cfRule type="cellIs" dxfId="22" priority="28" operator="greaterThan">
      <formula>3</formula>
    </cfRule>
  </conditionalFormatting>
  <conditionalFormatting sqref="O83">
    <cfRule type="cellIs" dxfId="21" priority="27" operator="greaterThan">
      <formula>3</formula>
    </cfRule>
  </conditionalFormatting>
  <conditionalFormatting sqref="O122">
    <cfRule type="cellIs" dxfId="20" priority="26" operator="greaterThan">
      <formula>3</formula>
    </cfRule>
  </conditionalFormatting>
  <conditionalFormatting sqref="O123">
    <cfRule type="cellIs" dxfId="19" priority="25" operator="greaterThan">
      <formula>3</formula>
    </cfRule>
  </conditionalFormatting>
  <conditionalFormatting sqref="O121">
    <cfRule type="cellIs" dxfId="18" priority="24" operator="greaterThan">
      <formula>3</formula>
    </cfRule>
  </conditionalFormatting>
  <conditionalFormatting sqref="O130">
    <cfRule type="cellIs" dxfId="17" priority="18" operator="greaterThan">
      <formula>3</formula>
    </cfRule>
  </conditionalFormatting>
  <conditionalFormatting sqref="O127">
    <cfRule type="cellIs" dxfId="16" priority="22" operator="greaterThan">
      <formula>3</formula>
    </cfRule>
  </conditionalFormatting>
  <conditionalFormatting sqref="O128">
    <cfRule type="cellIs" dxfId="15" priority="21" operator="greaterThan">
      <formula>3</formula>
    </cfRule>
  </conditionalFormatting>
  <conditionalFormatting sqref="O129">
    <cfRule type="cellIs" dxfId="14" priority="20" operator="greaterThan">
      <formula>3</formula>
    </cfRule>
  </conditionalFormatting>
  <conditionalFormatting sqref="O131">
    <cfRule type="cellIs" dxfId="13" priority="17" operator="greaterThan">
      <formula>3</formula>
    </cfRule>
  </conditionalFormatting>
  <conditionalFormatting sqref="O159">
    <cfRule type="cellIs" dxfId="12" priority="15" operator="greaterThan">
      <formula>3</formula>
    </cfRule>
  </conditionalFormatting>
  <conditionalFormatting sqref="O132">
    <cfRule type="cellIs" dxfId="11" priority="13" operator="greaterThan">
      <formula>3</formula>
    </cfRule>
  </conditionalFormatting>
  <conditionalFormatting sqref="O134">
    <cfRule type="cellIs" dxfId="10" priority="10" operator="greaterThan">
      <formula>3</formula>
    </cfRule>
  </conditionalFormatting>
  <conditionalFormatting sqref="O133">
    <cfRule type="cellIs" dxfId="9" priority="11" operator="greaterThan">
      <formula>3</formula>
    </cfRule>
  </conditionalFormatting>
  <conditionalFormatting sqref="O125">
    <cfRule type="cellIs" dxfId="8" priority="9" operator="greaterThan">
      <formula>3</formula>
    </cfRule>
  </conditionalFormatting>
  <conditionalFormatting sqref="O135">
    <cfRule type="cellIs" dxfId="7" priority="8" operator="greaterThan">
      <formula>3</formula>
    </cfRule>
  </conditionalFormatting>
  <conditionalFormatting sqref="O154:O157 O152">
    <cfRule type="cellIs" dxfId="6" priority="7" operator="greaterThan">
      <formula>3</formula>
    </cfRule>
  </conditionalFormatting>
  <conditionalFormatting sqref="O153">
    <cfRule type="cellIs" dxfId="5" priority="6" operator="greaterThan">
      <formula>3</formula>
    </cfRule>
  </conditionalFormatting>
  <conditionalFormatting sqref="O145:O148 O143 O136">
    <cfRule type="cellIs" dxfId="4" priority="5" operator="greaterThan">
      <formula>3</formula>
    </cfRule>
  </conditionalFormatting>
  <conditionalFormatting sqref="O149:O150">
    <cfRule type="cellIs" dxfId="3" priority="4" operator="greaterThan">
      <formula>3</formula>
    </cfRule>
  </conditionalFormatting>
  <conditionalFormatting sqref="O144">
    <cfRule type="cellIs" dxfId="2" priority="3" operator="greaterThan">
      <formula>3</formula>
    </cfRule>
  </conditionalFormatting>
  <conditionalFormatting sqref="O139:O142 O137">
    <cfRule type="cellIs" dxfId="1" priority="2" operator="greaterThan">
      <formula>3</formula>
    </cfRule>
  </conditionalFormatting>
  <conditionalFormatting sqref="O138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topLeftCell="A7" workbookViewId="0">
      <selection activeCell="B31" sqref="B31"/>
    </sheetView>
  </sheetViews>
  <sheetFormatPr defaultRowHeight="14.25"/>
  <cols>
    <col min="1" max="1" width="9.25" bestFit="1" customWidth="1"/>
    <col min="2" max="2" width="17.25" bestFit="1" customWidth="1"/>
    <col min="3" max="3" width="9.5" bestFit="1" customWidth="1"/>
    <col min="4" max="4" width="7.5" bestFit="1" customWidth="1"/>
  </cols>
  <sheetData>
    <row r="1" spans="1:4">
      <c r="A1" s="15">
        <v>43658</v>
      </c>
      <c r="B1" t="s">
        <v>111</v>
      </c>
      <c r="C1">
        <v>100032</v>
      </c>
      <c r="D1">
        <v>2.71</v>
      </c>
    </row>
    <row r="2" spans="1:4">
      <c r="A2" s="15">
        <v>43658</v>
      </c>
      <c r="B2" t="s">
        <v>112</v>
      </c>
      <c r="C2">
        <v>510050</v>
      </c>
      <c r="D2">
        <v>2.948</v>
      </c>
    </row>
    <row r="3" spans="1:4">
      <c r="A3" s="15">
        <v>43658</v>
      </c>
      <c r="B3" t="s">
        <v>113</v>
      </c>
      <c r="C3">
        <v>510300</v>
      </c>
      <c r="D3">
        <v>3.8574999999999999</v>
      </c>
    </row>
    <row r="4" spans="1:4">
      <c r="A4" s="15">
        <v>43658</v>
      </c>
      <c r="B4" t="s">
        <v>7620</v>
      </c>
      <c r="C4">
        <v>100038</v>
      </c>
      <c r="D4">
        <v>1.9179999999999999</v>
      </c>
    </row>
    <row r="5" spans="1:4">
      <c r="A5" s="15">
        <v>43658</v>
      </c>
      <c r="B5" t="s">
        <v>18</v>
      </c>
      <c r="C5">
        <v>510500</v>
      </c>
      <c r="D5">
        <v>5.2413999999999996</v>
      </c>
    </row>
    <row r="6" spans="1:4">
      <c r="A6" s="15">
        <v>43658</v>
      </c>
      <c r="B6" t="s">
        <v>7621</v>
      </c>
      <c r="C6">
        <v>161017</v>
      </c>
      <c r="D6">
        <v>1.9</v>
      </c>
    </row>
    <row r="7" spans="1:4">
      <c r="A7" s="15">
        <v>43658</v>
      </c>
      <c r="B7" t="s">
        <v>19</v>
      </c>
      <c r="C7">
        <v>512100</v>
      </c>
      <c r="D7">
        <v>0.6351</v>
      </c>
    </row>
    <row r="8" spans="1:4">
      <c r="A8" s="15">
        <v>43658</v>
      </c>
      <c r="B8" t="s">
        <v>114</v>
      </c>
      <c r="C8">
        <v>159915</v>
      </c>
      <c r="D8">
        <v>1.4628000000000001</v>
      </c>
    </row>
    <row r="9" spans="1:4">
      <c r="A9" s="15">
        <v>43658</v>
      </c>
      <c r="B9" t="s">
        <v>7622</v>
      </c>
      <c r="C9">
        <v>110026</v>
      </c>
      <c r="D9">
        <v>1.5817000000000001</v>
      </c>
    </row>
    <row r="10" spans="1:4">
      <c r="A10" s="15">
        <v>43658</v>
      </c>
      <c r="B10" t="s">
        <v>115</v>
      </c>
      <c r="C10">
        <v>159938</v>
      </c>
      <c r="D10">
        <v>1.2455000000000001</v>
      </c>
    </row>
    <row r="11" spans="1:4">
      <c r="A11" s="15">
        <v>43658</v>
      </c>
      <c r="B11" t="s">
        <v>116</v>
      </c>
      <c r="C11">
        <v>1180</v>
      </c>
      <c r="D11">
        <v>0.77839999999999998</v>
      </c>
    </row>
    <row r="12" spans="1:4">
      <c r="A12" s="15">
        <v>43658</v>
      </c>
      <c r="B12" t="s">
        <v>117</v>
      </c>
      <c r="C12">
        <v>968</v>
      </c>
      <c r="D12">
        <v>0.9234</v>
      </c>
    </row>
    <row r="13" spans="1:4">
      <c r="A13" s="15">
        <v>43658</v>
      </c>
      <c r="B13" t="s">
        <v>22</v>
      </c>
      <c r="C13">
        <v>512880</v>
      </c>
      <c r="D13">
        <v>0.96789999999999998</v>
      </c>
    </row>
    <row r="14" spans="1:4">
      <c r="A14" s="15">
        <v>43658</v>
      </c>
      <c r="B14" t="s">
        <v>20</v>
      </c>
      <c r="C14">
        <v>512580</v>
      </c>
      <c r="D14">
        <v>0.72760000000000002</v>
      </c>
    </row>
    <row r="15" spans="1:4">
      <c r="A15" s="15">
        <v>43658</v>
      </c>
      <c r="B15" t="s">
        <v>118</v>
      </c>
      <c r="C15">
        <v>1064</v>
      </c>
      <c r="D15">
        <v>0.54669999999999996</v>
      </c>
    </row>
    <row r="16" spans="1:4">
      <c r="A16" s="15">
        <v>43658</v>
      </c>
      <c r="B16" t="s">
        <v>23</v>
      </c>
      <c r="C16">
        <v>512980</v>
      </c>
      <c r="D16">
        <v>0.70379999999999998</v>
      </c>
    </row>
    <row r="17" spans="1:4">
      <c r="A17" s="15">
        <v>43658</v>
      </c>
      <c r="B17" t="s">
        <v>7623</v>
      </c>
      <c r="C17">
        <v>4752</v>
      </c>
      <c r="D17">
        <v>0.7097</v>
      </c>
    </row>
    <row r="18" spans="1:4">
      <c r="A18" s="15">
        <v>43658</v>
      </c>
      <c r="B18" t="s">
        <v>7288</v>
      </c>
      <c r="C18">
        <v>110022</v>
      </c>
      <c r="D18">
        <v>2.87</v>
      </c>
    </row>
    <row r="19" spans="1:4">
      <c r="A19" s="15">
        <v>43658</v>
      </c>
      <c r="B19" t="s">
        <v>119</v>
      </c>
      <c r="C19">
        <v>1469</v>
      </c>
      <c r="D19">
        <v>1.0775999999999999</v>
      </c>
    </row>
    <row r="20" spans="1:4">
      <c r="A20" s="15">
        <v>43657</v>
      </c>
      <c r="B20" t="s">
        <v>120</v>
      </c>
      <c r="C20">
        <v>614</v>
      </c>
      <c r="D20">
        <v>1.131</v>
      </c>
    </row>
    <row r="21" spans="1:4">
      <c r="A21" s="15">
        <v>43658</v>
      </c>
      <c r="B21" t="s">
        <v>121</v>
      </c>
      <c r="C21">
        <v>71</v>
      </c>
      <c r="D21">
        <v>1.5567</v>
      </c>
    </row>
    <row r="22" spans="1:4">
      <c r="A22" s="15">
        <v>43657</v>
      </c>
      <c r="B22" t="s">
        <v>7297</v>
      </c>
      <c r="C22">
        <v>164906</v>
      </c>
      <c r="D22">
        <v>1.175</v>
      </c>
    </row>
    <row r="23" spans="1:4">
      <c r="A23" s="15">
        <v>43658</v>
      </c>
      <c r="B23" t="s">
        <v>122</v>
      </c>
      <c r="C23">
        <v>3376</v>
      </c>
      <c r="D23">
        <v>1.0696000000000001</v>
      </c>
    </row>
    <row r="24" spans="1:4">
      <c r="A24" s="15">
        <v>43657</v>
      </c>
      <c r="B24" t="s">
        <v>123</v>
      </c>
      <c r="C24">
        <v>1061</v>
      </c>
      <c r="D24">
        <v>1.5049999999999999</v>
      </c>
    </row>
    <row r="25" spans="1:4">
      <c r="A25" s="15">
        <v>43658</v>
      </c>
      <c r="B25" t="s">
        <v>7624</v>
      </c>
      <c r="C25">
        <v>340001</v>
      </c>
      <c r="D25">
        <v>3.7338</v>
      </c>
    </row>
    <row r="26" spans="1:4">
      <c r="A26" s="15">
        <v>43658</v>
      </c>
      <c r="B26" t="s">
        <v>7625</v>
      </c>
      <c r="C26">
        <v>519977</v>
      </c>
      <c r="D26">
        <v>2.2635999999999998</v>
      </c>
    </row>
    <row r="27" spans="1:4">
      <c r="A27" s="15">
        <v>43658</v>
      </c>
      <c r="B27" t="s">
        <v>7626</v>
      </c>
      <c r="C27">
        <v>110027</v>
      </c>
      <c r="D27">
        <v>2.5489999999999999</v>
      </c>
    </row>
    <row r="28" spans="1:4">
      <c r="A28" s="15">
        <v>43657</v>
      </c>
      <c r="B28" t="s">
        <v>7627</v>
      </c>
      <c r="C28">
        <v>162411</v>
      </c>
      <c r="D28">
        <v>0.45800000000000002</v>
      </c>
    </row>
    <row r="29" spans="1:4">
      <c r="A29" s="15">
        <v>43658</v>
      </c>
      <c r="B29" t="s">
        <v>21</v>
      </c>
      <c r="C29">
        <v>518880</v>
      </c>
      <c r="D29">
        <v>1.1760999999999999</v>
      </c>
    </row>
    <row r="31" spans="1:4">
      <c r="A31" t="s">
        <v>7628</v>
      </c>
      <c r="B31">
        <v>10.57</v>
      </c>
      <c r="C31">
        <v>1.07</v>
      </c>
      <c r="D31">
        <v>0.13189999999999999</v>
      </c>
    </row>
    <row r="32" spans="1:4">
      <c r="A32" t="s">
        <v>7629</v>
      </c>
      <c r="B32">
        <v>10.58</v>
      </c>
      <c r="C32">
        <v>1.23</v>
      </c>
      <c r="D32">
        <v>0.1235</v>
      </c>
    </row>
    <row r="33" spans="1:4">
      <c r="A33" t="s">
        <v>7630</v>
      </c>
      <c r="B33">
        <v>13.25</v>
      </c>
      <c r="C33">
        <v>1.48</v>
      </c>
      <c r="D33">
        <v>0.1202</v>
      </c>
    </row>
    <row r="34" spans="1:4">
      <c r="A34" t="s">
        <v>7630</v>
      </c>
      <c r="B34">
        <v>13.25</v>
      </c>
      <c r="C34">
        <v>1.48</v>
      </c>
      <c r="D34">
        <v>0.1202</v>
      </c>
    </row>
    <row r="35" spans="1:4">
      <c r="A35" t="s">
        <v>7631</v>
      </c>
      <c r="B35">
        <v>23.48</v>
      </c>
      <c r="C35">
        <v>1.79</v>
      </c>
      <c r="D35">
        <v>7.8100000000000003E-2</v>
      </c>
    </row>
    <row r="36" spans="1:4">
      <c r="A36" t="s">
        <v>7631</v>
      </c>
      <c r="B36">
        <v>23.48</v>
      </c>
      <c r="C36">
        <v>1.79</v>
      </c>
      <c r="D36">
        <v>7.8100000000000003E-2</v>
      </c>
    </row>
    <row r="37" spans="1:4">
      <c r="A37" t="s">
        <v>7632</v>
      </c>
      <c r="B37">
        <v>33.85</v>
      </c>
      <c r="C37">
        <v>2.15</v>
      </c>
      <c r="D37">
        <v>5.8500000000000003E-2</v>
      </c>
    </row>
    <row r="38" spans="1:4">
      <c r="A38" t="s">
        <v>7633</v>
      </c>
      <c r="B38">
        <v>52</v>
      </c>
      <c r="C38">
        <v>4.45</v>
      </c>
      <c r="D38">
        <v>9.1399999999999995E-2</v>
      </c>
    </row>
    <row r="39" spans="1:4">
      <c r="A39" t="s">
        <v>7633</v>
      </c>
      <c r="B39">
        <v>52</v>
      </c>
      <c r="C39">
        <v>4.45</v>
      </c>
      <c r="D39">
        <v>9.1399999999999995E-2</v>
      </c>
    </row>
    <row r="40" spans="1:4">
      <c r="A40" t="s">
        <v>7634</v>
      </c>
      <c r="B40">
        <v>29.48</v>
      </c>
      <c r="C40">
        <v>3.52</v>
      </c>
      <c r="D40">
        <v>0.1021</v>
      </c>
    </row>
    <row r="41" spans="1:4">
      <c r="A41" t="s">
        <v>7634</v>
      </c>
      <c r="B41">
        <v>29.48</v>
      </c>
      <c r="C41">
        <v>3.52</v>
      </c>
      <c r="D41">
        <v>0.1021</v>
      </c>
    </row>
    <row r="42" spans="1:4">
      <c r="A42" t="s">
        <v>7635</v>
      </c>
      <c r="B42">
        <v>23.52</v>
      </c>
      <c r="C42">
        <v>3.13</v>
      </c>
      <c r="D42">
        <v>0.13650000000000001</v>
      </c>
    </row>
    <row r="43" spans="1:4">
      <c r="A43" t="s">
        <v>7636</v>
      </c>
      <c r="B43">
        <v>32.03</v>
      </c>
      <c r="C43">
        <v>1.68</v>
      </c>
      <c r="D43">
        <v>5.2400000000000002E-2</v>
      </c>
    </row>
    <row r="44" spans="1:4">
      <c r="A44" t="s">
        <v>7637</v>
      </c>
      <c r="B44">
        <v>26.92</v>
      </c>
      <c r="C44">
        <v>2.16</v>
      </c>
      <c r="D44">
        <v>0.1007</v>
      </c>
    </row>
    <row r="45" spans="1:4">
      <c r="A45" t="s">
        <v>7637</v>
      </c>
      <c r="B45">
        <v>26.92</v>
      </c>
      <c r="C45">
        <v>2.16</v>
      </c>
      <c r="D45">
        <v>0.1007</v>
      </c>
    </row>
    <row r="46" spans="1:4">
      <c r="A46" t="s">
        <v>7638</v>
      </c>
      <c r="B46">
        <v>31.59</v>
      </c>
      <c r="C46">
        <v>2.4900000000000002</v>
      </c>
      <c r="D46">
        <v>7.8700000000000006E-2</v>
      </c>
    </row>
    <row r="47" spans="1:4">
      <c r="A47" t="s">
        <v>7638</v>
      </c>
      <c r="B47">
        <v>31.59</v>
      </c>
      <c r="C47">
        <v>2.4900000000000002</v>
      </c>
      <c r="D47">
        <v>7.8700000000000006E-2</v>
      </c>
    </row>
    <row r="48" spans="1:4">
      <c r="A48" t="s">
        <v>7639</v>
      </c>
      <c r="B48">
        <v>35.69</v>
      </c>
      <c r="C48">
        <v>6.84</v>
      </c>
      <c r="D48">
        <v>0.1956</v>
      </c>
    </row>
    <row r="50" spans="1:3">
      <c r="A50" t="s">
        <v>7629</v>
      </c>
      <c r="B50">
        <v>16</v>
      </c>
      <c r="C50">
        <v>2902.13</v>
      </c>
    </row>
    <row r="51" spans="1:3">
      <c r="A51" t="s">
        <v>7630</v>
      </c>
      <c r="B51">
        <v>300</v>
      </c>
      <c r="C51">
        <v>3808.73</v>
      </c>
    </row>
    <row r="52" spans="1:3">
      <c r="A52" t="s">
        <v>7631</v>
      </c>
      <c r="B52">
        <v>905</v>
      </c>
      <c r="C52">
        <v>4861.57</v>
      </c>
    </row>
    <row r="53" spans="1:3">
      <c r="A53" t="s">
        <v>7632</v>
      </c>
      <c r="B53">
        <v>852</v>
      </c>
      <c r="C53">
        <v>5219.1899999999996</v>
      </c>
    </row>
    <row r="54" spans="1:3">
      <c r="A54" t="s">
        <v>114</v>
      </c>
      <c r="B54">
        <v>399006</v>
      </c>
      <c r="C54">
        <v>1518.07</v>
      </c>
    </row>
    <row r="55" spans="1:3">
      <c r="A55" t="s">
        <v>7628</v>
      </c>
      <c r="B55">
        <v>922</v>
      </c>
      <c r="C55">
        <v>4374.95</v>
      </c>
    </row>
    <row r="56" spans="1:3">
      <c r="A56" t="s">
        <v>7635</v>
      </c>
      <c r="B56">
        <v>399812</v>
      </c>
      <c r="C56">
        <v>6946.33</v>
      </c>
    </row>
    <row r="57" spans="1:3">
      <c r="A57" t="s">
        <v>7634</v>
      </c>
      <c r="B57">
        <v>991</v>
      </c>
      <c r="C57">
        <v>9029.14</v>
      </c>
    </row>
    <row r="58" spans="1:3">
      <c r="A58" t="s">
        <v>7638</v>
      </c>
      <c r="B58">
        <v>399971</v>
      </c>
      <c r="C58">
        <v>1175.1400000000001</v>
      </c>
    </row>
    <row r="59" spans="1:3">
      <c r="A59" t="s">
        <v>7637</v>
      </c>
      <c r="B59">
        <v>827</v>
      </c>
      <c r="C59">
        <v>1181.3900000000001</v>
      </c>
    </row>
    <row r="60" spans="1:3">
      <c r="A60" t="s">
        <v>7640</v>
      </c>
      <c r="B60">
        <v>990</v>
      </c>
      <c r="C60">
        <v>13924.2</v>
      </c>
    </row>
    <row r="61" spans="1:3">
      <c r="A61" t="s">
        <v>7641</v>
      </c>
      <c r="B61">
        <v>992</v>
      </c>
      <c r="C61">
        <v>5970.79</v>
      </c>
    </row>
    <row r="62" spans="1:3">
      <c r="A62" t="s">
        <v>7636</v>
      </c>
      <c r="B62">
        <v>399975</v>
      </c>
      <c r="C62">
        <v>738.12</v>
      </c>
    </row>
    <row r="63" spans="1:3">
      <c r="A63" t="s">
        <v>7642</v>
      </c>
      <c r="B63" t="s">
        <v>7643</v>
      </c>
      <c r="C63">
        <v>28471.62</v>
      </c>
    </row>
    <row r="64" spans="1:3">
      <c r="A64" t="s">
        <v>120</v>
      </c>
      <c r="B64" t="s">
        <v>7644</v>
      </c>
      <c r="C64">
        <v>12323.32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zoomScaleNormal="100" workbookViewId="0">
      <pane ySplit="1" topLeftCell="A35" activePane="bottomLeft" state="frozen"/>
      <selection pane="bottomLeft" activeCell="B38" sqref="B38:B57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9.8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55" t="str">
        <f>"A股"&amp;" , "&amp;TEXT(SUM(E2:E19),"0.00%")</f>
        <v>A股 , 47.76%</v>
      </c>
      <c r="B2" s="155" t="str">
        <f>"大盘股"&amp;" , "&amp;TEXT(SUM(E2:E4),"0.00%")</f>
        <v>大盘股 , 5.23%</v>
      </c>
      <c r="C2" s="117" t="str">
        <f>"上证50"&amp;" , "&amp;TEXT(SUM(E2:E2),"0.00%")</f>
        <v>上证50 , 0.63%</v>
      </c>
      <c r="D2" s="117" t="s">
        <v>7541</v>
      </c>
      <c r="E2" s="118">
        <f t="shared" ref="E2:E32" si="0">F2/$F$33</f>
        <v>6.3016200852135489E-3</v>
      </c>
      <c r="F2" s="35">
        <f t="shared" ref="F2:F24" si="1">SUM(G2:H2)</f>
        <v>7946.1</v>
      </c>
      <c r="G2" s="140">
        <v>7946.1</v>
      </c>
      <c r="H2" s="35"/>
      <c r="I2" s="139">
        <v>510050</v>
      </c>
      <c r="K2" s="115">
        <f>K4+K6+K8+K10</f>
        <v>1232059.47</v>
      </c>
      <c r="M2" s="125"/>
      <c r="N2" s="139"/>
      <c r="O2"/>
    </row>
    <row r="3" spans="1:15">
      <c r="A3" s="155"/>
      <c r="B3" s="156"/>
      <c r="C3" s="155" t="str">
        <f>"沪深300"&amp;" , "&amp;TEXT(SUM(E3:E4),"0.00%")</f>
        <v>沪深300 , 4.60%</v>
      </c>
      <c r="D3" s="117" t="s">
        <v>7542</v>
      </c>
      <c r="E3" s="118">
        <f t="shared" si="0"/>
        <v>2.7820438126796028E-2</v>
      </c>
      <c r="F3" s="35">
        <f t="shared" si="1"/>
        <v>35080.5</v>
      </c>
      <c r="G3" s="140">
        <v>35080.5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55"/>
      <c r="B4" s="156"/>
      <c r="C4" s="156"/>
      <c r="D4" s="117" t="s">
        <v>7543</v>
      </c>
      <c r="E4" s="118">
        <f t="shared" si="0"/>
        <v>1.8194695801366491E-2</v>
      </c>
      <c r="F4" s="35">
        <f t="shared" si="1"/>
        <v>22942.81</v>
      </c>
      <c r="G4" s="151">
        <v>22942.81</v>
      </c>
      <c r="I4" s="139">
        <v>100038</v>
      </c>
      <c r="K4" s="115">
        <v>800000</v>
      </c>
      <c r="M4" s="115"/>
      <c r="N4" s="139"/>
      <c r="O4"/>
    </row>
    <row r="5" spans="1:15">
      <c r="A5" s="155"/>
      <c r="B5" s="155" t="str">
        <f>"中小盘股"&amp;" , "&amp;TEXT(SUM(E5:E9),"0.00%")</f>
        <v>中小盘股 , 18.70%</v>
      </c>
      <c r="C5" s="155" t="str">
        <f>"中证500"&amp;" , "&amp;TEXT(SUM(E5:E6),"0.00%")</f>
        <v>中证500 , 13.77%</v>
      </c>
      <c r="D5" s="117" t="s">
        <v>7545</v>
      </c>
      <c r="E5" s="118">
        <f t="shared" si="0"/>
        <v>0.1259855327060157</v>
      </c>
      <c r="F5" s="35">
        <f t="shared" si="1"/>
        <v>158862.9</v>
      </c>
      <c r="G5" s="140">
        <v>158862.9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55"/>
      <c r="B6" s="155"/>
      <c r="C6" s="155"/>
      <c r="D6" s="117" t="s">
        <v>7544</v>
      </c>
      <c r="E6" s="118">
        <f t="shared" si="0"/>
        <v>1.1673164155811424E-2</v>
      </c>
      <c r="F6" s="35">
        <f t="shared" si="1"/>
        <v>14719.41</v>
      </c>
      <c r="G6" s="141">
        <v>14719.41</v>
      </c>
      <c r="H6" s="35"/>
      <c r="I6" s="139">
        <v>161017</v>
      </c>
      <c r="K6" s="115">
        <v>100000</v>
      </c>
      <c r="N6" s="139"/>
      <c r="O6"/>
    </row>
    <row r="7" spans="1:15">
      <c r="A7" s="155"/>
      <c r="B7" s="155"/>
      <c r="C7" s="117" t="str">
        <f>"中证1000"&amp;" , "&amp;TEXT(SUM(E7:E7),"0.00%")</f>
        <v>中证1000 , 3.26%</v>
      </c>
      <c r="D7" s="117" t="s">
        <v>7546</v>
      </c>
      <c r="E7" s="118">
        <f t="shared" si="0"/>
        <v>3.2632242643103798E-2</v>
      </c>
      <c r="F7" s="35">
        <f t="shared" si="1"/>
        <v>41148</v>
      </c>
      <c r="G7" s="140">
        <v>41148</v>
      </c>
      <c r="H7" s="35"/>
      <c r="I7" s="139">
        <v>512100</v>
      </c>
      <c r="K7" s="115" t="s">
        <v>7435</v>
      </c>
      <c r="N7" s="139"/>
      <c r="O7"/>
    </row>
    <row r="8" spans="1:15">
      <c r="A8" s="155"/>
      <c r="B8" s="155"/>
      <c r="C8" s="155" t="str">
        <f>"创业板"&amp;" , "&amp;TEXT(SUM(E8:E9),"0.00%")</f>
        <v>创业板 , 1.67%</v>
      </c>
      <c r="D8" s="117" t="s">
        <v>7547</v>
      </c>
      <c r="E8" s="118">
        <f t="shared" si="0"/>
        <v>1.0688669348297682E-2</v>
      </c>
      <c r="F8" s="35">
        <f t="shared" si="1"/>
        <v>13478</v>
      </c>
      <c r="G8" s="140">
        <v>13478</v>
      </c>
      <c r="H8" s="35"/>
      <c r="I8" s="139">
        <v>159915</v>
      </c>
      <c r="K8" s="115">
        <f>14225.63+2596.09</f>
        <v>16821.72</v>
      </c>
      <c r="N8" s="139"/>
      <c r="O8"/>
    </row>
    <row r="9" spans="1:15">
      <c r="A9" s="155"/>
      <c r="B9" s="155"/>
      <c r="C9" s="155"/>
      <c r="D9" s="117" t="s">
        <v>7453</v>
      </c>
      <c r="E9" s="118">
        <f t="shared" si="0"/>
        <v>6.0098030752645136E-3</v>
      </c>
      <c r="F9" s="35">
        <f t="shared" si="1"/>
        <v>7578.13</v>
      </c>
      <c r="G9" s="141">
        <v>7578.13</v>
      </c>
      <c r="H9" s="35"/>
      <c r="I9" s="139">
        <v>110026</v>
      </c>
      <c r="K9" s="115" t="s">
        <v>7438</v>
      </c>
      <c r="N9" s="139"/>
      <c r="O9"/>
    </row>
    <row r="10" spans="1:15">
      <c r="A10" s="155"/>
      <c r="B10" s="117" t="str">
        <f>"红利价值"&amp;" , "&amp;TEXT(SUM(E10:E10),"0.00%")</f>
        <v>红利价值 , 5.74%</v>
      </c>
      <c r="C10" s="117" t="str">
        <f>"中证红利"&amp;" , "&amp;TEXT(SUM(E10:E10),"0.00%")</f>
        <v>中证红利 , 5.74%</v>
      </c>
      <c r="D10" s="117" t="s">
        <v>7454</v>
      </c>
      <c r="E10" s="118">
        <f t="shared" si="0"/>
        <v>5.7429662104261793E-2</v>
      </c>
      <c r="F10" s="35">
        <f t="shared" si="1"/>
        <v>72416.59</v>
      </c>
      <c r="G10" s="141">
        <v>72416.59</v>
      </c>
      <c r="H10" s="35"/>
      <c r="I10" s="139">
        <v>100032</v>
      </c>
      <c r="K10" s="115">
        <v>315237.75</v>
      </c>
      <c r="N10" s="139"/>
      <c r="O10"/>
    </row>
    <row r="11" spans="1:15">
      <c r="A11" s="155"/>
      <c r="B11" s="155" t="str">
        <f>"行业股"&amp;" , "&amp;TEXT(SUM(E11:E19),"0.00%")</f>
        <v>行业股 , 18.08%</v>
      </c>
      <c r="C11" s="117" t="str">
        <f>"养老产业"&amp;" , "&amp;TEXT(SUM(E11:E11),"0.00%")</f>
        <v>养老产业 , 4.65%</v>
      </c>
      <c r="D11" s="117" t="s">
        <v>7456</v>
      </c>
      <c r="E11" s="118">
        <f t="shared" si="0"/>
        <v>4.649361802456372E-2</v>
      </c>
      <c r="F11" s="35">
        <f t="shared" si="1"/>
        <v>58626.66</v>
      </c>
      <c r="G11" s="141">
        <v>58626.66</v>
      </c>
      <c r="H11" s="35"/>
      <c r="I11" s="139">
        <v>968</v>
      </c>
      <c r="N11" s="139"/>
      <c r="O11"/>
    </row>
    <row r="12" spans="1:15">
      <c r="A12" s="155"/>
      <c r="B12" s="155"/>
      <c r="C12" s="155" t="str">
        <f>"全指医药"&amp;" , "&amp;TEXT(SUM(E12:E13),"0.00%")</f>
        <v>全指医药 , 3.95%</v>
      </c>
      <c r="D12" s="117" t="s">
        <v>7548</v>
      </c>
      <c r="E12" s="118">
        <f t="shared" si="0"/>
        <v>1.421772251641793E-2</v>
      </c>
      <c r="F12" s="35">
        <f t="shared" si="1"/>
        <v>17928</v>
      </c>
      <c r="G12" s="140">
        <v>17928</v>
      </c>
      <c r="H12" s="35"/>
      <c r="I12" s="139">
        <v>159938</v>
      </c>
      <c r="N12" s="139"/>
      <c r="O12"/>
    </row>
    <row r="13" spans="1:15">
      <c r="A13" s="155"/>
      <c r="B13" s="155"/>
      <c r="C13" s="155"/>
      <c r="D13" s="117" t="s">
        <v>7457</v>
      </c>
      <c r="E13" s="118">
        <f t="shared" si="0"/>
        <v>2.5318759744796322E-2</v>
      </c>
      <c r="F13" s="35">
        <f t="shared" si="1"/>
        <v>31925.98</v>
      </c>
      <c r="G13" s="151">
        <v>31925.98</v>
      </c>
      <c r="I13" s="139">
        <v>1180</v>
      </c>
      <c r="N13" s="139"/>
      <c r="O13"/>
    </row>
    <row r="14" spans="1:15">
      <c r="A14" s="155"/>
      <c r="B14" s="155"/>
      <c r="C14" s="117" t="str">
        <f>"中证传媒"&amp;" , "&amp;TEXT(SUM(E14:E14),"0.00%")</f>
        <v>中证传媒 , 1.90%</v>
      </c>
      <c r="D14" s="117" t="s">
        <v>49</v>
      </c>
      <c r="E14" s="118">
        <f t="shared" si="0"/>
        <v>1.9038171230373459E-2</v>
      </c>
      <c r="F14" s="35">
        <f t="shared" si="1"/>
        <v>24006.400000000001</v>
      </c>
      <c r="G14" s="140">
        <v>24006.400000000001</v>
      </c>
      <c r="H14" s="35"/>
      <c r="I14" s="139">
        <v>512980</v>
      </c>
      <c r="N14" s="139"/>
      <c r="O14"/>
    </row>
    <row r="15" spans="1:15">
      <c r="A15" s="155"/>
      <c r="B15" s="155"/>
      <c r="C15" s="155" t="str">
        <f>"中证环保"&amp;" , "&amp;TEXT(SUM(E15:E16),"0.00%")</f>
        <v>中证环保 , 3.26%</v>
      </c>
      <c r="D15" s="117" t="s">
        <v>7461</v>
      </c>
      <c r="E15" s="118">
        <f t="shared" si="0"/>
        <v>1.9513998623827876E-2</v>
      </c>
      <c r="F15" s="35">
        <f t="shared" si="1"/>
        <v>24606.400000000001</v>
      </c>
      <c r="G15" s="140">
        <v>24606.400000000001</v>
      </c>
      <c r="I15" s="139">
        <v>512580</v>
      </c>
      <c r="K15" s="121"/>
      <c r="N15" s="139"/>
      <c r="O15"/>
    </row>
    <row r="16" spans="1:15">
      <c r="A16" s="155"/>
      <c r="B16" s="155"/>
      <c r="C16" s="155"/>
      <c r="D16" s="117" t="s">
        <v>7549</v>
      </c>
      <c r="E16" s="118">
        <f t="shared" si="0"/>
        <v>1.3065617509559866E-2</v>
      </c>
      <c r="F16" s="35">
        <f t="shared" si="1"/>
        <v>16475.239999999998</v>
      </c>
      <c r="G16" s="151">
        <v>7327.92</v>
      </c>
      <c r="H16" s="35">
        <f>交易明细!T5</f>
        <v>9147.32</v>
      </c>
      <c r="I16" s="139">
        <v>1064</v>
      </c>
      <c r="N16" s="139"/>
      <c r="O16"/>
    </row>
    <row r="17" spans="1:15">
      <c r="A17" s="155"/>
      <c r="B17" s="155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>
      <c r="A18" s="155"/>
      <c r="B18" s="155"/>
      <c r="C18" s="117" t="str">
        <f>"金融地产"&amp;" , "&amp;TEXT(SUM(E18:E18),"0.00%")</f>
        <v>金融地产 , 1.81%</v>
      </c>
      <c r="D18" s="117" t="s">
        <v>7551</v>
      </c>
      <c r="E18" s="118">
        <f t="shared" si="0"/>
        <v>1.8086397486616265E-2</v>
      </c>
      <c r="F18" s="35">
        <f t="shared" si="1"/>
        <v>22806.25</v>
      </c>
      <c r="G18" s="141">
        <v>22806.25</v>
      </c>
      <c r="H18" s="35"/>
      <c r="I18" s="139">
        <v>1469</v>
      </c>
      <c r="N18" s="139"/>
      <c r="O18"/>
    </row>
    <row r="19" spans="1:15">
      <c r="A19" s="155"/>
      <c r="B19" s="155"/>
      <c r="C19" s="117" t="str">
        <f>"证券公司"&amp;" , "&amp;TEXT(SUM(E19:E19),"0.00%")</f>
        <v>证券公司 , 2.51%</v>
      </c>
      <c r="D19" s="117" t="s">
        <v>7552</v>
      </c>
      <c r="E19" s="118">
        <f t="shared" si="0"/>
        <v>2.5102749969081132E-2</v>
      </c>
      <c r="F19" s="35">
        <f t="shared" si="1"/>
        <v>31653.599999999999</v>
      </c>
      <c r="G19" s="140">
        <v>31653.599999999999</v>
      </c>
      <c r="H19" s="35"/>
      <c r="I19" s="139">
        <v>512880</v>
      </c>
      <c r="N19" s="139"/>
      <c r="O19"/>
    </row>
    <row r="20" spans="1:15">
      <c r="A20" s="155" t="str">
        <f>"海外新兴"&amp;" , "&amp;TEXT(SUM(E20:E21),"0.00%")</f>
        <v>海外新兴 , 2.11%</v>
      </c>
      <c r="B20" s="117" t="str">
        <f>"香港"&amp;" , "&amp;TEXT(SUM(E20:E20),"0.00%")</f>
        <v>香港 , 0.54%</v>
      </c>
      <c r="C20" s="117" t="str">
        <f>"恒生"&amp;" , "&amp;TEXT(SUM(E20:E20),"0.00%")</f>
        <v>恒生 , 0.54%</v>
      </c>
      <c r="D20" s="117" t="s">
        <v>7553</v>
      </c>
      <c r="E20" s="118">
        <f t="shared" si="0"/>
        <v>5.4416968893061723E-3</v>
      </c>
      <c r="F20" s="35">
        <f t="shared" si="1"/>
        <v>6861.77</v>
      </c>
      <c r="G20" s="141">
        <v>6861.77</v>
      </c>
      <c r="H20" s="35"/>
      <c r="I20" s="139">
        <v>71</v>
      </c>
      <c r="N20" s="139"/>
      <c r="O20"/>
    </row>
    <row r="21" spans="1:15">
      <c r="A21" s="155"/>
      <c r="B21" s="117" t="str">
        <f>"海外互联"&amp;" , "&amp;TEXT(SUM(E21:E21),"0.00%")</f>
        <v>海外互联 , 1.56%</v>
      </c>
      <c r="C21" s="117" t="str">
        <f>"海外互联网"&amp;" , "&amp;TEXT(SUM(E21:E21),"0.00%")</f>
        <v>海外互联网 , 1.56%</v>
      </c>
      <c r="D21" s="117" t="s">
        <v>7470</v>
      </c>
      <c r="E21" s="118">
        <f t="shared" si="0"/>
        <v>1.5634657189559604E-2</v>
      </c>
      <c r="F21" s="35">
        <f t="shared" si="1"/>
        <v>19714.7</v>
      </c>
      <c r="G21" s="141">
        <v>19714.7</v>
      </c>
      <c r="H21" s="35"/>
      <c r="I21" s="139">
        <v>164906</v>
      </c>
      <c r="N21" s="139"/>
      <c r="O21"/>
    </row>
    <row r="22" spans="1:15">
      <c r="A22" s="117" t="str">
        <f>"海外成熟"&amp;" , "&amp;TEXT(SUM(E22:E22),"0.00%")</f>
        <v>海外成熟 , 1.86%</v>
      </c>
      <c r="B22" s="117" t="str">
        <f>"海外成熟"&amp;" , "&amp;TEXT(SUM(E22:E22),"0.00%")</f>
        <v>海外成熟 , 1.86%</v>
      </c>
      <c r="C22" s="117" t="str">
        <f>"德国30"&amp;" , "&amp;TEXT(SUM(E22:E22),"0.00%")</f>
        <v>德国30 , 1.86%</v>
      </c>
      <c r="D22" s="117" t="s">
        <v>7554</v>
      </c>
      <c r="E22" s="118">
        <f t="shared" si="0"/>
        <v>1.859788814321009E-2</v>
      </c>
      <c r="F22" s="35">
        <f t="shared" si="1"/>
        <v>23451.22</v>
      </c>
      <c r="G22" s="141">
        <v>23451.22</v>
      </c>
      <c r="H22" s="35"/>
      <c r="I22" s="139">
        <v>614</v>
      </c>
      <c r="N22" s="139"/>
      <c r="O22"/>
    </row>
    <row r="23" spans="1:15">
      <c r="A23" s="155" t="str">
        <f>"商品"&amp;" , "&amp;TEXT(SUM(E23:E25),"0.00%")</f>
        <v>商品 , 3.80%</v>
      </c>
      <c r="B23" s="117" t="str">
        <f>"原油"&amp;" , "&amp;TEXT(SUM(E23:E23),"0.00%")</f>
        <v>原油 , 1.35%</v>
      </c>
      <c r="C23" s="117" t="str">
        <f>"原油"&amp;" , "&amp;TEXT(SUM(E23:E23),"0.00%")</f>
        <v>原油 , 1.35%</v>
      </c>
      <c r="D23" s="117" t="s">
        <v>7555</v>
      </c>
      <c r="E23" s="118">
        <f t="shared" si="0"/>
        <v>1.3536091844837924E-2</v>
      </c>
      <c r="F23" s="35">
        <f t="shared" si="1"/>
        <v>17068.490000000002</v>
      </c>
      <c r="G23" s="141">
        <v>17068.490000000002</v>
      </c>
      <c r="H23" s="35"/>
      <c r="I23" s="139">
        <v>162411</v>
      </c>
      <c r="N23" s="139"/>
      <c r="O23"/>
    </row>
    <row r="24" spans="1:15">
      <c r="A24" s="155"/>
      <c r="B24" s="117" t="str">
        <f>"黄金"&amp;" , "&amp;TEXT(SUM(E24:E24),"0.00%")</f>
        <v>黄金 , 1.11%</v>
      </c>
      <c r="C24" s="117" t="str">
        <f>"黄金"&amp;" , "&amp;TEXT(SUM(E24:E24),"0.00%")</f>
        <v>黄金 , 1.11%</v>
      </c>
      <c r="D24" s="117" t="s">
        <v>7556</v>
      </c>
      <c r="E24" s="118">
        <f t="shared" si="0"/>
        <v>1.1102242657775145E-2</v>
      </c>
      <c r="F24" s="35">
        <f t="shared" si="1"/>
        <v>13999.5</v>
      </c>
      <c r="G24" s="140">
        <v>13999.5</v>
      </c>
      <c r="H24" s="35"/>
      <c r="I24" s="139">
        <v>518880</v>
      </c>
      <c r="N24" s="139"/>
      <c r="O24"/>
    </row>
    <row r="25" spans="1:15">
      <c r="A25" s="155"/>
      <c r="B25" s="117" t="str">
        <f>"白银"&amp;" , "&amp;TEXT(SUM(E25:E25),"0.00%")</f>
        <v>白银 , 1.33%</v>
      </c>
      <c r="C25" s="117" t="str">
        <f>"白银"&amp;" , "&amp;TEXT(SUM(E25:E25),"0.00%")</f>
        <v>白银 , 1.33%</v>
      </c>
      <c r="D25" s="117" t="s">
        <v>7557</v>
      </c>
      <c r="E25" s="118">
        <f t="shared" si="0"/>
        <v>1.3340391968366679E-2</v>
      </c>
      <c r="F25" s="127">
        <f>K8</f>
        <v>16821.72</v>
      </c>
      <c r="G25" s="35"/>
      <c r="H25" s="35"/>
      <c r="I25" s="139">
        <v>0</v>
      </c>
      <c r="N25" s="139"/>
      <c r="O25"/>
    </row>
    <row r="26" spans="1:15">
      <c r="A26" s="155" t="str">
        <f>"债券"&amp;" , "&amp;TEXT(SUM(E26:E29),"0.00%")</f>
        <v>债券 , 5.46%</v>
      </c>
      <c r="B26" s="155" t="str">
        <f>"国内债券"&amp;" , "&amp;TEXT(SUM(E26:E28),"0.00%")</f>
        <v>国内债券 , 4.88%</v>
      </c>
      <c r="C26" s="155" t="str">
        <f>"可转债"&amp;" , "&amp;TEXT(SUM(E26:E28),"0.00%")</f>
        <v>可转债 , 4.88%</v>
      </c>
      <c r="D26" s="117" t="s">
        <v>7474</v>
      </c>
      <c r="E26" s="118">
        <f t="shared" si="0"/>
        <v>2.7925040848790422E-2</v>
      </c>
      <c r="F26" s="35">
        <f t="shared" ref="F26:F31" si="2">SUM(G26:H26)</f>
        <v>35212.400000000001</v>
      </c>
      <c r="G26" s="141">
        <v>35212.400000000001</v>
      </c>
      <c r="H26" s="35"/>
      <c r="I26" s="139">
        <v>340001</v>
      </c>
      <c r="J26" s="118"/>
      <c r="N26" s="139"/>
      <c r="O26"/>
    </row>
    <row r="27" spans="1:15">
      <c r="A27" s="155"/>
      <c r="B27" s="155"/>
      <c r="C27" s="155"/>
      <c r="D27" s="117" t="s">
        <v>7475</v>
      </c>
      <c r="E27" s="118">
        <f t="shared" si="0"/>
        <v>0</v>
      </c>
      <c r="F27" s="35">
        <f t="shared" si="2"/>
        <v>0</v>
      </c>
      <c r="G27" s="35"/>
      <c r="H27" s="35"/>
      <c r="I27" s="139">
        <v>519977</v>
      </c>
      <c r="J27" s="118"/>
      <c r="N27" s="139"/>
      <c r="O27"/>
    </row>
    <row r="28" spans="1:15">
      <c r="A28" s="155"/>
      <c r="B28" s="155"/>
      <c r="C28" s="155"/>
      <c r="D28" s="117" t="s">
        <v>7477</v>
      </c>
      <c r="E28" s="118">
        <f t="shared" si="0"/>
        <v>2.0914382434133891E-2</v>
      </c>
      <c r="F28" s="35">
        <f t="shared" si="2"/>
        <v>26372.23</v>
      </c>
      <c r="G28" s="141">
        <v>26372.23</v>
      </c>
      <c r="H28" s="35"/>
      <c r="I28" s="139">
        <v>110027</v>
      </c>
      <c r="N28" s="139"/>
      <c r="O28"/>
    </row>
    <row r="29" spans="1:15">
      <c r="A29" s="155"/>
      <c r="B29" s="117" t="str">
        <f>"海外债券"&amp;" , "&amp;TEXT(SUM(E29:E29),"0.00%")</f>
        <v>海外债券 , 0.58%</v>
      </c>
      <c r="C29" s="117" t="str">
        <f>"美元债"&amp;" , "&amp;TEXT(SUM(E29:E29),"0.00%")</f>
        <v>美元债 , 0.58%</v>
      </c>
      <c r="D29" s="117" t="s">
        <v>7558</v>
      </c>
      <c r="E29" s="118">
        <f t="shared" si="0"/>
        <v>5.7968068730412025E-3</v>
      </c>
      <c r="F29" s="35">
        <f t="shared" si="2"/>
        <v>7309.55</v>
      </c>
      <c r="G29" s="141">
        <v>7309.55</v>
      </c>
      <c r="H29" s="35"/>
      <c r="I29" s="139">
        <v>1061</v>
      </c>
      <c r="N29" s="139"/>
      <c r="O29"/>
    </row>
    <row r="30" spans="1:15">
      <c r="A30" s="155" t="str">
        <f>"现金"&amp;" , "&amp;TEXT(SUM(E30:E31),"0.00%")</f>
        <v>现金 , 14.01%</v>
      </c>
      <c r="B30" s="117" t="str">
        <f>"低风险理财"&amp;" , "&amp;TEXT(SUM(E30:E30),"0.00%")</f>
        <v>低风险理财 , 5.51%</v>
      </c>
      <c r="C30" s="117" t="str">
        <f>"货币基金"&amp;" , "&amp;TEXT(SUM(E30:E30),"0.00%")</f>
        <v>货币基金 , 5.51%</v>
      </c>
      <c r="D30" s="117" t="s">
        <v>7559</v>
      </c>
      <c r="E30" s="118">
        <f t="shared" si="0"/>
        <v>5.512551553419813E-2</v>
      </c>
      <c r="F30" s="35">
        <f t="shared" si="2"/>
        <v>69511.149999999994</v>
      </c>
      <c r="G30" s="35">
        <f>交易明细!T8</f>
        <v>69511.149999999994</v>
      </c>
      <c r="H30" s="35"/>
      <c r="I30" s="139"/>
      <c r="N30" s="139"/>
      <c r="O30"/>
    </row>
    <row r="31" spans="1:15">
      <c r="A31" s="155"/>
      <c r="B31" s="117" t="str">
        <f>"中低风险理财"&amp;" , "&amp;TEXT(SUM(E31:E31),"0.00%")</f>
        <v>中低风险理财 , 8.50%</v>
      </c>
      <c r="C31" s="117" t="str">
        <f>"地产定期"&amp;" , "&amp;TEXT(SUM(E31:E31),"0.00%")</f>
        <v>地产定期 , 8.50%</v>
      </c>
      <c r="D31" s="117" t="s">
        <v>7431</v>
      </c>
      <c r="E31" s="118">
        <f t="shared" si="0"/>
        <v>8.5014494297188867E-2</v>
      </c>
      <c r="F31" s="35">
        <f t="shared" si="2"/>
        <v>107200</v>
      </c>
      <c r="G31" s="35">
        <f>100000+7200</f>
        <v>107200</v>
      </c>
      <c r="H31" s="35"/>
      <c r="I31" s="139"/>
      <c r="O31" s="120"/>
    </row>
    <row r="32" spans="1:15">
      <c r="A32" s="117" t="str">
        <f>"冻结资金"&amp;" , "&amp;TEXT(SUM(E32:E32),"0.00%")</f>
        <v>冻结资金 , 25.00%</v>
      </c>
      <c r="B32" s="117" t="str">
        <f>"住房公积金"&amp;" , "&amp;TEXT(SUM(E32:E32),"0.00%")</f>
        <v>住房公积金 , 25.00%</v>
      </c>
      <c r="C32" s="117" t="str">
        <f>"公积金"&amp;" , "&amp;TEXT(SUM(E32:E32),"0.00%")</f>
        <v>公积金 , 25.00%</v>
      </c>
      <c r="D32" s="117" t="s">
        <v>7560</v>
      </c>
      <c r="E32" s="118">
        <f t="shared" si="0"/>
        <v>0.24999792816822433</v>
      </c>
      <c r="F32" s="35">
        <f>K10</f>
        <v>315237.75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1</v>
      </c>
      <c r="F33" s="35">
        <f>SUM(F2:F32)</f>
        <v>1260961.45</v>
      </c>
      <c r="H33" s="115"/>
      <c r="I33" s="135"/>
      <c r="O33" s="120"/>
    </row>
    <row r="34" spans="1:16">
      <c r="D34" s="115" t="s">
        <v>7432</v>
      </c>
      <c r="E34" s="122">
        <f>F33/$K$2-1</f>
        <v>2.3458266994206056E-2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0.63%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7946.1</v>
      </c>
      <c r="D38" s="34">
        <f t="shared" ref="D38:D62" si="3">C38/B38-1</f>
        <v>0.23319815814100764</v>
      </c>
      <c r="E38" s="34">
        <f>B38/$K$2</f>
        <v>5.2298530686996792E-3</v>
      </c>
      <c r="F38" s="34">
        <f>(C38-B38)/$K$2</f>
        <v>1.2195921029688613E-3</v>
      </c>
      <c r="G38" s="137"/>
      <c r="O38" s="119"/>
    </row>
    <row r="39" spans="1:16">
      <c r="A39" s="115" t="str">
        <f>C3</f>
        <v>沪深300 , 4.60%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58023.31</v>
      </c>
      <c r="D39" s="34">
        <f t="shared" si="3"/>
        <v>0.13762139719857602</v>
      </c>
      <c r="E39" s="34">
        <f t="shared" ref="E39:E61" si="4">B39/$K$2</f>
        <v>4.1397401052402118E-2</v>
      </c>
      <c r="F39" s="34">
        <f t="shared" ref="F39:F61" si="5">(C39-B39)/$K$2</f>
        <v>5.6971681732213789E-3</v>
      </c>
      <c r="G39" s="137"/>
      <c r="P39" s="120"/>
    </row>
    <row r="40" spans="1:16">
      <c r="A40" s="115" t="str">
        <f>C5</f>
        <v>中证500 , 13.77%</v>
      </c>
      <c r="B40" s="35">
        <f>SUMIFS(交易明细!M:M,交易明细!M:M,"&lt;0",交易明细!C:C,"=500ETF")*-1 - SUMIFS(交易明细!M:M,交易明细!M:M,"&gt;0",交易明细!C:C,"=500ETF")</f>
        <v>186106.55</v>
      </c>
      <c r="C40" s="35">
        <f>F5+F6</f>
        <v>173582.31</v>
      </c>
      <c r="D40" s="34">
        <f t="shared" si="3"/>
        <v>-6.7296073136598356E-2</v>
      </c>
      <c r="E40" s="34">
        <f t="shared" si="4"/>
        <v>0.15105321985796674</v>
      </c>
      <c r="F40" s="34">
        <f t="shared" si="5"/>
        <v>-1.0165288531080396E-2</v>
      </c>
      <c r="G40" s="137"/>
    </row>
    <row r="41" spans="1:16">
      <c r="A41" s="115" t="str">
        <f>C7</f>
        <v>中证1000 , 3.26%</v>
      </c>
      <c r="B41" s="35">
        <f>SUMIFS(交易明细!M:M,交易明细!M:M,"&lt;0",交易明细!C:C,"=1000ETF")*-1 - SUMIFS(交易明细!M:M,交易明细!M:M,"&gt;0",交易明细!C:C,"=1000ETF")</f>
        <v>46074.81</v>
      </c>
      <c r="C41" s="35">
        <f>F7</f>
        <v>41148</v>
      </c>
      <c r="D41" s="34">
        <f t="shared" si="3"/>
        <v>-0.10693066341456425</v>
      </c>
      <c r="E41" s="34">
        <f t="shared" si="4"/>
        <v>3.7396579566082146E-2</v>
      </c>
      <c r="F41" s="34">
        <f t="shared" si="5"/>
        <v>-3.9988410624367003E-3</v>
      </c>
      <c r="G41" s="137"/>
    </row>
    <row r="42" spans="1:16">
      <c r="A42" s="115" t="str">
        <f>C8</f>
        <v>创业板 , 1.67%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21056.13</v>
      </c>
      <c r="D42" s="34">
        <f t="shared" si="3"/>
        <v>9.277530309847859E-2</v>
      </c>
      <c r="E42" s="34">
        <f t="shared" si="4"/>
        <v>1.5639253192867384E-2</v>
      </c>
      <c r="F42" s="34">
        <f t="shared" si="5"/>
        <v>1.4509364552021202E-3</v>
      </c>
      <c r="G42" s="137"/>
    </row>
    <row r="43" spans="1:16">
      <c r="A43" s="115" t="str">
        <f>C10</f>
        <v>中证红利 , 5.74%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72416.59</v>
      </c>
      <c r="D43" s="34">
        <f t="shared" si="3"/>
        <v>9.1926869722557258E-2</v>
      </c>
      <c r="E43" s="34">
        <f t="shared" si="4"/>
        <v>5.3828570466651258E-2</v>
      </c>
      <c r="F43" s="34">
        <f t="shared" si="5"/>
        <v>4.9482919846393428E-3</v>
      </c>
    </row>
    <row r="44" spans="1:16">
      <c r="A44" s="115" t="str">
        <f>C11</f>
        <v>养老产业 , 4.65%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58626.66</v>
      </c>
      <c r="D44" s="34">
        <f t="shared" si="3"/>
        <v>7.330927835051515E-3</v>
      </c>
      <c r="E44" s="34">
        <f t="shared" si="4"/>
        <v>4.723797951084293E-2</v>
      </c>
      <c r="F44" s="34">
        <f t="shared" si="5"/>
        <v>3.4629821886763591E-4</v>
      </c>
    </row>
    <row r="45" spans="1:16">
      <c r="A45" s="115" t="str">
        <f>C12</f>
        <v>全指医药 , 3.95%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49853.979999999996</v>
      </c>
      <c r="D45" s="34">
        <f t="shared" si="3"/>
        <v>2.032296527822397E-2</v>
      </c>
      <c r="E45" s="34">
        <f t="shared" si="4"/>
        <v>3.9657972029548211E-2</v>
      </c>
      <c r="F45" s="34">
        <f t="shared" si="5"/>
        <v>8.0596758856128921E-4</v>
      </c>
    </row>
    <row r="46" spans="1:16">
      <c r="A46" s="115" t="str">
        <f>C14</f>
        <v>中证传媒 , 1.90%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24006.400000000001</v>
      </c>
      <c r="D46" s="34">
        <f t="shared" si="3"/>
        <v>-0.33353192488797301</v>
      </c>
      <c r="E46" s="34">
        <f t="shared" si="4"/>
        <v>2.9235869596457062E-2</v>
      </c>
      <c r="F46" s="34">
        <f t="shared" si="5"/>
        <v>-9.7510958622800906E-3</v>
      </c>
    </row>
    <row r="47" spans="1:16">
      <c r="A47" s="115" t="str">
        <f>C15</f>
        <v>中证环保 , 3.26%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41081.64</v>
      </c>
      <c r="D47" s="34">
        <f t="shared" si="3"/>
        <v>-0.14511615072906736</v>
      </c>
      <c r="E47" s="34">
        <f t="shared" si="4"/>
        <v>3.9003985741045438E-2</v>
      </c>
      <c r="F47" s="34">
        <f t="shared" si="5"/>
        <v>-5.6601082738319411E-3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-2.8735950546283293E-3</v>
      </c>
      <c r="F48" s="34">
        <f t="shared" si="5"/>
        <v>2.8735950546283293E-3</v>
      </c>
    </row>
    <row r="49" spans="1:6">
      <c r="A49" s="115" t="str">
        <f t="shared" si="6"/>
        <v>金融地产 , 1.81%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22806.25</v>
      </c>
      <c r="D49" s="34">
        <f t="shared" si="3"/>
        <v>0.18782552083333326</v>
      </c>
      <c r="E49" s="34">
        <f t="shared" si="4"/>
        <v>1.5583663343783236E-2</v>
      </c>
      <c r="F49" s="34">
        <f t="shared" si="5"/>
        <v>2.9270096840374109E-3</v>
      </c>
    </row>
    <row r="50" spans="1:6">
      <c r="A50" s="115" t="str">
        <f t="shared" si="6"/>
        <v>证券公司 , 2.51%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31653.599999999999</v>
      </c>
      <c r="D50" s="34">
        <f t="shared" si="3"/>
        <v>0.2378168098694986</v>
      </c>
      <c r="E50" s="34">
        <f t="shared" si="4"/>
        <v>2.0755589013897194E-2</v>
      </c>
      <c r="F50" s="34">
        <f t="shared" si="5"/>
        <v>4.9360279662474405E-3</v>
      </c>
    </row>
    <row r="51" spans="1:6">
      <c r="A51" s="115" t="str">
        <f t="shared" si="6"/>
        <v>恒生 , 0.54%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6861.77</v>
      </c>
      <c r="D51" s="34">
        <f t="shared" si="3"/>
        <v>7.2151562499999988E-2</v>
      </c>
      <c r="E51" s="34">
        <f t="shared" si="4"/>
        <v>5.1945544479277449E-3</v>
      </c>
      <c r="F51" s="34">
        <f t="shared" si="5"/>
        <v>3.7479521990931204E-4</v>
      </c>
    </row>
    <row r="52" spans="1:6">
      <c r="A52" s="115" t="str">
        <f t="shared" si="6"/>
        <v>海外互联网 , 1.56%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19714.7</v>
      </c>
      <c r="D52" s="34">
        <f t="shared" si="3"/>
        <v>2.6807291666666622E-2</v>
      </c>
      <c r="E52" s="34">
        <f t="shared" si="4"/>
        <v>1.5583663343783236E-2</v>
      </c>
      <c r="F52" s="34">
        <f t="shared" si="5"/>
        <v>4.177558084919397E-4</v>
      </c>
    </row>
    <row r="53" spans="1:6">
      <c r="A53" s="115" t="str">
        <f t="shared" si="6"/>
        <v>德国30 , 1.86%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23451.22</v>
      </c>
      <c r="D53" s="34">
        <f t="shared" si="3"/>
        <v>3.7664601769911599E-2</v>
      </c>
      <c r="E53" s="34">
        <f t="shared" si="4"/>
        <v>1.834327039424485E-2</v>
      </c>
      <c r="F53" s="34">
        <f t="shared" si="5"/>
        <v>6.9089197455704076E-4</v>
      </c>
    </row>
    <row r="54" spans="1:6">
      <c r="A54" s="115" t="str">
        <f t="shared" si="6"/>
        <v>原油 , 1.35%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17068.490000000002</v>
      </c>
      <c r="D54" s="34">
        <f t="shared" si="3"/>
        <v>-0.1110161458333333</v>
      </c>
      <c r="E54" s="34">
        <f t="shared" si="4"/>
        <v>1.5583663343783236E-2</v>
      </c>
      <c r="F54" s="34">
        <f t="shared" si="5"/>
        <v>-1.7300382423910093E-3</v>
      </c>
    </row>
    <row r="55" spans="1:6">
      <c r="A55" s="115" t="str">
        <f t="shared" si="6"/>
        <v>黄金 , 1.11%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13999.5</v>
      </c>
      <c r="D55" s="34">
        <f t="shared" si="3"/>
        <v>8.9278086287911229E-2</v>
      </c>
      <c r="E55" s="34">
        <f t="shared" si="4"/>
        <v>1.0431387699166827E-2</v>
      </c>
      <c r="F55" s="34">
        <f t="shared" si="5"/>
        <v>9.3129433110887084E-4</v>
      </c>
    </row>
    <row r="56" spans="1:6">
      <c r="A56" s="115" t="str">
        <f t="shared" si="6"/>
        <v>白银 , 1.33%</v>
      </c>
      <c r="B56" s="35">
        <f>SUMIFS(交易明细!M:M,交易明细!M:M,"&lt;0",交易明细!C:C,"=白银")*-1 - SUMIFS(交易明细!M:M,交易明细!M:M,"&gt;0",交易明细!C:C,"=白银")</f>
        <v>13991.010000000002</v>
      </c>
      <c r="C56" s="35">
        <f t="shared" si="7"/>
        <v>16821.72</v>
      </c>
      <c r="D56" s="34">
        <f t="shared" si="3"/>
        <v>0.20232349201380018</v>
      </c>
      <c r="E56" s="34">
        <f t="shared" si="4"/>
        <v>1.135579112914087E-2</v>
      </c>
      <c r="F56" s="34">
        <f t="shared" si="5"/>
        <v>2.2975433158271162E-3</v>
      </c>
    </row>
    <row r="57" spans="1:6">
      <c r="A57" s="115" t="str">
        <f t="shared" si="6"/>
        <v>可转债 , 4.88%</v>
      </c>
      <c r="B57" s="35">
        <f>SUMIFS(交易明细!M:M,交易明细!M:M,"&lt;0",交易明细!C:C,"=可转债")*-1 - SUMIFS(交易明细!M:M,交易明细!M:M,"&gt;0",交易明细!C:C,"=可转债")</f>
        <v>64000</v>
      </c>
      <c r="C57" s="35">
        <f>F26+F27+F28</f>
        <v>61584.630000000005</v>
      </c>
      <c r="D57" s="34">
        <f t="shared" si="3"/>
        <v>-3.7740156249999934E-2</v>
      </c>
      <c r="E57" s="34">
        <f t="shared" si="4"/>
        <v>5.1945544479277447E-2</v>
      </c>
      <c r="F57" s="34">
        <f t="shared" si="5"/>
        <v>-1.9604329651392522E-3</v>
      </c>
    </row>
    <row r="58" spans="1:6">
      <c r="A58" s="115" t="str">
        <f>C29</f>
        <v>美元债 , 0.58%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7309.55</v>
      </c>
      <c r="D58" s="34">
        <f t="shared" si="3"/>
        <v>0.42067629132070805</v>
      </c>
      <c r="E58" s="34">
        <f t="shared" si="4"/>
        <v>4.1760321845503113E-3</v>
      </c>
      <c r="F58" s="34">
        <f t="shared" si="5"/>
        <v>1.7567577318325399E-3</v>
      </c>
    </row>
    <row r="59" spans="1:6">
      <c r="A59" s="115" t="str">
        <f>C30</f>
        <v>货币基金 , 5.51%</v>
      </c>
      <c r="B59" s="35">
        <f>G30</f>
        <v>69511.149999999994</v>
      </c>
      <c r="C59" s="35">
        <f>F30</f>
        <v>69511.149999999994</v>
      </c>
      <c r="D59" s="34">
        <f t="shared" si="3"/>
        <v>0</v>
      </c>
      <c r="E59" s="34">
        <f t="shared" si="4"/>
        <v>5.6418664595792603E-2</v>
      </c>
      <c r="F59" s="34">
        <f t="shared" si="5"/>
        <v>0</v>
      </c>
    </row>
    <row r="60" spans="1:6">
      <c r="A60" s="115" t="str">
        <f>C31</f>
        <v>地产定期 , 8.50%</v>
      </c>
      <c r="B60" s="115">
        <f>K6</f>
        <v>100000</v>
      </c>
      <c r="C60" s="35">
        <f>F31</f>
        <v>107200</v>
      </c>
      <c r="D60" s="34">
        <f t="shared" si="3"/>
        <v>7.2000000000000064E-2</v>
      </c>
      <c r="E60" s="34">
        <f t="shared" si="4"/>
        <v>8.1164913248871012E-2</v>
      </c>
      <c r="F60" s="34">
        <f t="shared" si="5"/>
        <v>5.8438737539187133E-3</v>
      </c>
    </row>
    <row r="61" spans="1:6">
      <c r="A61" s="115" t="str">
        <f>C32</f>
        <v>公积金 , 25.00%</v>
      </c>
      <c r="B61" s="115">
        <f>K10</f>
        <v>315237.75</v>
      </c>
      <c r="C61" s="35">
        <f>F32</f>
        <v>315237.75</v>
      </c>
      <c r="D61" s="34">
        <f t="shared" si="3"/>
        <v>0</v>
      </c>
      <c r="E61" s="34">
        <f t="shared" si="4"/>
        <v>0.25586244631519289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1255722.74</v>
      </c>
      <c r="C62" s="78">
        <f>SUM(C37:C61)</f>
        <v>1260961.45</v>
      </c>
      <c r="D62" s="77">
        <f t="shared" si="3"/>
        <v>4.1718683855322958E-3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7946.1</v>
      </c>
      <c r="D67" s="34">
        <f t="shared" ref="D67:D95" si="8">C67/$C$96</f>
        <v>1.0229310421202198E-2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35080.5</v>
      </c>
      <c r="D68" s="34">
        <f t="shared" si="8"/>
        <v>4.5160433952628795E-2</v>
      </c>
    </row>
    <row r="69" spans="1:4">
      <c r="A69" s="115" t="str">
        <f>基金成本!A4</f>
        <v>富国300</v>
      </c>
      <c r="B69" s="115" t="str">
        <f>基金成本!B4</f>
        <v>100038</v>
      </c>
      <c r="C69" s="35">
        <f>G4</f>
        <v>22942.81</v>
      </c>
      <c r="D69" s="34">
        <f t="shared" si="8"/>
        <v>2.9535133640988913E-2</v>
      </c>
    </row>
    <row r="70" spans="1:4">
      <c r="A70" s="115" t="str">
        <f>基金成本!A5</f>
        <v>500ETF</v>
      </c>
      <c r="B70" s="115">
        <f>基金成本!B5</f>
        <v>510050</v>
      </c>
      <c r="C70" s="35">
        <f t="shared" ref="C70:C76" si="9">G5</f>
        <v>158862.9</v>
      </c>
      <c r="D70" s="34">
        <f t="shared" si="8"/>
        <v>0.20451012679332031</v>
      </c>
    </row>
    <row r="71" spans="1:4">
      <c r="A71" s="115" t="str">
        <f>基金成本!A6</f>
        <v>富国500</v>
      </c>
      <c r="B71" s="115" t="str">
        <f>基金成本!B6</f>
        <v>161017</v>
      </c>
      <c r="C71" s="35">
        <f t="shared" si="9"/>
        <v>14719.41</v>
      </c>
      <c r="D71" s="34">
        <f t="shared" si="8"/>
        <v>1.8948844603887169E-2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 t="shared" si="9"/>
        <v>41148</v>
      </c>
      <c r="D72" s="34">
        <f t="shared" si="8"/>
        <v>5.2971352639864591E-2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 t="shared" si="9"/>
        <v>13478</v>
      </c>
      <c r="D73" s="34">
        <f t="shared" si="8"/>
        <v>1.7350731284147346E-2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>
        <f t="shared" si="9"/>
        <v>7578.13</v>
      </c>
      <c r="D74" s="34">
        <f t="shared" si="8"/>
        <v>9.7556089379978866E-3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>
        <f t="shared" si="9"/>
        <v>72416.59</v>
      </c>
      <c r="D75" s="34">
        <f t="shared" si="8"/>
        <v>9.3224572904308634E-2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>
        <f t="shared" si="9"/>
        <v>58626.66</v>
      </c>
      <c r="D76" s="34">
        <f t="shared" si="8"/>
        <v>7.5472282515734512E-2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17928</v>
      </c>
      <c r="D77" s="34">
        <f t="shared" si="8"/>
        <v>2.3079381990072236E-2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>
        <f>G13</f>
        <v>31925.98</v>
      </c>
      <c r="D78" s="34">
        <f t="shared" si="8"/>
        <v>4.1099502890863809E-2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24006.400000000001</v>
      </c>
      <c r="D79" s="34">
        <f t="shared" si="8"/>
        <v>3.0904332653194453E-2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>
        <f>G15</f>
        <v>24606.400000000001</v>
      </c>
      <c r="D80" s="34">
        <f t="shared" si="8"/>
        <v>3.167673499556635E-2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24606.400000000001</v>
      </c>
      <c r="D81" s="34">
        <f t="shared" si="8"/>
        <v>3.167673499556635E-2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>
        <f>G16+H16</f>
        <v>16475.239999999998</v>
      </c>
      <c r="D82" s="34">
        <f t="shared" si="8"/>
        <v>2.120918994523191E-2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>
        <f t="shared" ref="C83:C84" si="10">G17</f>
        <v>0</v>
      </c>
      <c r="D83" s="34">
        <f t="shared" si="8"/>
        <v>0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>
        <f t="shared" si="10"/>
        <v>22806.25</v>
      </c>
      <c r="D84" s="34">
        <f t="shared" si="8"/>
        <v>2.9359334867865069E-2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31653.599999999999</v>
      </c>
      <c r="D85" s="34">
        <f t="shared" si="8"/>
        <v>4.0748857974171715E-2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>
        <f t="shared" ref="C86:C95" si="11">G20</f>
        <v>6861.77</v>
      </c>
      <c r="D86" s="34">
        <f t="shared" si="8"/>
        <v>8.8334120346953357E-3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>
        <f t="shared" si="11"/>
        <v>19714.7</v>
      </c>
      <c r="D87" s="34">
        <f t="shared" si="8"/>
        <v>2.5379467431932014E-2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>
        <f t="shared" si="11"/>
        <v>23451.22</v>
      </c>
      <c r="D88" s="34">
        <f t="shared" si="8"/>
        <v>3.0189628765797737E-2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>
        <f t="shared" si="11"/>
        <v>17068.490000000002</v>
      </c>
      <c r="D89" s="34">
        <f t="shared" si="8"/>
        <v>2.1972902761252126E-2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 t="shared" si="11"/>
        <v>13999.5</v>
      </c>
      <c r="D90" s="34">
        <f t="shared" si="8"/>
        <v>1.8022077653392251E-2</v>
      </c>
    </row>
    <row r="91" spans="1:4">
      <c r="A91" s="115" t="str">
        <f>基金成本!A27</f>
        <v>兴全可转债</v>
      </c>
      <c r="B91" s="115">
        <f>基金成本!B27</f>
        <v>340001</v>
      </c>
      <c r="C91" s="35">
        <f t="shared" si="11"/>
        <v>0</v>
      </c>
      <c r="D91" s="34">
        <f t="shared" si="8"/>
        <v>0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>
        <f t="shared" si="11"/>
        <v>35212.400000000001</v>
      </c>
      <c r="D92" s="34">
        <f t="shared" si="8"/>
        <v>4.5330233734226885E-2</v>
      </c>
    </row>
    <row r="93" spans="1:4">
      <c r="A93" s="115" t="str">
        <f>基金成本!A29</f>
        <v>长信可转债</v>
      </c>
      <c r="B93" s="115">
        <f>基金成本!B29</f>
        <v>519977</v>
      </c>
      <c r="C93" s="35">
        <f t="shared" si="11"/>
        <v>0</v>
      </c>
      <c r="D93" s="34">
        <f t="shared" si="8"/>
        <v>0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>
        <f t="shared" si="11"/>
        <v>26372.23</v>
      </c>
      <c r="D94" s="34">
        <f t="shared" si="8"/>
        <v>3.3949953709283956E-2</v>
      </c>
    </row>
    <row r="95" spans="1:4">
      <c r="A95" s="115" t="s">
        <v>7430</v>
      </c>
      <c r="B95" s="115" t="s">
        <v>7482</v>
      </c>
      <c r="C95" s="35">
        <f t="shared" si="11"/>
        <v>7309.55</v>
      </c>
      <c r="D95" s="34">
        <f t="shared" si="8"/>
        <v>9.4098559028074815E-3</v>
      </c>
    </row>
    <row r="96" spans="1:4">
      <c r="C96" s="35">
        <f>SUM(C67:C95)</f>
        <v>776797.23</v>
      </c>
      <c r="D96" s="81">
        <f>SUM(D67:D95)</f>
        <v>1</v>
      </c>
    </row>
  </sheetData>
  <mergeCells count="15">
    <mergeCell ref="A30:A31"/>
    <mergeCell ref="A23:A25"/>
    <mergeCell ref="C26:C28"/>
    <mergeCell ref="B26:B28"/>
    <mergeCell ref="A26:A29"/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2" sqref="I2:I11"/>
    </sheetView>
  </sheetViews>
  <sheetFormatPr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tr">
        <f>"510050"</f>
        <v>510050</v>
      </c>
      <c r="B2" t="str">
        <f>"50ETF"</f>
        <v>50ETF</v>
      </c>
      <c r="C2">
        <v>2700</v>
      </c>
      <c r="D2">
        <v>2700</v>
      </c>
      <c r="E2" t="str">
        <f t="shared" ref="E2:F11" si="0">"0"</f>
        <v>0</v>
      </c>
      <c r="F2" t="str">
        <f t="shared" si="0"/>
        <v>0</v>
      </c>
      <c r="G2">
        <v>2.3370000000000002</v>
      </c>
      <c r="H2" t="str">
        <f>"2.943"</f>
        <v>2.943</v>
      </c>
      <c r="I2" s="56">
        <v>7946.1</v>
      </c>
      <c r="J2">
        <v>1634.6110000000001</v>
      </c>
      <c r="K2" t="str">
        <f>"25.91"</f>
        <v>25.91</v>
      </c>
      <c r="L2" t="str">
        <f t="shared" ref="L2:L9" si="1">"上海Ａ"</f>
        <v>上海Ａ</v>
      </c>
      <c r="M2" t="str">
        <f t="shared" ref="M2:M9" si="2">"A280737240"</f>
        <v>A280737240</v>
      </c>
      <c r="N2" t="str">
        <f t="shared" ref="N2:N11" si="3">"666624701961"</f>
        <v>666624701961</v>
      </c>
    </row>
    <row r="3" spans="1:14">
      <c r="A3" t="str">
        <f>"510300"</f>
        <v>510300</v>
      </c>
      <c r="B3" t="str">
        <f>"300ETF"</f>
        <v>300ETF</v>
      </c>
      <c r="C3">
        <v>9100</v>
      </c>
      <c r="D3">
        <v>9100</v>
      </c>
      <c r="E3" t="str">
        <f t="shared" si="0"/>
        <v>0</v>
      </c>
      <c r="F3" t="str">
        <f t="shared" si="0"/>
        <v>0</v>
      </c>
      <c r="G3">
        <v>3.4470000000000001</v>
      </c>
      <c r="H3" t="str">
        <f>"3.855"</f>
        <v>3.855</v>
      </c>
      <c r="I3" s="56">
        <v>35080.5</v>
      </c>
      <c r="J3">
        <v>3705.7840000000001</v>
      </c>
      <c r="K3" t="str">
        <f>"11.81"</f>
        <v>11.81</v>
      </c>
      <c r="L3" t="str">
        <f t="shared" si="1"/>
        <v>上海Ａ</v>
      </c>
      <c r="M3" t="str">
        <f t="shared" si="2"/>
        <v>A280737240</v>
      </c>
      <c r="N3" t="str">
        <f t="shared" si="3"/>
        <v>666624701961</v>
      </c>
    </row>
    <row r="4" spans="1:14">
      <c r="A4" t="str">
        <f>"510500"</f>
        <v>510500</v>
      </c>
      <c r="B4" t="str">
        <f>"500ETF"</f>
        <v>500ETF</v>
      </c>
      <c r="C4">
        <v>30300</v>
      </c>
      <c r="D4">
        <v>30300</v>
      </c>
      <c r="E4" t="str">
        <f t="shared" si="0"/>
        <v>0</v>
      </c>
      <c r="F4" t="str">
        <f t="shared" si="0"/>
        <v>0</v>
      </c>
      <c r="G4">
        <v>5.72</v>
      </c>
      <c r="H4" t="str">
        <f>"5.243"</f>
        <v>5.243</v>
      </c>
      <c r="I4" s="56">
        <v>158862.9</v>
      </c>
      <c r="J4">
        <v>-14484.873</v>
      </c>
      <c r="K4" t="str">
        <f>"-8.36"</f>
        <v>-8.36</v>
      </c>
      <c r="L4" t="str">
        <f t="shared" si="1"/>
        <v>上海Ａ</v>
      </c>
      <c r="M4" t="str">
        <f t="shared" si="2"/>
        <v>A280737240</v>
      </c>
      <c r="N4" t="str">
        <f t="shared" si="3"/>
        <v>666624701961</v>
      </c>
    </row>
    <row r="5" spans="1:14">
      <c r="A5" t="str">
        <f>"512100"</f>
        <v>512100</v>
      </c>
      <c r="B5" t="str">
        <f>"1000ETF"</f>
        <v>1000ETF</v>
      </c>
      <c r="C5">
        <v>64800</v>
      </c>
      <c r="D5">
        <v>64800</v>
      </c>
      <c r="E5" t="str">
        <f t="shared" si="0"/>
        <v>0</v>
      </c>
      <c r="F5" t="str">
        <f t="shared" si="0"/>
        <v>0</v>
      </c>
      <c r="G5">
        <v>0.71099999999999997</v>
      </c>
      <c r="H5" t="str">
        <f>"0.635"</f>
        <v>0.635</v>
      </c>
      <c r="I5" s="56">
        <v>41148</v>
      </c>
      <c r="J5">
        <v>-4933.03</v>
      </c>
      <c r="K5" t="str">
        <f>"-10.71"</f>
        <v>-10.71</v>
      </c>
      <c r="L5" t="str">
        <f t="shared" si="1"/>
        <v>上海Ａ</v>
      </c>
      <c r="M5" t="str">
        <f t="shared" si="2"/>
        <v>A280737240</v>
      </c>
      <c r="N5" t="str">
        <f t="shared" si="3"/>
        <v>666624701961</v>
      </c>
    </row>
    <row r="6" spans="1:14">
      <c r="A6" t="str">
        <f>"512580"</f>
        <v>512580</v>
      </c>
      <c r="B6" t="str">
        <f>"环保ETF"</f>
        <v>环保ETF</v>
      </c>
      <c r="C6">
        <v>33800</v>
      </c>
      <c r="D6">
        <v>33800</v>
      </c>
      <c r="E6" t="str">
        <f t="shared" si="0"/>
        <v>0</v>
      </c>
      <c r="F6" t="str">
        <f t="shared" si="0"/>
        <v>0</v>
      </c>
      <c r="G6">
        <v>0.877</v>
      </c>
      <c r="H6" t="str">
        <f>"0.728"</f>
        <v>0.728</v>
      </c>
      <c r="I6" s="56">
        <v>24606.400000000001</v>
      </c>
      <c r="J6">
        <v>-5041.1210000000001</v>
      </c>
      <c r="K6" t="str">
        <f>"-17.01"</f>
        <v>-17.01</v>
      </c>
      <c r="L6" t="str">
        <f t="shared" si="1"/>
        <v>上海Ａ</v>
      </c>
      <c r="M6" t="str">
        <f t="shared" si="2"/>
        <v>A280737240</v>
      </c>
      <c r="N6" t="str">
        <f t="shared" si="3"/>
        <v>666624701961</v>
      </c>
    </row>
    <row r="7" spans="1:14">
      <c r="A7" t="str">
        <f>"512880"</f>
        <v>512880</v>
      </c>
      <c r="B7" t="str">
        <f>"证券ETF"</f>
        <v>证券ETF</v>
      </c>
      <c r="C7">
        <v>32700</v>
      </c>
      <c r="D7">
        <v>32700</v>
      </c>
      <c r="E7" t="str">
        <f t="shared" si="0"/>
        <v>0</v>
      </c>
      <c r="F7" t="str">
        <f t="shared" si="0"/>
        <v>0</v>
      </c>
      <c r="G7">
        <v>0.78300000000000003</v>
      </c>
      <c r="H7" t="str">
        <f>"0.968"</f>
        <v>0.968</v>
      </c>
      <c r="I7" s="56">
        <v>31653.599999999999</v>
      </c>
      <c r="J7">
        <v>6043.1689999999999</v>
      </c>
      <c r="K7" t="str">
        <f>"23.60"</f>
        <v>23.60</v>
      </c>
      <c r="L7" t="str">
        <f t="shared" si="1"/>
        <v>上海Ａ</v>
      </c>
      <c r="M7" t="str">
        <f t="shared" si="2"/>
        <v>A280737240</v>
      </c>
      <c r="N7" t="str">
        <f t="shared" si="3"/>
        <v>666624701961</v>
      </c>
    </row>
    <row r="8" spans="1:14">
      <c r="A8" t="str">
        <f>"512980"</f>
        <v>512980</v>
      </c>
      <c r="B8" t="str">
        <f>"传媒ETF"</f>
        <v>传媒ETF</v>
      </c>
      <c r="C8">
        <v>34100</v>
      </c>
      <c r="D8">
        <v>34100</v>
      </c>
      <c r="E8" t="str">
        <f t="shared" si="0"/>
        <v>0</v>
      </c>
      <c r="F8" t="str">
        <f t="shared" si="0"/>
        <v>0</v>
      </c>
      <c r="G8">
        <v>0.86899999999999999</v>
      </c>
      <c r="H8" t="str">
        <f>"0.704"</f>
        <v>0.704</v>
      </c>
      <c r="I8" s="56">
        <v>24006.400000000001</v>
      </c>
      <c r="J8">
        <v>-5631.3010000000004</v>
      </c>
      <c r="K8" t="str">
        <f>"-19.00"</f>
        <v>-19.00</v>
      </c>
      <c r="L8" t="str">
        <f t="shared" si="1"/>
        <v>上海Ａ</v>
      </c>
      <c r="M8" t="str">
        <f t="shared" si="2"/>
        <v>A280737240</v>
      </c>
      <c r="N8" t="str">
        <f t="shared" si="3"/>
        <v>666624701961</v>
      </c>
    </row>
    <row r="9" spans="1:14">
      <c r="A9" t="str">
        <f>"518880"</f>
        <v>518880</v>
      </c>
      <c r="B9" t="str">
        <f>"黄金ETF"</f>
        <v>黄金ETF</v>
      </c>
      <c r="C9">
        <v>4500</v>
      </c>
      <c r="D9">
        <v>4500</v>
      </c>
      <c r="E9" t="str">
        <f t="shared" si="0"/>
        <v>0</v>
      </c>
      <c r="F9" t="str">
        <f t="shared" si="0"/>
        <v>0</v>
      </c>
      <c r="G9">
        <v>2.8559999999999999</v>
      </c>
      <c r="H9" t="str">
        <f>"3.111"</f>
        <v>3.111</v>
      </c>
      <c r="I9" s="56">
        <v>13999.5</v>
      </c>
      <c r="J9">
        <v>1144.7</v>
      </c>
      <c r="K9" t="str">
        <f>"8.91"</f>
        <v>8.91</v>
      </c>
      <c r="L9" t="str">
        <f t="shared" si="1"/>
        <v>上海Ａ</v>
      </c>
      <c r="M9" t="str">
        <f t="shared" si="2"/>
        <v>A280737240</v>
      </c>
      <c r="N9" t="str">
        <f t="shared" si="3"/>
        <v>666624701961</v>
      </c>
    </row>
    <row r="10" spans="1:14">
      <c r="A10" t="str">
        <f>"159915"</f>
        <v>159915</v>
      </c>
      <c r="B10" t="str">
        <f>"创业板"</f>
        <v>创业板</v>
      </c>
      <c r="C10">
        <v>9200</v>
      </c>
      <c r="D10">
        <v>9200</v>
      </c>
      <c r="E10" t="str">
        <f t="shared" si="0"/>
        <v>0</v>
      </c>
      <c r="F10" t="str">
        <f t="shared" si="0"/>
        <v>0</v>
      </c>
      <c r="G10">
        <v>1.399</v>
      </c>
      <c r="H10" t="str">
        <f>"1.465"</f>
        <v>1.465</v>
      </c>
      <c r="I10" s="56">
        <v>13478</v>
      </c>
      <c r="J10">
        <v>604.50400000000002</v>
      </c>
      <c r="K10" t="str">
        <f>"4.70"</f>
        <v>4.70</v>
      </c>
      <c r="L10" t="str">
        <f>"深圳Ａ"</f>
        <v>深圳Ａ</v>
      </c>
      <c r="M10" t="str">
        <f>"0184500716"</f>
        <v>0184500716</v>
      </c>
      <c r="N10" t="str">
        <f t="shared" si="3"/>
        <v>666624701961</v>
      </c>
    </row>
    <row r="11" spans="1:14">
      <c r="A11" t="str">
        <f>"159938"</f>
        <v>159938</v>
      </c>
      <c r="B11" t="str">
        <f>"广发医药"</f>
        <v>广发医药</v>
      </c>
      <c r="C11">
        <v>14400</v>
      </c>
      <c r="D11">
        <v>14400</v>
      </c>
      <c r="E11" t="str">
        <f t="shared" si="0"/>
        <v>0</v>
      </c>
      <c r="F11" t="str">
        <f t="shared" si="0"/>
        <v>0</v>
      </c>
      <c r="G11">
        <v>1.2709999999999999</v>
      </c>
      <c r="H11" t="str">
        <f>"1.245"</f>
        <v>1.245</v>
      </c>
      <c r="I11" s="56">
        <v>17928</v>
      </c>
      <c r="J11">
        <v>-377.98599999999999</v>
      </c>
      <c r="K11" t="str">
        <f>"-2.07"</f>
        <v>-2.07</v>
      </c>
      <c r="L11" t="str">
        <f>"深圳Ａ"</f>
        <v>深圳Ａ</v>
      </c>
      <c r="M11" t="str">
        <f>"0184500716"</f>
        <v>0184500716</v>
      </c>
      <c r="N11" t="str">
        <f t="shared" si="3"/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E31" sqref="E31"/>
    </sheetView>
  </sheetViews>
  <sheetFormatPr defaultRowHeight="14.25"/>
  <cols>
    <col min="2" max="2" width="27.625" bestFit="1" customWidth="1"/>
    <col min="6" max="6" width="10.5" bestFit="1" customWidth="1"/>
    <col min="7" max="7" width="9.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43658</v>
      </c>
      <c r="E2" s="21">
        <v>1</v>
      </c>
      <c r="F2" s="20">
        <v>46305.97</v>
      </c>
      <c r="G2" s="1">
        <v>46305.97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43658</v>
      </c>
      <c r="E3" s="21">
        <v>1</v>
      </c>
      <c r="F3" s="20">
        <v>32214.53</v>
      </c>
      <c r="G3" s="1">
        <v>32214.53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43658</v>
      </c>
      <c r="E4" s="21">
        <v>0.9234</v>
      </c>
      <c r="F4" s="20">
        <v>63490</v>
      </c>
      <c r="G4" s="1">
        <v>58626.66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43658</v>
      </c>
      <c r="E5" s="21">
        <v>1.5817000000000001</v>
      </c>
      <c r="F5" s="20">
        <v>4791.13</v>
      </c>
      <c r="G5" s="1">
        <v>7578.13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43657</v>
      </c>
      <c r="E6" s="21">
        <v>1.175</v>
      </c>
      <c r="F6" s="20">
        <v>16778.47</v>
      </c>
      <c r="G6" s="1">
        <v>19714.7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43658</v>
      </c>
      <c r="E7" s="21">
        <v>1.5567</v>
      </c>
      <c r="F7" s="20">
        <v>4407.8999999999996</v>
      </c>
      <c r="G7" s="1">
        <v>6861.77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43656</v>
      </c>
      <c r="E8" s="21">
        <v>1.1319999999999999</v>
      </c>
      <c r="F8" s="20">
        <v>20716.63</v>
      </c>
      <c r="G8" s="1">
        <v>23451.22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43657</v>
      </c>
      <c r="E9" s="21">
        <v>1.3029999999999999</v>
      </c>
      <c r="F9" s="20">
        <v>5609.79</v>
      </c>
      <c r="G9" s="1">
        <v>7309.55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43658</v>
      </c>
      <c r="E10" s="21">
        <v>0.54669999999999996</v>
      </c>
      <c r="F10" s="20">
        <v>13403.92</v>
      </c>
      <c r="G10" s="1">
        <v>7327.92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43658</v>
      </c>
      <c r="E11" s="21">
        <v>0.77839999999999998</v>
      </c>
      <c r="F11" s="20">
        <v>41014.879999999997</v>
      </c>
      <c r="G11" s="1">
        <v>31925.98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43658</v>
      </c>
      <c r="E12" s="21">
        <v>1.0775999999999999</v>
      </c>
      <c r="F12" s="20">
        <v>21163.93</v>
      </c>
      <c r="G12" s="1">
        <v>22806.25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43658</v>
      </c>
      <c r="E13" s="21">
        <v>0.7097</v>
      </c>
      <c r="F13" s="20">
        <v>7852.99</v>
      </c>
      <c r="G13" s="1">
        <v>5573.26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43658</v>
      </c>
      <c r="E14" s="21">
        <v>1.113</v>
      </c>
      <c r="F14" s="20">
        <v>65064.33</v>
      </c>
      <c r="G14" s="1">
        <v>72416.59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43658</v>
      </c>
      <c r="E15" s="21">
        <v>1.758</v>
      </c>
      <c r="F15" s="20">
        <v>13050.52</v>
      </c>
      <c r="G15" s="1">
        <v>22942.81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43658</v>
      </c>
      <c r="E16" s="21">
        <v>1.6279999999999999</v>
      </c>
      <c r="F16" s="20">
        <v>16199.16</v>
      </c>
      <c r="G16" s="1">
        <v>26372.23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43658</v>
      </c>
      <c r="E17" s="21">
        <v>1.72</v>
      </c>
      <c r="F17" s="20">
        <v>8557.7999999999993</v>
      </c>
      <c r="G17" s="1">
        <v>14719.41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43657</v>
      </c>
      <c r="E18" s="21">
        <v>0.45800000000000002</v>
      </c>
      <c r="F18" s="20">
        <v>37267.449999999997</v>
      </c>
      <c r="G18" s="1">
        <v>17068.490000000002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43658</v>
      </c>
      <c r="E19" s="21">
        <v>1.0878000000000001</v>
      </c>
      <c r="F19" s="20">
        <v>32370.29</v>
      </c>
      <c r="G19" s="1">
        <v>35212.400000000001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43658</v>
      </c>
      <c r="E20" s="21">
        <v>1.3036000000000001</v>
      </c>
      <c r="F20" s="20">
        <v>5328.62</v>
      </c>
      <c r="G20" s="1">
        <v>6946.38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C4" sqref="C4"/>
    </sheetView>
  </sheetViews>
  <sheetFormatPr defaultRowHeight="14.25"/>
  <cols>
    <col min="1" max="1" width="7.5" bestFit="1" customWidth="1"/>
    <col min="2" max="2" width="27.625" bestFit="1" customWidth="1"/>
    <col min="3" max="4" width="9.87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7946.1</v>
      </c>
    </row>
    <row r="3" spans="1:12">
      <c r="A3" s="142">
        <v>510300</v>
      </c>
      <c r="B3" s="143" t="s">
        <v>113</v>
      </c>
      <c r="C3" s="144">
        <v>35080.5</v>
      </c>
    </row>
    <row r="4" spans="1:12">
      <c r="A4" s="142">
        <v>510500</v>
      </c>
      <c r="B4" s="143" t="s">
        <v>18</v>
      </c>
      <c r="C4" s="144">
        <v>158862.9</v>
      </c>
    </row>
    <row r="5" spans="1:12">
      <c r="A5" s="142">
        <v>512100</v>
      </c>
      <c r="B5" s="143" t="s">
        <v>19</v>
      </c>
      <c r="C5" s="144">
        <v>41148</v>
      </c>
    </row>
    <row r="6" spans="1:12">
      <c r="A6" s="142">
        <v>512580</v>
      </c>
      <c r="B6" s="143" t="s">
        <v>20</v>
      </c>
      <c r="C6" s="144">
        <v>24606.400000000001</v>
      </c>
    </row>
    <row r="7" spans="1:12">
      <c r="A7" s="142">
        <v>512880</v>
      </c>
      <c r="B7" s="143" t="s">
        <v>22</v>
      </c>
      <c r="C7" s="144">
        <v>31653.599999999999</v>
      </c>
    </row>
    <row r="8" spans="1:12">
      <c r="A8" s="142">
        <v>512980</v>
      </c>
      <c r="B8" s="143" t="s">
        <v>23</v>
      </c>
      <c r="C8" s="144">
        <v>24006.400000000001</v>
      </c>
    </row>
    <row r="9" spans="1:12">
      <c r="A9" s="142">
        <v>518880</v>
      </c>
      <c r="B9" s="143" t="s">
        <v>21</v>
      </c>
      <c r="C9" s="144">
        <v>13999.5</v>
      </c>
    </row>
    <row r="10" spans="1:12">
      <c r="A10" s="142">
        <v>159915</v>
      </c>
      <c r="B10" s="143" t="s">
        <v>114</v>
      </c>
      <c r="C10" s="144">
        <v>13478</v>
      </c>
    </row>
    <row r="11" spans="1:12">
      <c r="A11" s="142">
        <v>159938</v>
      </c>
      <c r="B11" s="143" t="s">
        <v>17</v>
      </c>
      <c r="C11" s="144">
        <v>17928</v>
      </c>
    </row>
    <row r="12" spans="1:12">
      <c r="A12" s="145">
        <v>1666</v>
      </c>
      <c r="B12" s="146" t="s">
        <v>7596</v>
      </c>
      <c r="C12" s="147">
        <v>46305.97</v>
      </c>
    </row>
    <row r="13" spans="1:12">
      <c r="A13" s="145">
        <v>3474</v>
      </c>
      <c r="B13" s="146" t="s">
        <v>7599</v>
      </c>
      <c r="C13" s="147">
        <v>32214.53</v>
      </c>
    </row>
    <row r="14" spans="1:12">
      <c r="A14" s="145">
        <v>968</v>
      </c>
      <c r="B14" s="146" t="s">
        <v>5</v>
      </c>
      <c r="C14" s="147">
        <v>58626.66</v>
      </c>
    </row>
    <row r="15" spans="1:12">
      <c r="A15" s="145">
        <v>110026</v>
      </c>
      <c r="B15" s="146" t="s">
        <v>7602</v>
      </c>
      <c r="C15" s="147">
        <v>7578.13</v>
      </c>
    </row>
    <row r="16" spans="1:12">
      <c r="A16" s="145">
        <v>164906</v>
      </c>
      <c r="B16" s="146" t="s">
        <v>7603</v>
      </c>
      <c r="C16" s="147">
        <v>19714.7</v>
      </c>
    </row>
    <row r="17" spans="1:3">
      <c r="A17" s="145">
        <v>71</v>
      </c>
      <c r="B17" s="146" t="s">
        <v>7605</v>
      </c>
      <c r="C17" s="147">
        <v>6861.77</v>
      </c>
    </row>
    <row r="18" spans="1:3">
      <c r="A18" s="145">
        <v>614</v>
      </c>
      <c r="B18" s="146" t="s">
        <v>3</v>
      </c>
      <c r="C18" s="147">
        <v>23451.22</v>
      </c>
    </row>
    <row r="19" spans="1:3">
      <c r="A19" s="145">
        <v>1061</v>
      </c>
      <c r="B19" s="146" t="s">
        <v>7607</v>
      </c>
      <c r="C19" s="147">
        <v>7309.55</v>
      </c>
    </row>
    <row r="20" spans="1:3">
      <c r="A20" s="145">
        <v>1064</v>
      </c>
      <c r="B20" s="146" t="s">
        <v>7608</v>
      </c>
      <c r="C20" s="147">
        <v>7327.92</v>
      </c>
    </row>
    <row r="21" spans="1:3">
      <c r="A21" s="145">
        <v>1180</v>
      </c>
      <c r="B21" s="146" t="s">
        <v>2</v>
      </c>
      <c r="C21" s="147">
        <v>31925.98</v>
      </c>
    </row>
    <row r="22" spans="1:3">
      <c r="A22" s="145">
        <v>1469</v>
      </c>
      <c r="B22" s="146" t="s">
        <v>7609</v>
      </c>
      <c r="C22" s="147">
        <v>22806.25</v>
      </c>
    </row>
    <row r="23" spans="1:3">
      <c r="A23" s="145">
        <v>4752</v>
      </c>
      <c r="B23" s="146" t="s">
        <v>7610</v>
      </c>
      <c r="C23" s="147">
        <v>5573.26</v>
      </c>
    </row>
    <row r="24" spans="1:3">
      <c r="A24" s="145">
        <v>100032</v>
      </c>
      <c r="B24" s="146" t="s">
        <v>4</v>
      </c>
      <c r="C24" s="147">
        <v>72416.59</v>
      </c>
    </row>
    <row r="25" spans="1:3">
      <c r="A25" s="145">
        <v>100038</v>
      </c>
      <c r="B25" s="146" t="s">
        <v>7611</v>
      </c>
      <c r="C25" s="147">
        <v>22942.81</v>
      </c>
    </row>
    <row r="26" spans="1:3">
      <c r="A26" s="145">
        <v>110027</v>
      </c>
      <c r="B26" s="146" t="s">
        <v>7612</v>
      </c>
      <c r="C26" s="147">
        <v>26372.23</v>
      </c>
    </row>
    <row r="27" spans="1:3">
      <c r="A27" s="145">
        <v>161017</v>
      </c>
      <c r="B27" s="146" t="s">
        <v>7614</v>
      </c>
      <c r="C27" s="147">
        <v>14719.41</v>
      </c>
    </row>
    <row r="28" spans="1:3">
      <c r="A28" s="145">
        <v>162411</v>
      </c>
      <c r="B28" s="146" t="s">
        <v>7615</v>
      </c>
      <c r="C28" s="147">
        <v>17068.490000000002</v>
      </c>
    </row>
    <row r="29" spans="1:3">
      <c r="A29" s="145">
        <v>340001</v>
      </c>
      <c r="B29" s="146" t="s">
        <v>7616</v>
      </c>
      <c r="C29" s="147">
        <v>35212.400000000001</v>
      </c>
    </row>
    <row r="30" spans="1:3">
      <c r="A30" s="145">
        <v>519977</v>
      </c>
      <c r="B30" s="146" t="s">
        <v>7618</v>
      </c>
      <c r="C30" s="147">
        <v>6946.38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0.23263318749999998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5.7593512499999999E-2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1.7488762500000001E-2</v>
      </c>
    </row>
    <row r="22" spans="1:30">
      <c r="A22" s="102" t="s">
        <v>7429</v>
      </c>
      <c r="B22" s="34">
        <f>资产配置情况!B57/资产配置情况!$K$4</f>
        <v>0.08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0.23263318749999998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0.16500318026010827</v>
      </c>
    </row>
    <row r="39" spans="1:16">
      <c r="A39" s="96" t="str">
        <f t="shared" ref="A39:B39" si="21">A6</f>
        <v>中证1000</v>
      </c>
      <c r="B39" s="104">
        <f t="shared" si="21"/>
        <v>5.7593512499999999E-2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3.9438921987538782E-2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1.7488762500000001E-2</v>
      </c>
      <c r="L54" s="105"/>
      <c r="M54" s="105"/>
      <c r="N54" s="105"/>
      <c r="O54" s="105"/>
      <c r="P54" s="106">
        <f t="shared" si="42"/>
        <v>1.7488762500000001E-2</v>
      </c>
    </row>
    <row r="55" spans="1:16">
      <c r="A55" s="102" t="str">
        <f t="shared" ref="A55:B55" si="48">A22</f>
        <v>美元债</v>
      </c>
      <c r="B55" s="104">
        <f t="shared" si="48"/>
        <v>0.08</v>
      </c>
      <c r="L55" s="105"/>
      <c r="M55" s="105"/>
      <c r="N55" s="105"/>
      <c r="O55" s="105"/>
      <c r="P55" s="106">
        <f t="shared" si="42"/>
        <v>0.08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0.9637173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0.77614346636521858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0.23263318749999998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0.67093914616419525</v>
      </c>
    </row>
    <row r="64" spans="1:16">
      <c r="A64" s="96" t="str">
        <f t="shared" ref="A64:B64" si="66">A39</f>
        <v>中证1000</v>
      </c>
      <c r="B64" s="104">
        <f t="shared" si="66"/>
        <v>5.7593512499999999E-2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0.16873916982071324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1.7488762500000001E-2</v>
      </c>
      <c r="L79" s="105"/>
      <c r="M79" s="105"/>
      <c r="N79" s="105"/>
      <c r="O79" s="105"/>
      <c r="P79" s="106">
        <f t="shared" si="87"/>
        <v>1.7488762500000001E-2</v>
      </c>
    </row>
    <row r="80" spans="1:16">
      <c r="A80" s="102" t="str">
        <f t="shared" ref="A80:B80" si="93">A55</f>
        <v>美元债</v>
      </c>
      <c r="B80" s="104">
        <f t="shared" si="93"/>
        <v>0.08</v>
      </c>
      <c r="L80" s="105"/>
      <c r="M80" s="105"/>
      <c r="N80" s="105"/>
      <c r="O80" s="105"/>
      <c r="P80" s="106">
        <f t="shared" si="87"/>
        <v>0.08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0.9637173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2.4260135706477883</v>
      </c>
    </row>
    <row r="83" spans="1:16">
      <c r="P83" s="105" t="s">
        <v>7530</v>
      </c>
    </row>
    <row r="84" spans="1:16">
      <c r="P84" s="111">
        <f>P82*0.7</f>
        <v>1.6982094994534518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8.5630529172320227</v>
      </c>
      <c r="E2" s="83">
        <v>14.95</v>
      </c>
      <c r="F2" s="34">
        <f t="shared" ref="F2:F15" si="0">$E2*$K$4/$D2-1</f>
        <v>-0.47623820110062332</v>
      </c>
      <c r="G2" s="34">
        <f t="shared" ref="G2:G15" si="1">$E2*$K$6/$D2-1</f>
        <v>-0.12706366850103878</v>
      </c>
      <c r="H2" s="34">
        <f t="shared" ref="H2:H15" si="2">$E2*$K$8/$D2-1</f>
        <v>0.22211086409854541</v>
      </c>
      <c r="I2" s="34">
        <f t="shared" ref="I2:I15" si="3">$E2*$K$10/$D2-1</f>
        <v>0.74587266299792243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11.744148696284807</v>
      </c>
      <c r="E3" s="35">
        <v>19</v>
      </c>
      <c r="F3" s="34">
        <f t="shared" si="0"/>
        <v>-0.51465192178610941</v>
      </c>
      <c r="G3" s="34">
        <f t="shared" si="1"/>
        <v>-0.19108653631018224</v>
      </c>
      <c r="H3" s="34">
        <f t="shared" si="2"/>
        <v>0.13247884916574471</v>
      </c>
      <c r="I3" s="34">
        <f t="shared" si="3"/>
        <v>0.61782692737963552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0.23263318749999998</v>
      </c>
      <c r="C4" s="34">
        <f>交易明细!X19</f>
        <v>7.8E-2</v>
      </c>
      <c r="D4" s="35">
        <f>交易明细!Y19</f>
        <v>25.415394378273209</v>
      </c>
      <c r="E4" s="35">
        <v>83.24</v>
      </c>
      <c r="F4" s="34">
        <f t="shared" si="0"/>
        <v>-1.7445898012594108E-2</v>
      </c>
      <c r="G4" s="34">
        <f t="shared" si="1"/>
        <v>0.63759016997900986</v>
      </c>
      <c r="H4" s="34">
        <f t="shared" si="2"/>
        <v>1.2926262379706137</v>
      </c>
      <c r="I4" s="34">
        <f t="shared" si="3"/>
        <v>2.2751803399580197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5.7593512499999999E-2</v>
      </c>
      <c r="C5" s="34">
        <f>交易明细!X21</f>
        <v>5.8400000000000001E-2</v>
      </c>
      <c r="D5" s="35">
        <f>交易明细!Y21</f>
        <v>38.309775726299321</v>
      </c>
      <c r="E5" s="35">
        <v>144.82</v>
      </c>
      <c r="F5" s="34">
        <f t="shared" si="0"/>
        <v>0.13407085205603808</v>
      </c>
      <c r="G5" s="34">
        <f t="shared" si="1"/>
        <v>0.89011808676006354</v>
      </c>
      <c r="H5" s="34">
        <f t="shared" si="2"/>
        <v>1.646165321464089</v>
      </c>
      <c r="I5" s="34">
        <f t="shared" si="3"/>
        <v>2.7802361735201271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47.848488007697775</v>
      </c>
      <c r="E6" s="35">
        <v>137.86000000000001</v>
      </c>
      <c r="F6" s="34">
        <f t="shared" si="0"/>
        <v>-0.13564666884883791</v>
      </c>
      <c r="G6" s="34">
        <f t="shared" si="1"/>
        <v>0.44058888525193685</v>
      </c>
      <c r="H6" s="34">
        <f t="shared" si="2"/>
        <v>1.0168244393527117</v>
      </c>
      <c r="I6" s="34">
        <f t="shared" si="3"/>
        <v>1.8811777705038737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10.145214999176531</v>
      </c>
      <c r="E7" s="35">
        <v>21.73</v>
      </c>
      <c r="F7" s="34">
        <f t="shared" si="0"/>
        <v>-0.35743106474045783</v>
      </c>
      <c r="G7" s="34">
        <f t="shared" si="1"/>
        <v>7.0948225432570178E-2</v>
      </c>
      <c r="H7" s="34">
        <f t="shared" si="2"/>
        <v>0.49932751560559807</v>
      </c>
      <c r="I7" s="34">
        <f t="shared" si="3"/>
        <v>1.1418964508651404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23.759422948359827</v>
      </c>
      <c r="E8" s="35">
        <v>52.47</v>
      </c>
      <c r="F8" s="34">
        <f t="shared" si="0"/>
        <v>-0.33748390968027953</v>
      </c>
      <c r="G8" s="34">
        <f t="shared" si="1"/>
        <v>0.10419348386620086</v>
      </c>
      <c r="H8" s="34">
        <f t="shared" si="2"/>
        <v>0.54587087741268125</v>
      </c>
      <c r="I8" s="34">
        <f t="shared" si="3"/>
        <v>1.2083869677324017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29.044416543209845</v>
      </c>
      <c r="E9" s="35">
        <v>74.42</v>
      </c>
      <c r="F9" s="34">
        <f t="shared" si="0"/>
        <v>-0.23131525238989559</v>
      </c>
      <c r="G9" s="34">
        <f t="shared" si="1"/>
        <v>0.28114124601684076</v>
      </c>
      <c r="H9" s="34">
        <f t="shared" si="2"/>
        <v>0.79359774442357689</v>
      </c>
      <c r="I9" s="34">
        <f t="shared" si="3"/>
        <v>1.5622824920336815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38.907211835907241</v>
      </c>
      <c r="E10" s="35">
        <v>121.16</v>
      </c>
      <c r="F10" s="34">
        <f t="shared" si="0"/>
        <v>-6.5777312614967665E-2</v>
      </c>
      <c r="G10" s="34">
        <f t="shared" si="1"/>
        <v>0.55703781230838723</v>
      </c>
      <c r="H10" s="34">
        <f t="shared" si="2"/>
        <v>1.1798529372317419</v>
      </c>
      <c r="I10" s="34">
        <f t="shared" si="3"/>
        <v>2.1140756246167745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32.096343277509618</v>
      </c>
      <c r="E11" s="35">
        <v>71.13</v>
      </c>
      <c r="F11" s="34">
        <f t="shared" si="0"/>
        <v>-0.33515790831684711</v>
      </c>
      <c r="G11" s="34">
        <f t="shared" si="1"/>
        <v>0.10807015280525478</v>
      </c>
      <c r="H11" s="34">
        <f t="shared" si="2"/>
        <v>0.55129821392735678</v>
      </c>
      <c r="I11" s="34">
        <f t="shared" si="3"/>
        <v>1.2161403056105096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54.995130729907501</v>
      </c>
      <c r="E12" s="35">
        <v>41.41</v>
      </c>
      <c r="F12" s="34">
        <f t="shared" si="0"/>
        <v>-0.77410727395099888</v>
      </c>
      <c r="G12" s="34">
        <f t="shared" si="1"/>
        <v>-0.62351212325166472</v>
      </c>
      <c r="H12" s="34">
        <f t="shared" si="2"/>
        <v>-0.47291697255233078</v>
      </c>
      <c r="I12" s="34">
        <f t="shared" si="3"/>
        <v>-0.24702424650332955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1.0112100965107647</v>
      </c>
      <c r="E13" s="35">
        <v>3.5</v>
      </c>
      <c r="F13" s="34">
        <f t="shared" si="0"/>
        <v>3.8359885470963917E-2</v>
      </c>
      <c r="G13" s="34">
        <f t="shared" si="1"/>
        <v>0.73059980911827327</v>
      </c>
      <c r="H13" s="34">
        <f t="shared" si="2"/>
        <v>1.4228397327655822</v>
      </c>
      <c r="I13" s="34">
        <f t="shared" si="3"/>
        <v>2.4611996182365465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1.3831587874119617</v>
      </c>
      <c r="E14" s="83">
        <v>5.04</v>
      </c>
      <c r="F14" s="34">
        <f t="shared" si="0"/>
        <v>9.3149979424353768E-2</v>
      </c>
      <c r="G14" s="34">
        <f t="shared" si="1"/>
        <v>0.82191663237392287</v>
      </c>
      <c r="H14" s="34">
        <f t="shared" si="2"/>
        <v>1.5506832853234918</v>
      </c>
      <c r="I14" s="34">
        <f t="shared" si="3"/>
        <v>2.6438332647478457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9.4649142416650598</v>
      </c>
      <c r="E15" s="35">
        <v>14.46</v>
      </c>
      <c r="F15" s="34">
        <f t="shared" si="0"/>
        <v>-0.54167572053596724</v>
      </c>
      <c r="G15" s="34">
        <f t="shared" si="1"/>
        <v>-0.23612620089327874</v>
      </c>
      <c r="H15" s="34">
        <f t="shared" si="2"/>
        <v>6.9423318749409546E-2</v>
      </c>
      <c r="I15" s="34">
        <f t="shared" si="3"/>
        <v>0.52774759821344253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9.6734442390634626E-2</v>
      </c>
      <c r="D17" s="35">
        <f>交易明细!Y34</f>
        <v>15.695997277059224</v>
      </c>
      <c r="E17" s="83">
        <v>24.7</v>
      </c>
      <c r="F17" s="34">
        <f>$E17*$K$4/$D17-1</f>
        <v>-0.5279051168777773</v>
      </c>
      <c r="G17" s="34">
        <f>$E17*$K$6/$D17-1</f>
        <v>-0.21317519479629554</v>
      </c>
      <c r="H17" s="34">
        <f>$E17*$K$8/$D17-1</f>
        <v>0.10155472728518622</v>
      </c>
      <c r="I17" s="34">
        <f>$E17*$K$10/$D17-1</f>
        <v>0.57364961040740892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0.08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6.9836574999999956E-2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0.31431231249999997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0.08</v>
      </c>
      <c r="H25" s="34">
        <f>SUM(B18:B18)</f>
        <v>2.4E-2</v>
      </c>
      <c r="I25" s="34">
        <f>SUM(B20:B21)</f>
        <v>7.626797499999996E-2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0.13031231249999997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4.0100000000000004E-2</v>
      </c>
      <c r="H27" s="89">
        <f t="shared" si="4"/>
        <v>-1.4999999999999979E-3</v>
      </c>
      <c r="I27" s="89">
        <f t="shared" si="4"/>
        <v>-6.3432025000000031E-2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-0.10287038230064069</v>
      </c>
      <c r="D30" s="34">
        <f>($B30/$D$2)^(1/$D$29)-1+$C$2*$K$2</f>
        <v>-3.0278047281397907E-2</v>
      </c>
      <c r="E30" s="34">
        <f>($B30/$D$2)^(1/$E$29)-1+$C$2*$K$2</f>
        <v>2.8010243888743347E-3</v>
      </c>
      <c r="F30" s="34">
        <f>($B30/$D$2)^(1/$F$29)-1+$C$2*$K$2</f>
        <v>2.8425033121003335E-2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-4.0318741436999053E-2</v>
      </c>
      <c r="K30" s="93">
        <f t="shared" si="5"/>
        <v>5.4922336938337236E-2</v>
      </c>
      <c r="L30" s="93">
        <f t="shared" si="5"/>
        <v>9.8453661437979734E-2</v>
      </c>
      <c r="M30" s="93">
        <f t="shared" si="5"/>
        <v>0.13222886222764668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4.676306502692032E-2</v>
      </c>
      <c r="D31" s="34">
        <f>($B31/$D$2)^(1/$D$29)-1+$C$2*$K$2</f>
        <v>6.4237481587376438E-2</v>
      </c>
      <c r="E31" s="34">
        <f>($B31/$D$2)^(1/$E$29)-1+$C$2*$K$2</f>
        <v>7.1823986740601004E-2</v>
      </c>
      <c r="F31" s="34">
        <f>($B31/$D$2)^(1/$F$29)-1+$C$2*$K$2</f>
        <v>7.7552651586591775E-2</v>
      </c>
      <c r="H31" s="83" t="s">
        <v>7503</v>
      </c>
      <c r="I31" s="92">
        <f>K6</f>
        <v>0.5</v>
      </c>
      <c r="J31" s="93">
        <f t="shared" si="5"/>
        <v>0.23380064102357986</v>
      </c>
      <c r="K31" s="93">
        <f t="shared" si="5"/>
        <v>0.22400909388068907</v>
      </c>
      <c r="L31" s="93">
        <f t="shared" si="5"/>
        <v>0.22075012175509404</v>
      </c>
      <c r="M31" s="93">
        <f t="shared" si="5"/>
        <v>0.21866498184627275</v>
      </c>
    </row>
    <row r="32" spans="1:16">
      <c r="B32" s="35">
        <f>E$2*$K$8</f>
        <v>10.464999999999998</v>
      </c>
      <c r="C32" s="34">
        <f>($B32/$D$2)^(1/$C$29)-1+$C$2*$K$2</f>
        <v>0.16019563764833458</v>
      </c>
      <c r="D32" s="34">
        <f>($B32/$D$2)^(1/$D$29)-1+$C$2*$K$2</f>
        <v>0.1319814278316073</v>
      </c>
      <c r="E32" s="34">
        <f>($B32/$D$2)^(1/$E$29)-1+$C$2*$K$2</f>
        <v>0.12011870747063549</v>
      </c>
      <c r="F32" s="34">
        <f>($B32/$D$2)^(1/$F$29)-1+$C$2*$K$2</f>
        <v>0.11131047058170754</v>
      </c>
      <c r="H32" s="83" t="s">
        <v>7504</v>
      </c>
      <c r="I32" s="92">
        <f>K8</f>
        <v>0.7</v>
      </c>
      <c r="J32" s="93">
        <f t="shared" si="5"/>
        <v>0.44160222090584489</v>
      </c>
      <c r="K32" s="93">
        <f t="shared" si="5"/>
        <v>0.34520192123943572</v>
      </c>
      <c r="L32" s="93">
        <f t="shared" si="5"/>
        <v>0.3063198103927629</v>
      </c>
      <c r="M32" s="93">
        <f t="shared" si="5"/>
        <v>0.27805916727314406</v>
      </c>
    </row>
    <row r="33" spans="1:13">
      <c r="B33" s="35">
        <f>E$2*$K$10</f>
        <v>14.95</v>
      </c>
      <c r="C33" s="34">
        <f>($B33/$D$2)^(1/$C$29)-1+$C$2*$K$2</f>
        <v>0.29517300828696447</v>
      </c>
      <c r="D33" s="34">
        <f>($B33/$D$2)^(1/$D$29)-1+$C$2*$K$2</f>
        <v>0.2089488592031267</v>
      </c>
      <c r="E33" s="34">
        <f>($B33/$D$2)^(1/$E$29)-1+$C$2*$K$2</f>
        <v>0.1739122740443563</v>
      </c>
      <c r="F33" s="34">
        <f>($B33/$D$2)^(1/$F$29)-1+$C$2*$K$2</f>
        <v>0.14835736269219582</v>
      </c>
      <c r="I33" s="92">
        <f>K10</f>
        <v>1</v>
      </c>
      <c r="J33" s="93">
        <f t="shared" si="5"/>
        <v>0.6888725615043465</v>
      </c>
      <c r="K33" s="93">
        <f t="shared" si="5"/>
        <v>0.48289541474844577</v>
      </c>
      <c r="L33" s="93">
        <f t="shared" si="5"/>
        <v>0.40163247962123011</v>
      </c>
      <c r="M33" s="93">
        <f t="shared" si="5"/>
        <v>0.34324021406464444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-0.12495428604136671</v>
      </c>
      <c r="D35" s="34">
        <f>($B35/$D$3)^(1/$D$29)-1+$C$3*$K$2</f>
        <v>-4.5437410173334247E-2</v>
      </c>
      <c r="E35" s="34">
        <f>($B35/$D$3)^(1/$E$29)-1+$C$3*$K$2</f>
        <v>-8.9414337240528718E-3</v>
      </c>
      <c r="F35" s="34">
        <f>($B35/$D$3)^(1/$F$29)-1+$C$3*$K$2</f>
        <v>1.9437108132254188E-2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2.0927760224762726E-2</v>
      </c>
      <c r="D36" s="34">
        <f>($B36/$D$3)^(1/$D$29)-1+$C$3*$K$2</f>
        <v>4.7649168356771243E-2</v>
      </c>
      <c r="E36" s="34">
        <f>($B36/$D$3)^(1/$E$29)-1+$C$3*$K$2</f>
        <v>5.933452514578319E-2</v>
      </c>
      <c r="F36" s="34">
        <f>($B36/$D$3)^(1/$F$29)-1+$C$3*$K$2</f>
        <v>6.8191939770079424E-2</v>
      </c>
    </row>
    <row r="37" spans="1:13">
      <c r="B37" s="35">
        <f>$E$3*$K$8</f>
        <v>13.299999999999999</v>
      </c>
      <c r="C37" s="34">
        <f>($B37/$D$3)^(1/$C$29)-1+$C$3*$K$2</f>
        <v>0.13151650961726102</v>
      </c>
      <c r="D37" s="34">
        <f>($B37/$D$3)^(1/$D$29)-1+$C$3*$K$2</f>
        <v>0.11436891533885896</v>
      </c>
      <c r="E37" s="34">
        <f>($B37/$D$3)^(1/$E$29)-1+$C$3*$K$2</f>
        <v>0.10710657453119432</v>
      </c>
      <c r="F37" s="34">
        <f>($B37/$D$3)^(1/$F$29)-1+$C$3*$K$2</f>
        <v>0.10169359999649341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0.26310991590482913</v>
      </c>
      <c r="D38" s="34">
        <f>($B38/$D$3)^(1/$D$29)-1+$C$3*$K$2</f>
        <v>0.19017270049857427</v>
      </c>
      <c r="E38" s="34">
        <f>($B38/$D$3)^(1/$E$29)-1+$C$3*$K$2</f>
        <v>0.16031795830422446</v>
      </c>
      <c r="F38" s="34">
        <f>($B38/$D$3)^(1/$F$29)-1+$C$3*$K$2</f>
        <v>0.1384593754190635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5.2650551327707795E-2</v>
      </c>
      <c r="D40" s="34">
        <f>($B40/$D$4)^(1/$D$29)-1+$C$4*$K$2</f>
        <v>5.4986213623036906E-2</v>
      </c>
      <c r="E40" s="34">
        <f>($B40/$D$4)^(1/$E$29)-1+$C$4*$K$2</f>
        <v>5.5988890820014681E-2</v>
      </c>
      <c r="F40" s="34">
        <f>($B40/$D$4)^(1/$F$29)-1+$C$4*$K$2</f>
        <v>5.6741560757233134E-2</v>
      </c>
    </row>
    <row r="41" spans="1:13">
      <c r="A41" s="82">
        <f>B4</f>
        <v>0.23263318749999998</v>
      </c>
      <c r="B41" s="83">
        <f>$E$4*$K$6</f>
        <v>41.62</v>
      </c>
      <c r="C41" s="34">
        <f>($B41/$D$4)^(1/$C$29)-1+$C$4*$K$2</f>
        <v>0.23719581322420957</v>
      </c>
      <c r="D41" s="34">
        <f>($B41/$D$4)^(1/$D$29)-1+$C$4*$K$2</f>
        <v>0.1621745917198012</v>
      </c>
      <c r="E41" s="34">
        <f>($B41/$D$4)^(1/$E$29)-1+$C$4*$K$2</f>
        <v>0.13150253030671966</v>
      </c>
      <c r="F41" s="34">
        <f>($B41/$D$4)^(1/$F$29)-1+$C$4*$K$2</f>
        <v>0.10905918049379837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0.3770939723315625</v>
      </c>
      <c r="D42" s="34">
        <f>($B42/$D$4)^(1/$D$29)-1+$C$4*$K$2</f>
        <v>0.23900179472762861</v>
      </c>
      <c r="E42" s="34">
        <f>($B42/$D$4)^(1/$E$29)-1+$C$4*$K$2</f>
        <v>0.18433871707794292</v>
      </c>
      <c r="F42" s="34">
        <f>($B42/$D$4)^(1/$F$29)-1+$C$4*$K$2</f>
        <v>0.1450089943151085</v>
      </c>
    </row>
    <row r="43" spans="1:13">
      <c r="B43" s="83">
        <f>$E$4*$K$10</f>
        <v>83.24</v>
      </c>
      <c r="C43" s="34">
        <f>($B43/$D$4)^(1/$C$29)-1+$C$4*$K$2</f>
        <v>0.54356366650413723</v>
      </c>
      <c r="D43" s="34">
        <f>($B43/$D$4)^(1/$D$29)-1+$C$4*$K$2</f>
        <v>0.32628918796055983</v>
      </c>
      <c r="E43" s="34">
        <f>($B43/$D$4)^(1/$E$29)-1+$C$4*$K$2</f>
        <v>0.24319084185711626</v>
      </c>
      <c r="F43" s="34">
        <f>($B43/$D$4)^(1/$F$29)-1+$C$4*$K$2</f>
        <v>0.18446145047712892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8.6629711147201582E-2</v>
      </c>
      <c r="D45" s="34">
        <f>($B45/$D$5)^(1/$D$29)-1+$C$5*$K$2</f>
        <v>6.9281990423440021E-2</v>
      </c>
      <c r="E45" s="34">
        <f>($B45/$D$5)^(1/$E$29)-1+$C$5*$K$2</f>
        <v>6.1935876615010814E-2</v>
      </c>
      <c r="F45" s="34">
        <f>($B45/$D$5)^(1/$F$29)-1+$C$5*$K$2</f>
        <v>5.6460846692237769E-2</v>
      </c>
      <c r="I45" s="94" t="s">
        <v>7524</v>
      </c>
    </row>
    <row r="46" spans="1:13">
      <c r="A46" s="82">
        <f>B5</f>
        <v>5.7593512499999999E-2</v>
      </c>
      <c r="B46" s="83">
        <f>$E$5*$K$6</f>
        <v>72.41</v>
      </c>
      <c r="C46" s="34">
        <f>($B46/$D$5)^(1/$C$29)-1+$C$5*$K$2</f>
        <v>0.28021133910092905</v>
      </c>
      <c r="D46" s="34">
        <f>($B46/$D$5)^(1/$D$29)-1+$C$5*$K$2</f>
        <v>0.17958933820026751</v>
      </c>
      <c r="E46" s="34">
        <f>($B46/$D$5)^(1/$E$29)-1+$C$5*$K$2</f>
        <v>0.1390125701428781</v>
      </c>
      <c r="F46" s="34">
        <f>($B46/$D$5)^(1/$F$29)-1+$C$5*$K$2</f>
        <v>0.10953417802014193</v>
      </c>
    </row>
    <row r="47" spans="1:13">
      <c r="B47" s="83">
        <f>$E$5*$K$8</f>
        <v>101.374</v>
      </c>
      <c r="C47" s="34">
        <f>($B47/$D$5)^(1/$C$29)-1+$C$5*$K$2</f>
        <v>0.42695969291626151</v>
      </c>
      <c r="D47" s="34">
        <f>($B47/$D$5)^(1/$D$29)-1+$C$5*$K$2</f>
        <v>0.25865206077691533</v>
      </c>
      <c r="E47" s="34">
        <f>($B47/$D$5)^(1/$E$29)-1+$C$5*$K$2</f>
        <v>0.19294241119713823</v>
      </c>
      <c r="F47" s="34">
        <f>($B47/$D$5)^(1/$F$29)-1+$C$5*$K$2</f>
        <v>0.14600327561521759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0.60158067246196867</v>
      </c>
      <c r="D48" s="34">
        <f>($B48/$D$5)^(1/$D$29)-1+$C$5*$K$2</f>
        <v>0.34847934441381828</v>
      </c>
      <c r="E48" s="34">
        <f>($B48/$D$5)^(1/$E$29)-1+$C$5*$K$2</f>
        <v>0.25301271393849628</v>
      </c>
      <c r="F48" s="34">
        <f>($B48/$D$5)^(1/$F$29)-1+$C$5*$K$2</f>
        <v>0.18602561011991775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2.0670446412798874E-2</v>
      </c>
      <c r="D50" s="34">
        <f>($B50/$D$6)^(1/$D$29)-1+$C$6*$K$2</f>
        <v>3.9366169663583153E-2</v>
      </c>
      <c r="E50" s="34">
        <f>($B50/$D$6)^(1/$E$29)-1+$C$6*$K$2</f>
        <v>4.7490532369878505E-2</v>
      </c>
      <c r="F50" s="34">
        <f>($B50/$D$6)^(1/$F$29)-1+$C$6*$K$2</f>
        <v>5.3628370806027628E-2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0.19749714763359821</v>
      </c>
      <c r="D51" s="34">
        <f>($B51/$D$6)^(1/$D$29)-1+$C$6*$K$2</f>
        <v>0.14384171985506783</v>
      </c>
      <c r="E51" s="34">
        <f>($B51/$D$6)^(1/$E$29)-1+$C$6*$K$2</f>
        <v>0.12163405843689286</v>
      </c>
      <c r="F51" s="34">
        <f>($B51/$D$6)^(1/$F$29)-1+$C$6*$K$2</f>
        <v>0.10527969506497188</v>
      </c>
    </row>
    <row r="52" spans="1:6">
      <c r="B52" s="83">
        <f>$E$6*$K$8</f>
        <v>96.50200000000001</v>
      </c>
      <c r="C52" s="34">
        <f>($B52/$D$6)^(1/$C$29)-1+$C$6*$K$2</f>
        <v>0.33154410027597708</v>
      </c>
      <c r="D52" s="34">
        <f>($B52/$D$6)^(1/$D$29)-1+$C$6*$K$2</f>
        <v>0.21872450515731096</v>
      </c>
      <c r="E52" s="34">
        <f>($B52/$D$6)^(1/$E$29)-1+$C$6*$K$2</f>
        <v>0.17351158967207531</v>
      </c>
      <c r="F52" s="34">
        <f>($B52/$D$6)^(1/$F$29)-1+$C$6*$K$2</f>
        <v>0.14077166698729909</v>
      </c>
    </row>
    <row r="53" spans="1:6">
      <c r="B53" s="83">
        <f>$E$6*$K$10</f>
        <v>137.86000000000001</v>
      </c>
      <c r="C53" s="34">
        <f>($B53/$D$6)^(1/$C$29)-1+$C$6*$K$2</f>
        <v>0.49105123999479811</v>
      </c>
      <c r="D53" s="34">
        <f>($B53/$D$6)^(1/$D$29)-1+$C$6*$K$2</f>
        <v>0.30380274399919788</v>
      </c>
      <c r="E53" s="34">
        <f>($B53/$D$6)^(1/$E$29)-1+$C$6*$K$2</f>
        <v>0.23129590621838697</v>
      </c>
      <c r="F53" s="34">
        <f>($B53/$D$6)^(1/$F$29)-1+$C$6*$K$2</f>
        <v>0.17972167305212156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-3.9949620970324631E-2</v>
      </c>
      <c r="D55" s="34">
        <f>($B55/$D$7)^(1/$D$29)-1+$C$7*$K$2</f>
        <v>1.246816971859542E-2</v>
      </c>
      <c r="E55" s="34">
        <f>($B55/$D$7)^(1/$E$29)-1+$C$7*$K$2</f>
        <v>3.5896639186710586E-2</v>
      </c>
      <c r="F55" s="34">
        <f>($B55/$D$7)^(1/$F$29)-1+$C$7*$K$2</f>
        <v>5.3860684355190855E-2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0.1202361676484006</v>
      </c>
      <c r="D56" s="34">
        <f>($B56/$D$7)^(1/$D$29)-1+$C$7*$K$2</f>
        <v>0.11092828730252356</v>
      </c>
      <c r="E56" s="34">
        <f>($B56/$D$7)^(1/$E$29)-1+$C$7*$K$2</f>
        <v>0.10696516313148484</v>
      </c>
      <c r="F56" s="34">
        <f>($B56/$D$7)^(1/$F$29)-1+$C$7*$K$2</f>
        <v>0.10400299027614245</v>
      </c>
    </row>
    <row r="57" spans="1:6">
      <c r="B57" s="83">
        <f>$E$7*$K$8</f>
        <v>15.210999999999999</v>
      </c>
      <c r="C57" s="34">
        <f>($B57/$D$7)^(1/$C$29)-1+$C$7*$K$2</f>
        <v>0.24166814976825191</v>
      </c>
      <c r="D57" s="34">
        <f>($B57/$D$7)^(1/$D$29)-1+$C$7*$K$2</f>
        <v>0.18149951504296202</v>
      </c>
      <c r="E57" s="34">
        <f>($B57/$D$7)^(1/$E$29)-1+$C$7*$K$2</f>
        <v>0.15669114416253194</v>
      </c>
      <c r="F57" s="34">
        <f>($B57/$D$7)^(1/$F$29)-1+$C$7*$K$2</f>
        <v>0.13845804712899723</v>
      </c>
    </row>
    <row r="58" spans="1:6">
      <c r="B58" s="83">
        <f>$E$7*$K$10</f>
        <v>21.73</v>
      </c>
      <c r="C58" s="34">
        <f>($B58/$D$7)^(1/$C$29)-1+$C$7*$K$2</f>
        <v>0.38616429650274242</v>
      </c>
      <c r="D58" s="34">
        <f>($B58/$D$7)^(1/$D$29)-1+$C$7*$K$2</f>
        <v>0.26167916841499517</v>
      </c>
      <c r="E58" s="34">
        <f>($B58/$D$7)^(1/$E$29)-1+$C$7*$K$2</f>
        <v>0.21207893460012428</v>
      </c>
      <c r="F58" s="34">
        <f>($B58/$D$7)^(1/$F$29)-1+$C$7*$K$2</f>
        <v>0.17627010998984527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-2.3761241892982871E-2</v>
      </c>
      <c r="D60" s="34">
        <f>($B60/$D$8)^(1/$D$29)-1+$C$8*$K$2</f>
        <v>2.5431857593011836E-2</v>
      </c>
      <c r="E60" s="34">
        <f>($B60/$D$8)^(1/$E$29)-1+$C$8*$K$2</f>
        <v>4.7355454078468667E-2</v>
      </c>
      <c r="F60" s="34">
        <f>($B60/$D$8)^(1/$F$29)-1+$C$8*$K$2</f>
        <v>6.4139971535906365E-2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0.13806522476931474</v>
      </c>
      <c r="D61" s="34">
        <f>($B61/$D$8)^(1/$D$29)-1+$C$8*$K$2</f>
        <v>0.12449581905372833</v>
      </c>
      <c r="E61" s="34">
        <f>($B61/$D$8)^(1/$E$29)-1+$C$8*$K$2</f>
        <v>0.11873503067687077</v>
      </c>
      <c r="F61" s="34">
        <f>($B61/$D$8)^(1/$F$29)-1+$C$8*$K$2</f>
        <v>0.11443580075106299</v>
      </c>
    </row>
    <row r="62" spans="1:6">
      <c r="B62" s="83">
        <f>$E$8*$K$8</f>
        <v>36.728999999999999</v>
      </c>
      <c r="C62" s="34">
        <f>($B62/$D$8)^(1/$C$29)-1+$C$8*$K$2</f>
        <v>0.26074095509285777</v>
      </c>
      <c r="D62" s="34">
        <f>($B62/$D$8)^(1/$D$29)-1+$C$8*$K$2</f>
        <v>0.19549985151545082</v>
      </c>
      <c r="E62" s="34">
        <f>($B62/$D$8)^(1/$E$29)-1+$C$8*$K$2</f>
        <v>0.16867865233833226</v>
      </c>
      <c r="F62" s="34">
        <f>($B62/$D$8)^(1/$F$29)-1+$C$8*$K$2</f>
        <v>0.14899635043542828</v>
      </c>
    </row>
    <row r="63" spans="1:6">
      <c r="B63" s="83">
        <f>$E$8*$K$10</f>
        <v>52.47</v>
      </c>
      <c r="C63" s="34">
        <f>($B63/$D$8)^(1/$C$29)-1+$C$8*$K$2</f>
        <v>0.40671708115243288</v>
      </c>
      <c r="D63" s="34">
        <f>($B63/$D$8)^(1/$D$29)-1+$C$8*$K$2</f>
        <v>0.2761712369097461</v>
      </c>
      <c r="E63" s="34">
        <f>($B63/$D$8)^(1/$E$29)-1+$C$8*$K$2</f>
        <v>0.22430886400881214</v>
      </c>
      <c r="F63" s="34">
        <f>($B63/$D$8)^(1/$F$29)-1+$C$8*$K$2</f>
        <v>0.18692418444689399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-4.1565200197586222E-3</v>
      </c>
      <c r="D65" s="34">
        <f>($B65/$D$9)^(1/$D$29)-1+$C$9*$K$2</f>
        <v>2.8545333440368928E-2</v>
      </c>
      <c r="E65" s="34">
        <f>($B65/$D$9)^(1/$E$29)-1+$C$9*$K$2</f>
        <v>4.2915391600970923E-2</v>
      </c>
      <c r="F65" s="34">
        <f>($B65/$D$9)^(1/$F$29)-1+$C$9*$K$2</f>
        <v>5.3835591464895596E-2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0.16588964018783259</v>
      </c>
      <c r="D66" s="34">
        <f>($B66/$D$9)^(1/$D$29)-1+$C$9*$K$2</f>
        <v>0.13059839963242903</v>
      </c>
      <c r="E66" s="34">
        <f>($B66/$D$9)^(1/$E$29)-1+$C$9*$K$2</f>
        <v>0.11582682864531137</v>
      </c>
      <c r="F66" s="34">
        <f>($B66/$D$9)^(1/$F$29)-1+$C$9*$K$2</f>
        <v>0.10488458169676375</v>
      </c>
    </row>
    <row r="67" spans="1:6">
      <c r="B67" s="83">
        <f>$E$9*$K$8</f>
        <v>52.094000000000001</v>
      </c>
      <c r="C67" s="34">
        <f>($B67/$D$9)^(1/$C$29)-1+$C$9*$K$2</f>
        <v>0.2947964705872913</v>
      </c>
      <c r="D67" s="34">
        <f>($B67/$D$9)^(1/$D$29)-1+$C$9*$K$2</f>
        <v>0.20374487104214334</v>
      </c>
      <c r="E67" s="34">
        <f>($B67/$D$9)^(1/$E$29)-1+$C$9*$K$2</f>
        <v>0.16684227872319168</v>
      </c>
      <c r="F67" s="34">
        <f>($B67/$D$9)^(1/$F$29)-1+$C$9*$K$2</f>
        <v>0.13996266253917067</v>
      </c>
    </row>
    <row r="68" spans="1:6">
      <c r="B68" s="83">
        <f>$E$9*$K$10</f>
        <v>74.42</v>
      </c>
      <c r="C68" s="34">
        <f>($B68/$D$9)^(1/$C$29)-1+$C$9*$K$2</f>
        <v>0.44818719974539889</v>
      </c>
      <c r="D68" s="34">
        <f>($B68/$D$9)^(1/$D$29)-1+$C$9*$K$2</f>
        <v>0.28685039309128813</v>
      </c>
      <c r="E68" s="34">
        <f>($B68/$D$9)^(1/$E$29)-1+$C$9*$K$2</f>
        <v>0.22366635739202401</v>
      </c>
      <c r="F68" s="34">
        <f>($B68/$D$9)^(1/$F$29)-1+$C$9*$K$2</f>
        <v>0.17845845151770801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3.6525112526217207E-2</v>
      </c>
      <c r="D70" s="34">
        <f>($B70/$D$10)^(1/$D$29)-1+$C$10*$K$2</f>
        <v>4.5434082309728507E-2</v>
      </c>
      <c r="E70" s="34">
        <f>($B70/$D$10)^(1/$E$29)-1+$C$10*$K$2</f>
        <v>4.9277023439834255E-2</v>
      </c>
      <c r="F70" s="34">
        <f>($B70/$D$10)^(1/$F$29)-1+$C$10*$K$2</f>
        <v>5.2169050516918281E-2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0.2179934574602071</v>
      </c>
      <c r="D71" s="34">
        <f>($B71/$D$10)^(1/$D$29)-1+$C$10*$K$2</f>
        <v>0.1515465677164311</v>
      </c>
      <c r="E71" s="34">
        <f>($B71/$D$10)^(1/$E$29)-1+$C$10*$K$2</f>
        <v>0.12424848278160144</v>
      </c>
      <c r="F71" s="34">
        <f>($B71/$D$10)^(1/$F$29)-1+$C$10*$K$2</f>
        <v>0.10422344160101521</v>
      </c>
    </row>
    <row r="72" spans="1:6">
      <c r="B72" s="83">
        <f>$E$10*$K$8</f>
        <v>84.811999999999998</v>
      </c>
      <c r="C72" s="34">
        <f>($B72/$D$10)^(1/$C$29)-1+$C$10*$K$2</f>
        <v>0.35555909925252344</v>
      </c>
      <c r="D72" s="34">
        <f>($B72/$D$10)^(1/$D$29)-1+$C$10*$K$2</f>
        <v>0.22760262531109249</v>
      </c>
      <c r="E72" s="34">
        <f>($B72/$D$10)^(1/$E$29)-1+$C$10*$K$2</f>
        <v>0.17670531118000227</v>
      </c>
      <c r="F72" s="34">
        <f>($B72/$D$10)^(1/$F$29)-1+$C$10*$K$2</f>
        <v>0.13999237905416656</v>
      </c>
    </row>
    <row r="73" spans="1:6">
      <c r="B73" s="83">
        <f>$E$10*$K$10</f>
        <v>121.16</v>
      </c>
      <c r="C73" s="34">
        <f>($B73/$D$10)^(1/$C$29)-1+$C$10*$K$2</f>
        <v>0.51925324979704812</v>
      </c>
      <c r="D73" s="34">
        <f>($B73/$D$10)^(1/$D$29)-1+$C$10*$K$2</f>
        <v>0.31401388001127101</v>
      </c>
      <c r="E73" s="34">
        <f>($B73/$D$10)^(1/$E$29)-1+$C$10*$K$2</f>
        <v>0.23513488377178854</v>
      </c>
      <c r="F73" s="34">
        <f>($B73/$D$10)^(1/$F$29)-1+$C$10*$K$2</f>
        <v>0.17924633580194799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-5.2217219955688676E-2</v>
      </c>
      <c r="D75" s="34">
        <f>($B75/$D$11)^(1/$D$29)-1+$C$11*$K$2</f>
        <v>-3.3973784933595819E-3</v>
      </c>
      <c r="E75" s="34">
        <f>($B75/$D$11)^(1/$E$29)-1+$C$11*$K$2</f>
        <v>1.8352647129065314E-2</v>
      </c>
      <c r="F75" s="34">
        <f>($B75/$D$11)^(1/$F$29)-1+$C$11*$K$2</f>
        <v>3.5001365367070936E-2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0.10979840887127806</v>
      </c>
      <c r="D76" s="34">
        <f>($B76/$D$11)^(1/$D$29)-1+$C$11*$K$2</f>
        <v>9.5736045430147521E-2</v>
      </c>
      <c r="E76" s="34">
        <f>($B76/$D$11)^(1/$E$29)-1+$C$11*$K$2</f>
        <v>8.9767970507325157E-2</v>
      </c>
      <c r="F76" s="34">
        <f>($B76/$D$11)^(1/$F$29)-1+$C$11*$K$2</f>
        <v>8.5314824908626019E-2</v>
      </c>
    </row>
    <row r="77" spans="1:6">
      <c r="B77" s="35">
        <f>$E$11*$K$8</f>
        <v>49.790999999999997</v>
      </c>
      <c r="C77" s="34">
        <f>($B77/$D$11)^(1/$C$29)-1+$C$11*$K$2</f>
        <v>0.23261753728772266</v>
      </c>
      <c r="D77" s="34">
        <f>($B77/$D$11)^(1/$D$29)-1+$C$11*$K$2</f>
        <v>0.16678986506866106</v>
      </c>
      <c r="E77" s="34">
        <f>($B77/$D$11)^(1/$E$29)-1+$C$11*$K$2</f>
        <v>0.13973660385607772</v>
      </c>
      <c r="F77" s="34">
        <f>($B77/$D$11)^(1/$F$29)-1+$C$11*$K$2</f>
        <v>0.11988748919137754</v>
      </c>
    </row>
    <row r="78" spans="1:6">
      <c r="A78" s="82"/>
      <c r="B78" s="35">
        <f>$E$11*$K$10</f>
        <v>71.13</v>
      </c>
      <c r="C78" s="34">
        <f>($B78/$D$11)^(1/$C$29)-1+$C$11*$K$2</f>
        <v>0.37876429773464487</v>
      </c>
      <c r="D78" s="34">
        <f>($B78/$D$11)^(1/$D$29)-1+$C$11*$K$2</f>
        <v>0.24751781627178931</v>
      </c>
      <c r="E78" s="34">
        <f>($B78/$D$11)^(1/$E$29)-1+$C$11*$K$2</f>
        <v>0.19539467504919422</v>
      </c>
      <c r="F78" s="34">
        <f>($B78/$D$11)^(1/$F$29)-1+$C$11*$K$2</f>
        <v>0.15782861814406673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-0.25035145602745179</v>
      </c>
      <c r="D80" s="34">
        <f>($B80/$D$12)^(1/$D$29)-1+$C$12*$K$2</f>
        <v>-0.11673138874766031</v>
      </c>
      <c r="E80" s="34">
        <f>($B80/$D$12)^(1/$E$29)-1+$C$12*$K$2</f>
        <v>-5.0837214001608011E-2</v>
      </c>
      <c r="F80" s="34">
        <f>($B80/$D$12)^(1/$F$29)-1+$C$12*$K$2</f>
        <v>2.3927246522635892E-3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-0.1372977447224113</v>
      </c>
      <c r="D81" s="34">
        <f>($B81/$D$12)^(1/$D$29)-1+$C$12*$K$2</f>
        <v>-3.6847931148541568E-2</v>
      </c>
      <c r="E81" s="34">
        <f>($B81/$D$12)^(1/$E$29)-1+$C$12*$K$2</f>
        <v>1.0372120202674417E-2</v>
      </c>
      <c r="F81" s="34">
        <f>($B81/$D$12)^(1/$F$29)-1+$C$12*$K$2</f>
        <v>4.7557780778960779E-2</v>
      </c>
    </row>
    <row r="82" spans="1:11">
      <c r="A82" s="82"/>
      <c r="B82" s="35">
        <f>$E$12*$K$8</f>
        <v>28.986999999999995</v>
      </c>
      <c r="C82" s="34">
        <f>($B82/$D$12)^(1/$C$29)-1+$C$12*$K$2</f>
        <v>-5.1595159192475704E-2</v>
      </c>
      <c r="D82" s="34">
        <f>($B82/$D$12)^(1/$D$29)-1+$C$12*$K$2</f>
        <v>2.0408487158248056E-2</v>
      </c>
      <c r="E82" s="34">
        <f>($B82/$D$12)^(1/$E$29)-1+$C$12*$K$2</f>
        <v>5.3199718450393174E-2</v>
      </c>
      <c r="F82" s="34">
        <f>($B82/$D$12)^(1/$F$29)-1+$C$12*$K$2</f>
        <v>7.8592743133125031E-2</v>
      </c>
    </row>
    <row r="83" spans="1:11">
      <c r="B83" s="35">
        <f>$E$12*$K$10</f>
        <v>41.41</v>
      </c>
      <c r="C83" s="34">
        <f>($B83/$D$12)^(1/$C$29)-1+$C$12*$K$2</f>
        <v>5.0385333574547886E-2</v>
      </c>
      <c r="D83" s="34">
        <f>($B83/$D$12)^(1/$D$29)-1+$C$12*$K$2</f>
        <v>8.5460490930203248E-2</v>
      </c>
      <c r="E83" s="34">
        <f>($B83/$D$12)^(1/$E$29)-1+$C$12*$K$2</f>
        <v>0.10090367496376951</v>
      </c>
      <c r="F83" s="34">
        <f>($B83/$D$12)^(1/$F$29)-1+$C$12*$K$2</f>
        <v>0.11265148674313563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0.10367652826187315</v>
      </c>
      <c r="D85" s="34">
        <f>($B85/$D$13)^(1/$D$29)-1+$C$13*$K$2</f>
        <v>9.8606897334541893E-2</v>
      </c>
      <c r="E85" s="34">
        <f>($B85/$D$13)^(1/$E$29)-1+$C$13*$K$2</f>
        <v>9.6441975387706297E-2</v>
      </c>
      <c r="F85" s="34">
        <f>($B85/$D$13)^(1/$F$29)-1+$C$13*$K$2</f>
        <v>9.4821337175226367E-2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0.29165150610789115</v>
      </c>
      <c r="D86" s="34">
        <f>($B86/$D$13)^(1/$D$29)-1+$C$13*$K$2</f>
        <v>0.20698610839541112</v>
      </c>
      <c r="E86" s="34">
        <f>($B86/$D$13)^(1/$E$29)-1+$C$13*$K$2</f>
        <v>0.17255390793247929</v>
      </c>
      <c r="F86" s="34">
        <f>($B86/$D$13)^(1/$F$29)-1+$C$13*$K$2</f>
        <v>0.14742877127260137</v>
      </c>
    </row>
    <row r="87" spans="1:11">
      <c r="B87" s="35">
        <f>$E$13*$K$8</f>
        <v>2.4499999999999997</v>
      </c>
      <c r="C87" s="34">
        <f>($B87/$D$13)^(1/$C$29)-1+$C$13*$K$2</f>
        <v>0.43414962872916829</v>
      </c>
      <c r="D87" s="34">
        <f>($B87/$D$13)^(1/$D$29)-1+$C$13*$K$2</f>
        <v>0.28466684018598698</v>
      </c>
      <c r="E87" s="34">
        <f>($B87/$D$13)^(1/$E$29)-1+$C$13*$K$2</f>
        <v>0.22580871475664779</v>
      </c>
      <c r="F87" s="34">
        <f>($B87/$D$13)^(1/$F$29)-1+$C$13*$K$2</f>
        <v>0.18357772971032041</v>
      </c>
    </row>
    <row r="88" spans="1:11">
      <c r="B88" s="35">
        <f>$E$13*$K$10</f>
        <v>3.5</v>
      </c>
      <c r="C88" s="34">
        <f>($B88/$D$13)^(1/$C$29)-1+$C$13*$K$2</f>
        <v>0.60371311008082029</v>
      </c>
      <c r="D88" s="34">
        <f>($B88/$D$13)^(1/$D$29)-1+$C$13*$K$2</f>
        <v>0.37292397199560179</v>
      </c>
      <c r="E88" s="34">
        <f>($B88/$D$13)^(1/$E$29)-1+$C$13*$K$2</f>
        <v>0.28512712374549853</v>
      </c>
      <c r="F88" s="34">
        <f>($B88/$D$13)^(1/$F$29)-1+$C$13*$K$2</f>
        <v>0.22324873343667098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6.695788241417755E-2</v>
      </c>
      <c r="D90" s="34">
        <f>($B90/$D$14)^(1/$D$29)-1+$C$14*$K$2</f>
        <v>5.4797275611080498E-2</v>
      </c>
      <c r="E90" s="34">
        <f>($B90/$D$14)^(1/$E$29)-1+$C$14*$K$2</f>
        <v>4.962963155424871E-2</v>
      </c>
      <c r="F90" s="34">
        <f>($B90/$D$14)^(1/$F$29)-1+$C$14*$K$2</f>
        <v>4.5771121262716652E-2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0.25818258406467909</v>
      </c>
      <c r="D91" s="34">
        <f>($B91/$D$14)^(1/$D$29)-1+$C$14*$K$2</f>
        <v>0.16429683082670488</v>
      </c>
      <c r="E91" s="34">
        <f>($B91/$D$14)^(1/$E$29)-1+$C$14*$K$2</f>
        <v>0.12630272989299784</v>
      </c>
      <c r="F91" s="34">
        <f>($B91/$D$14)^(1/$F$29)-1+$C$14*$K$2</f>
        <v>9.864976465126063E-2</v>
      </c>
    </row>
    <row r="92" spans="1:11">
      <c r="B92" s="35">
        <f>$E$14*$K$8</f>
        <v>3.5279999999999996</v>
      </c>
      <c r="C92" s="34">
        <f>($B92/$D$14)^(1/$C$29)-1+$C$14*$K$2</f>
        <v>0.40314422362040647</v>
      </c>
      <c r="D92" s="34">
        <f>($B92/$D$14)^(1/$D$29)-1+$C$14*$K$2</f>
        <v>0.24278056858998298</v>
      </c>
      <c r="E92" s="34">
        <f>($B92/$D$14)^(1/$E$29)-1+$C$14*$K$2</f>
        <v>0.17995017917092249</v>
      </c>
      <c r="F92" s="34">
        <f>($B92/$D$14)^(1/$F$29)-1+$C$14*$K$2</f>
        <v>0.13498508331662784</v>
      </c>
    </row>
    <row r="93" spans="1:11">
      <c r="B93" s="35">
        <f>$E$14*$K$10</f>
        <v>5.04</v>
      </c>
      <c r="C93" s="34">
        <f>($B93/$D$14)^(1/$C$29)-1+$C$14*$K$2</f>
        <v>0.57563912961183628</v>
      </c>
      <c r="D93" s="34">
        <f>($B93/$D$14)^(1/$D$29)-1+$C$14*$K$2</f>
        <v>0.33195003737613116</v>
      </c>
      <c r="E93" s="34">
        <f>($B93/$D$14)^(1/$E$29)-1+$C$14*$K$2</f>
        <v>0.23970593695600895</v>
      </c>
      <c r="F93" s="34">
        <f>($B93/$D$14)^(1/$F$29)-1+$C$14*$K$2</f>
        <v>0.1748606046170661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-0.14529424199242325</v>
      </c>
      <c r="D95" s="34">
        <f>($B95/$D$15)^(1/$D$29)-1+$C$15*$K$2</f>
        <v>-6.0771320317637212E-2</v>
      </c>
      <c r="E95" s="34">
        <f>($B95/$D$15)^(1/$E$29)-1+$C$15*$K$2</f>
        <v>-2.1767500871100354E-2</v>
      </c>
      <c r="F95" s="34">
        <f>($B95/$D$15)^(1/$F$29)-1+$C$15*$K$2</f>
        <v>8.6479334980767986E-3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-2.1715938731882156E-3</v>
      </c>
      <c r="D96" s="34">
        <f>($B96/$D$15)^(1/$D$29)-1+$C$15*$K$2</f>
        <v>3.1254771299832118E-2</v>
      </c>
      <c r="E96" s="34">
        <f>($B96/$D$15)^(1/$E$29)-1+$C$15*$K$2</f>
        <v>4.5951954723868815E-2</v>
      </c>
      <c r="F96" s="34">
        <f>($B96/$D$15)^(1/$F$29)-1+$C$15*$K$2</f>
        <v>5.7124250416966005E-2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0.10632533957655654</v>
      </c>
      <c r="D97" s="34">
        <f>($B97/$D$15)^(1/$D$29)-1+$C$15*$K$2</f>
        <v>9.7214414950095196E-2</v>
      </c>
      <c r="E97" s="34">
        <f>($B97/$D$15)^(1/$E$29)-1+$C$15*$K$2</f>
        <v>9.3334623976504827E-2</v>
      </c>
      <c r="F97" s="34">
        <f>($B97/$D$15)^(1/$F$29)-1+$C$15*$K$2</f>
        <v>9.0434530524355794E-2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0.23542962118601973</v>
      </c>
      <c r="D98" s="34">
        <f>($B98/$D$15)^(1/$D$29)-1+$C$15*$K$2</f>
        <v>0.17215460706170893</v>
      </c>
      <c r="E98" s="34">
        <f>($B98/$D$15)^(1/$E$29)-1+$C$15*$K$2</f>
        <v>0.1461122927227515</v>
      </c>
      <c r="F98" s="34">
        <f>($B98/$D$15)^(1/$F$29)-1+$C$15*$K$2</f>
        <v>0.12699027938618734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-0.14879771626031466</v>
      </c>
      <c r="D105" s="34">
        <f>($B105/$D$17)^(1/$D$29)-1+$C$17*$K$2</f>
        <v>-6.6840217429400356E-2</v>
      </c>
      <c r="E105" s="34">
        <f>($B105/$D$17)^(1/$E$29)-1+$C$17*$K$2</f>
        <v>-2.9125677971677394E-2</v>
      </c>
      <c r="F105" s="34">
        <f>($B105/$D$17)^(1/$F$29)-1+$C$17*$K$2</f>
        <v>2.4094749844341679E-4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-4.255789553451933E-3</v>
      </c>
      <c r="D106" s="34">
        <f t="shared" ref="D106:D108" si="8">($B106/$D$17)^(1/$D$29)-1+$C$17*$K$2</f>
        <v>2.5732340372496193E-2</v>
      </c>
      <c r="E106" s="34">
        <f t="shared" ref="E106:E108" si="9">($B106/$D$17)^(1/$E$29)-1+$C$17*$K$2</f>
        <v>3.8880769827760481E-2</v>
      </c>
      <c r="F106" s="34">
        <f t="shared" ref="F106:F108" si="10">($B106/$D$17)^(1/$F$29)-1+$C$17*$K$2</f>
        <v>4.8860981581208024E-2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0.10531705589549104</v>
      </c>
      <c r="D107" s="34">
        <f t="shared" si="8"/>
        <v>9.2083663318904635E-2</v>
      </c>
      <c r="E107" s="34">
        <f t="shared" si="9"/>
        <v>8.6464244839730614E-2</v>
      </c>
      <c r="F107" s="34">
        <f t="shared" si="10"/>
        <v>8.2270016282370878E-2</v>
      </c>
    </row>
    <row r="108" spans="1:11">
      <c r="B108" s="35">
        <f>$E$17*$K$10</f>
        <v>24.7</v>
      </c>
      <c r="C108" s="34">
        <f t="shared" si="7"/>
        <v>0.23570160268217968</v>
      </c>
      <c r="D108" s="34">
        <f t="shared" si="8"/>
        <v>0.16746886271186304</v>
      </c>
      <c r="E108" s="34">
        <f t="shared" si="9"/>
        <v>0.13946558312624638</v>
      </c>
      <c r="F108" s="34">
        <f t="shared" si="10"/>
        <v>0.11893414154083651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0.08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6.9836574999999956E-2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1.255643072625E-2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6.8961613049999981E-2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0.11967883277249998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0.23263318749999998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9.1103234526250007E-2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5.7593512499999999E-2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5.0567830042499998E-2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0.11640169389249999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0.17750155587499999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9.8055962621250006E-2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1.2696654437499998E-3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2.7227719291249997E-2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2019-07-14T10:28:46Z</dcterms:modified>
</cp:coreProperties>
</file>