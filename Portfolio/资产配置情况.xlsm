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AE603F4C-ED30-44CA-B906-24680EBAF43C}" xr6:coauthVersionLast="43" xr6:coauthVersionMax="43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交易明细!$A$1:$X$139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11" l="1"/>
  <c r="R8" i="1" l="1"/>
  <c r="V4" i="1" l="1"/>
  <c r="U8" i="1"/>
  <c r="F14" i="11" l="1"/>
  <c r="Q8" i="1"/>
  <c r="K140" i="1" l="1"/>
  <c r="J140" i="1"/>
  <c r="M137" i="1" l="1"/>
  <c r="K137" i="1" s="1"/>
  <c r="J137" i="1" l="1"/>
  <c r="M136" i="1"/>
  <c r="K136" i="1" s="1"/>
  <c r="J136" i="1" l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6" i="1"/>
  <c r="T5" i="1" l="1"/>
  <c r="H17" i="11" s="1"/>
  <c r="C83" i="11" s="1"/>
  <c r="T4" i="1"/>
  <c r="F26" i="11" l="1"/>
  <c r="N121" i="1"/>
  <c r="N126" i="1"/>
  <c r="N118" i="1"/>
  <c r="N103" i="1"/>
  <c r="N72" i="1"/>
  <c r="J150" i="1"/>
  <c r="J143" i="1"/>
  <c r="J152" i="1"/>
  <c r="S8" i="1" l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0" i="11" l="1"/>
  <c r="C48" i="1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9" i="1" s="1"/>
  <c r="J139" i="1" s="1"/>
  <c r="J17" i="1"/>
  <c r="J19" i="1"/>
  <c r="U29" i="1"/>
  <c r="H21" i="1" s="1"/>
  <c r="J21" i="1" s="1"/>
  <c r="U30" i="1"/>
  <c r="H62" i="1" s="1"/>
  <c r="J62" i="1" s="1"/>
  <c r="U21" i="1"/>
  <c r="H138" i="1" s="1"/>
  <c r="J138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I139" i="1" s="1"/>
  <c r="K139" i="1" s="1"/>
  <c r="K17" i="1"/>
  <c r="K19" i="1"/>
  <c r="W29" i="1"/>
  <c r="I21" i="1" s="1"/>
  <c r="K21" i="1" s="1"/>
  <c r="W30" i="1"/>
  <c r="I62" i="1" s="1"/>
  <c r="K62" i="1" s="1"/>
  <c r="W21" i="1"/>
  <c r="I138" i="1" s="1"/>
  <c r="K138" i="1" s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H134" i="1" l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E62" i="11"/>
  <c r="F61" i="11"/>
  <c r="E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s="1"/>
  <c r="J176" i="1" s="1"/>
  <c r="J172" i="1" l="1"/>
  <c r="B60" i="11"/>
  <c r="E60" i="11" s="1"/>
  <c r="F31" i="11"/>
  <c r="F34" i="11" s="1"/>
  <c r="E14" i="11" s="1"/>
  <c r="B39" i="11"/>
  <c r="B47" i="11"/>
  <c r="B57" i="11"/>
  <c r="B58" i="11"/>
  <c r="B56" i="11"/>
  <c r="B48" i="11"/>
  <c r="B43" i="11"/>
  <c r="B54" i="11"/>
  <c r="B49" i="11"/>
  <c r="B51" i="11"/>
  <c r="B55" i="11"/>
  <c r="B59" i="11"/>
  <c r="B42" i="11"/>
  <c r="B50" i="11"/>
  <c r="B44" i="11"/>
  <c r="B46" i="11"/>
  <c r="B40" i="11"/>
  <c r="B53" i="11"/>
  <c r="B45" i="11"/>
  <c r="B52" i="11"/>
  <c r="B41" i="11"/>
  <c r="C60" i="11" l="1"/>
  <c r="E31" i="11"/>
  <c r="B17" i="10"/>
  <c r="B50" i="10" s="1"/>
  <c r="D53" i="11"/>
  <c r="E53" i="11"/>
  <c r="F53" i="11"/>
  <c r="B10" i="10"/>
  <c r="B43" i="10" s="1"/>
  <c r="E46" i="11"/>
  <c r="F46" i="11"/>
  <c r="D46" i="11"/>
  <c r="F54" i="11"/>
  <c r="D54" i="11"/>
  <c r="B18" i="10"/>
  <c r="B51" i="10" s="1"/>
  <c r="E54" i="11"/>
  <c r="F44" i="11"/>
  <c r="B8" i="10"/>
  <c r="B41" i="10" s="1"/>
  <c r="D44" i="11"/>
  <c r="E44" i="11"/>
  <c r="E43" i="11"/>
  <c r="B7" i="10"/>
  <c r="B40" i="10" s="1"/>
  <c r="F43" i="11"/>
  <c r="D43" i="11"/>
  <c r="E50" i="11"/>
  <c r="F50" i="11"/>
  <c r="B14" i="10"/>
  <c r="B47" i="10" s="1"/>
  <c r="D50" i="11"/>
  <c r="F48" i="11"/>
  <c r="D48" i="11"/>
  <c r="E48" i="11"/>
  <c r="B12" i="10"/>
  <c r="B45" i="10" s="1"/>
  <c r="F41" i="11"/>
  <c r="D41" i="11"/>
  <c r="B5" i="10"/>
  <c r="B38" i="10" s="1"/>
  <c r="E41" i="11"/>
  <c r="E42" i="11"/>
  <c r="B6" i="10"/>
  <c r="B39" i="10" s="1"/>
  <c r="F42" i="11"/>
  <c r="D42" i="11"/>
  <c r="F56" i="11"/>
  <c r="B20" i="10"/>
  <c r="B53" i="10" s="1"/>
  <c r="D56" i="11"/>
  <c r="E56" i="11"/>
  <c r="E59" i="11"/>
  <c r="B23" i="10"/>
  <c r="B56" i="10" s="1"/>
  <c r="F59" i="11"/>
  <c r="D59" i="11"/>
  <c r="E58" i="11"/>
  <c r="F58" i="11"/>
  <c r="D58" i="11"/>
  <c r="B22" i="10"/>
  <c r="B55" i="10" s="1"/>
  <c r="B9" i="10"/>
  <c r="B42" i="10" s="1"/>
  <c r="E45" i="11"/>
  <c r="F45" i="11"/>
  <c r="D45" i="11"/>
  <c r="E55" i="11"/>
  <c r="F55" i="11"/>
  <c r="B19" i="10"/>
  <c r="B52" i="10" s="1"/>
  <c r="D55" i="11"/>
  <c r="D57" i="11"/>
  <c r="F57" i="11"/>
  <c r="E57" i="11"/>
  <c r="B21" i="10"/>
  <c r="B54" i="10" s="1"/>
  <c r="D51" i="11"/>
  <c r="E51" i="11"/>
  <c r="B15" i="10"/>
  <c r="B48" i="10" s="1"/>
  <c r="F51" i="11"/>
  <c r="B11" i="10"/>
  <c r="B44" i="10" s="1"/>
  <c r="D47" i="11"/>
  <c r="E47" i="11"/>
  <c r="F47" i="11"/>
  <c r="D52" i="11"/>
  <c r="E52" i="11"/>
  <c r="F52" i="11"/>
  <c r="B16" i="10"/>
  <c r="B49" i="10" s="1"/>
  <c r="F40" i="11"/>
  <c r="D40" i="11"/>
  <c r="E40" i="11"/>
  <c r="B4" i="10"/>
  <c r="B37" i="10" s="1"/>
  <c r="E49" i="11"/>
  <c r="F49" i="11"/>
  <c r="D49" i="11"/>
  <c r="B13" i="10"/>
  <c r="B46" i="10" s="1"/>
  <c r="D39" i="11"/>
  <c r="E39" i="11"/>
  <c r="F39" i="11"/>
  <c r="B63" i="11"/>
  <c r="B3" i="10"/>
  <c r="B36" i="10" s="1"/>
  <c r="C31" i="11" l="1"/>
  <c r="A60" i="11" s="1"/>
  <c r="B31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D63" i="11" s="1"/>
  <c r="F60" i="11"/>
  <c r="D60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B11" i="11" l="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B82" i="10"/>
  <c r="P61" i="10"/>
  <c r="P82" i="10" s="1"/>
  <c r="P84" i="10" s="1"/>
  <c r="P57" i="10"/>
  <c r="D86" i="11" l="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<sst xmlns="http://schemas.openxmlformats.org/spreadsheetml/2006/main" count="15877" uniqueCount="7662">
  <si>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</si>
  <si>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</si>
  <si>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</si>
  <si>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</si>
  <si>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</si>
  <si>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</si>
  <si>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</si>
  <si>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</si>
  <si>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</si>
  <si>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</si>
  <si>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</si>
  <si>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</si>
  <si>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</si>
  <si>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</si>
  <si>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</si>
  <si>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</si>
  <si>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</si>
  <si>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</si>
  <si>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</si>
  <si>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</si>
  <si>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</si>
  <si>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</si>
  <si>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</si>
  <si>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</si>
  <si>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</si>
  <si>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</si>
  <si>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</si>
  <si>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</si>
  <si>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</si>
  <si>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</si>
  <si>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</si>
  <si>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</si>
  <si>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</si>
  <si>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</si>
  <si>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</si>
  <si>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</si>
  <si>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</si>
  <si>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</si>
  <si>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</si>
  <si>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</si>
  <si>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</si>
  <si>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</si>
  <si>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</si>
  <si>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</si>
  <si>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</si>
  <si>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</si>
  <si>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</si>
  <si>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</si>
  <si>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</si>
  <si>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</si>
  <si>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</si>
  <si>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</si>
  <si>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</si>
  <si>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</si>
  <si>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</si>
  <si>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</si>
  <si>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</si>
  <si>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</si>
  <si>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</si>
  <si>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</si>
  <si>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</si>
  <si>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</si>
  <si>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</si>
  <si>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</si>
  <si>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</si>
  <si>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</si>
  <si>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</si>
  <si>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</si>
  <si>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</si>
  <si>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</si>
  <si>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</si>
  <si>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</si>
  <si>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</si>
  <si>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</si>
  <si>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</si>
  <si>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</si>
  <si>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</si>
  <si>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</si>
  <si>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</si>
  <si>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</si>
  <si>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</si>
  <si>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</si>
  <si>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</si>
  <si>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</si>
  <si>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</si>
  <si>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</si>
  <si>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</si>
  <si>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</si>
  <si>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</si>
  <si>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</si>
  <si>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</si>
  <si>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</si>
  <si>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</si>
  <si>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</si>
  <si>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</si>
  <si>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</si>
  <si>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</si>
  <si>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</si>
  <si>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</si>
  <si>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</si>
  <si>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</si>
  <si>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</si>
  <si>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</si>
  <si>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</si>
  <si>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</si>
  <si>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</si>
  <si>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</si>
  <si>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</si>
  <si>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</si>
  <si>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</si>
  <si>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</si>
  <si>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</si>
  <si>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</si>
  <si>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</si>
  <si>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</si>
  <si>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</si>
  <si>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</si>
  <si>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</si>
  <si>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</si>
  <si>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</si>
  <si>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</si>
  <si>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</si>
  <si>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</si>
  <si>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</si>
  <si>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</si>
  <si>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</si>
  <si>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</si>
  <si>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</si>
  <si>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</si>
  <si>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</si>
  <si>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</si>
  <si>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</si>
  <si>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</si>
  <si>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</si>
  <si>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</si>
  <si>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</si>
  <si>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</si>
  <si>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</si>
  <si>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</si>
  <si>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</si>
  <si>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</si>
  <si>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</si>
  <si>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</si>
  <si>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</si>
  <si>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</si>
  <si>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</si>
  <si>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</si>
  <si>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</si>
  <si>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</si>
  <si>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</si>
  <si>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</si>
  <si>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</si>
  <si>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</si>
  <si>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</si>
  <si>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</si>
  <si>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</si>
  <si>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</si>
  <si>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</si>
  <si>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</si>
  <si>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</si>
  <si>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</si>
  <si>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</si>
  <si>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</si>
  <si>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</si>
  <si>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</si>
  <si>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</si>
  <si>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</si>
  <si>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</si>
  <si>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</si>
  <si>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</si>
  <si>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</si>
  <si>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</si>
  <si>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</si>
  <si>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</si>
  <si>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</si>
  <si>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</si>
  <si>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</si>
  <si>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</si>
  <si>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</si>
  <si>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</si>
  <si>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</si>
  <si>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</si>
  <si>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</si>
  <si>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</si>
  <si>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</si>
  <si>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</si>
  <si>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</si>
  <si>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</si>
  <si>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</si>
  <si>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</si>
  <si>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</si>
  <si>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</si>
  <si>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</si>
  <si>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</si>
  <si>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</si>
  <si>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</si>
  <si>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</si>
  <si>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</si>
  <si>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</si>
  <si>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</si>
  <si>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</si>
  <si>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</si>
  <si>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</si>
  <si>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</si>
  <si>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</si>
  <si>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</si>
  <si>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</si>
  <si>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</si>
  <si>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</si>
  <si>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</si>
  <si>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</si>
  <si>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</si>
  <si>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</si>
  <si>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</si>
  <si>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</si>
  <si>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</si>
  <si>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</si>
  <si>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</si>
  <si>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</si>
  <si>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</si>
  <si>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</si>
  <si>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</si>
  <si>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</si>
  <si>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</si>
  <si>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</si>
  <si>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</si>
  <si>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</si>
  <si>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</si>
  <si>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</si>
  <si>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</si>
  <si>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</si>
  <si>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</si>
  <si>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</si>
  <si>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</si>
  <si>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</si>
  <si>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</si>
  <si>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</si>
  <si>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</si>
  <si>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</si>
  <si>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</si>
  <si>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</si>
  <si>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</si>
  <si>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</si>
  <si>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</si>
  <si>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</si>
  <si>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</si>
  <si>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</si>
  <si>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</si>
  <si>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</si>
  <si>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</si>
  <si>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</si>
  <si>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</si>
  <si>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</si>
  <si>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</si>
  <si>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</si>
  <si>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</si>
  <si>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</si>
  <si>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</si>
  <si>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</si>
  <si>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</si>
  <si>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</si>
  <si>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</si>
  <si>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</si>
  <si>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</si>
  <si>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</si>
  <si>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</si>
  <si>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</si>
  <si>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</si>
  <si>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</si>
  <si>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</si>
  <si>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</si>
  <si>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</si>
  <si>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</si>
  <si>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</si>
  <si>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</si>
  <si>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</si>
  <si>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</si>
  <si>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</si>
  <si>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</si>
  <si>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</si>
  <si>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</si>
  <si>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</si>
  <si>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</si>
  <si>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</si>
  <si>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</si>
  <si>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</si>
  <si>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</si>
  <si>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</si>
  <si>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</si>
  <si>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</si>
  <si>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</si>
  <si>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</si>
  <si>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</si>
  <si>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</si>
  <si>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</si>
  <si>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</si>
  <si>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</si>
  <si>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</si>
  <si>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</si>
  <si>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</si>
  <si>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</si>
  <si>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</si>
  <si>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</si>
  <si>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</si>
  <si>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</si>
  <si>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</si>
  <si>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</si>
  <si>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</si>
  <si>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</si>
  <si>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</si>
  <si>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</si>
  <si>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</si>
  <si>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</si>
  <si>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</si>
  <si>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</si>
  <si>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</si>
  <si>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</si>
  <si>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</si>
  <si>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</si>
  <si>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</si>
  <si>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</si>
  <si>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</si>
  <si>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</si>
  <si>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</si>
  <si>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</si>
  <si>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</si>
  <si>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</si>
  <si>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</si>
  <si>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</si>
  <si>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</si>
  <si>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</si>
  <si>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</si>
  <si>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</si>
  <si>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</si>
  <si>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</si>
  <si>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</si>
  <si>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</si>
  <si>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</si>
  <si>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</si>
  <si>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</si>
  <si>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</si>
  <si>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</si>
  <si>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</si>
  <si>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</si>
  <si>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</si>
  <si>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</si>
  <si>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</si>
  <si>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</si>
  <si>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</si>
  <si>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</si>
  <si>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</si>
  <si>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</si>
  <si>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</si>
  <si>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</si>
  <si>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</si>
  <si>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</si>
  <si>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</si>
  <si>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</si>
  <si>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</si>
  <si>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</si>
  <si>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</si>
  <si>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</si>
  <si>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</si>
  <si>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</si>
  <si>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</si>
  <si>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</si>
  <si>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</si>
  <si>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</si>
  <si>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</si>
  <si>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</si>
  <si>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</si>
  <si>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</si>
  <si>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</si>
  <si>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</si>
  <si>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</si>
  <si>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</si>
  <si>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</si>
  <si>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</si>
  <si>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</si>
  <si>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</si>
  <si>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</si>
  <si>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</si>
  <si>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</si>
  <si>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</si>
  <si>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</si>
  <si>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</si>
  <si>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</si>
  <si>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</si>
  <si>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</si>
  <si>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</si>
  <si>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</si>
  <si>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</si>
  <si>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</si>
  <si>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</si>
  <si>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</si>
  <si>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</si>
  <si>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</si>
  <si>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</si>
  <si>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</si>
  <si>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</si>
  <si>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</si>
  <si>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</si>
  <si>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</si>
  <si>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</si>
  <si>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</si>
  <si>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</si>
  <si>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</si>
  <si>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</si>
  <si>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</si>
  <si>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</si>
  <si>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</si>
  <si>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</si>
  <si>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</si>
  <si>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</si>
  <si>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</si>
  <si>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</si>
  <si>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</si>
  <si>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</si>
  <si>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</si>
  <si>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</si>
  <si>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</si>
  <si>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</si>
  <si>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</si>
  <si>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</si>
  <si>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</si>
  <si>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</si>
  <si>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</si>
  <si>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</si>
  <si>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</si>
  <si>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</si>
  <si>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</si>
  <si>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</si>
  <si>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</si>
  <si>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</si>
  <si>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</si>
  <si>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</si>
  <si>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</si>
  <si>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</si>
  <si>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</si>
  <si>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</si>
  <si>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</si>
  <si>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</si>
  <si>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</si>
  <si>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</si>
  <si>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</si>
  <si>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</si>
  <si>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</si>
  <si>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</si>
  <si>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</si>
  <si>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</si>
  <si>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</si>
  <si>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</si>
  <si>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</si>
  <si>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</si>
  <si>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</si>
  <si>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</si>
  <si>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</si>
  <si>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</si>
  <si>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</si>
  <si>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</si>
  <si>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</si>
  <si>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</si>
  <si>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</si>
  <si>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</si>
  <si>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</si>
  <si>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</si>
  <si>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</si>
  <si>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</si>
  <si>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</si>
  <si>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</si>
  <si>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</si>
  <si>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</si>
  <si>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</si>
  <si>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</si>
  <si>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</si>
  <si>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</si>
  <si>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</si>
  <si>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</si>
  <si>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</si>
  <si>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</si>
  <si>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</si>
  <si>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</si>
  <si>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</si>
  <si>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</si>
  <si>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</si>
  <si>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</si>
  <si>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</si>
  <si>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</si>
  <si>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</si>
  <si>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</si>
  <si>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</si>
  <si>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</si>
  <si>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</si>
  <si>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</si>
  <si>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</si>
  <si>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</si>
  <si>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</si>
  <si>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</si>
  <si>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</si>
  <si>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</si>
  <si>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</si>
  <si>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</si>
  <si>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</si>
  <si>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</si>
  <si>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</si>
  <si>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</si>
  <si>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</si>
  <si>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</si>
  <si>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</si>
  <si>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</si>
  <si>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</si>
  <si>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</si>
  <si>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</si>
  <si>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</si>
  <si>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</si>
  <si>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</si>
  <si>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</si>
  <si>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</si>
  <si>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</si>
  <si>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</si>
  <si>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</si>
  <si>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</si>
  <si>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</si>
  <si>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</si>
  <si>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</si>
  <si>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</si>
  <si>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</si>
  <si>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</si>
  <si>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</si>
  <si>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</si>
  <si>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</si>
  <si>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</si>
  <si>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</si>
  <si>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</si>
  <si>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</si>
  <si>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</si>
  <si>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</si>
  <si>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</si>
  <si>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</si>
  <si>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</si>
  <si>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</si>
  <si>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</si>
  <si>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</si>
  <si>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</si>
  <si>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</si>
  <si>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</si>
  <si>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</si>
  <si>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</si>
  <si>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</si>
  <si>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</si>
  <si>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</si>
  <si>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</si>
  <si>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</si>
  <si>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</si>
  <si>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</si>
  <si>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</si>
  <si>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</si>
  <si>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</si>
  <si>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</si>
  <si>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</si>
  <si>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</si>
  <si>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</si>
  <si>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</si>
  <si>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</si>
  <si>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</si>
  <si>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</si>
  <si>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</si>
  <si>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</si>
  <si>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</si>
  <si>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</si>
  <si>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</si>
  <si>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</si>
  <si>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</si>
  <si>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</si>
  <si>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</si>
  <si>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</si>
  <si>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</si>
  <si>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</si>
  <si>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</si>
  <si>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</si>
  <si>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</si>
  <si>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</si>
  <si>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</si>
  <si>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</si>
  <si>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</si>
  <si>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</si>
  <si>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</si>
  <si>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</si>
  <si>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</si>
  <si>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</si>
  <si>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</si>
  <si>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</si>
  <si>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</si>
  <si>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</si>
  <si>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</si>
  <si>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</si>
  <si>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</si>
  <si>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</si>
  <si>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</si>
  <si>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</si>
  <si>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</si>
  <si>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</si>
  <si>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</si>
  <si>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</si>
  <si>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</si>
  <si>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</si>
  <si>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</si>
  <si>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</si>
  <si>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</si>
  <si>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</si>
  <si>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</si>
  <si>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</si>
  <si>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</si>
  <si>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</si>
  <si>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</si>
  <si>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</si>
  <si>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</si>
  <si>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</si>
  <si>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</si>
  <si>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</si>
  <si>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</si>
  <si>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</si>
  <si>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</si>
  <si>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</si>
  <si>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</si>
  <si>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</si>
  <si>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</si>
  <si>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</si>
  <si>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</si>
  <si>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</si>
  <si>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</si>
  <si>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</si>
  <si>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</si>
  <si>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</si>
  <si>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</si>
  <si>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</si>
  <si>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</si>
  <si>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</si>
  <si>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</si>
  <si>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</si>
  <si>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</si>
  <si>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</si>
  <si>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</si>
  <si>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</si>
  <si>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</si>
  <si>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</si>
  <si>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</si>
  <si>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</si>
  <si>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</si>
  <si>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</si>
  <si>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</si>
  <si>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</si>
  <si>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</si>
  <si>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</si>
  <si>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</si>
  <si>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</si>
  <si>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</si>
  <si>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</si>
  <si>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</si>
  <si>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</si>
  <si>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</si>
  <si>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</si>
  <si>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</si>
  <si>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</si>
  <si>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</si>
  <si>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</si>
  <si>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</si>
  <si>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</si>
  <si>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</si>
  <si>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</si>
  <si>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</si>
  <si>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</si>
  <si>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</si>
  <si>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</si>
  <si>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</si>
  <si>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</si>
  <si>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</si>
  <si>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</si>
  <si>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</si>
  <si>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</si>
  <si>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</si>
  <si>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</si>
  <si>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</si>
  <si>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</si>
  <si>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</si>
  <si>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</si>
  <si>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</si>
  <si>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</si>
  <si>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</si>
  <si>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</si>
  <si>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</si>
  <si>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</si>
  <si>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</si>
  <si>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</si>
  <si>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</si>
  <si>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</si>
  <si>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</si>
  <si>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</si>
  <si>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</si>
  <si>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</si>
  <si>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</si>
  <si>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</si>
  <si>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</si>
  <si>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</si>
  <si>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</si>
  <si>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</si>
  <si>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</si>
  <si>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</si>
  <si>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</si>
  <si>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</si>
  <si>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</si>
  <si>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</si>
  <si>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</si>
  <si>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</si>
  <si>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</si>
  <si>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</si>
  <si>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</si>
  <si>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</si>
  <si>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</si>
  <si>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</si>
  <si>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</si>
  <si>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</si>
  <si>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</si>
  <si>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</si>
  <si>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</si>
  <si>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</si>
  <si>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</si>
  <si>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</si>
  <si>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</si>
  <si>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</si>
  <si>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</si>
  <si>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</si>
  <si>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</si>
  <si>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</si>
  <si>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</si>
  <si>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</si>
  <si>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</si>
  <si>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</si>
  <si>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</si>
  <si>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</si>
  <si>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</si>
  <si>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</si>
  <si>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</si>
  <si>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</si>
  <si>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</si>
  <si>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</si>
  <si>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</si>
  <si>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</si>
  <si>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</si>
  <si>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</si>
  <si>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</si>
  <si>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</si>
  <si>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</si>
  <si>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</si>
  <si>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</si>
  <si>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</si>
  <si>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</si>
  <si>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</si>
  <si>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</si>
  <si>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</si>
  <si>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</si>
  <si>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</si>
  <si>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</si>
  <si>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</si>
  <si>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</si>
  <si>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</si>
  <si>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</si>
  <si>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</si>
  <si>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</si>
  <si>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</si>
  <si>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</si>
  <si>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</si>
  <si>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</si>
  <si>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</si>
  <si>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</si>
  <si>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</si>
  <si>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</si>
  <si>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</si>
  <si>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</si>
  <si>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</si>
  <si>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</si>
  <si>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</si>
  <si>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</si>
  <si>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</si>
  <si>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</si>
  <si>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</si>
  <si>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</si>
  <si>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</si>
  <si>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</si>
  <si>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</si>
  <si>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</si>
  <si>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</si>
  <si>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</si>
  <si>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</si>
  <si>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</si>
  <si>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</si>
  <si>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</si>
  <si>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</si>
  <si>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</si>
  <si>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</si>
  <si>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</si>
  <si>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</si>
  <si>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</si>
  <si>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</si>
  <si>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</si>
  <si>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</si>
  <si>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</si>
  <si>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</si>
  <si>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</si>
  <si>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</si>
  <si>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</si>
  <si>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</si>
  <si>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</si>
  <si>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</si>
  <si>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</si>
  <si>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</si>
  <si>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</si>
  <si>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</si>
  <si>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</si>
  <si>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</si>
  <si>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</si>
  <si>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</si>
  <si>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</si>
  <si>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</si>
  <si>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</si>
  <si>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</si>
  <si>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</si>
  <si>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</si>
  <si>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</si>
  <si>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</si>
  <si>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</si>
  <si>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</si>
  <si>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</si>
  <si>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</si>
  <si>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</si>
  <si>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</si>
  <si>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</si>
  <si>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</si>
  <si>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</si>
  <si>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</si>
  <si>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</si>
  <si>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</si>
  <si>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</si>
  <si>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</si>
  <si>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</si>
  <si>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</si>
  <si>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</si>
  <si>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</si>
  <si>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</si>
  <si>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</si>
  <si>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</si>
  <si>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</si>
  <si>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</si>
  <si>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</si>
  <si>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</si>
  <si>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</si>
  <si>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</si>
  <si>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</si>
  <si>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</si>
  <si>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</si>
  <si>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</si>
  <si>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</si>
  <si>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</si>
  <si>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</si>
  <si>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</si>
  <si>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</si>
  <si>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</si>
  <si>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</si>
  <si>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</si>
  <si>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</si>
  <si>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</si>
  <si>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</si>
  <si>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</si>
  <si>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</si>
  <si>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</si>
  <si>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</si>
  <si>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</si>
  <si>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</si>
  <si>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</si>
  <si>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</si>
  <si>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</si>
  <si>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</si>
  <si>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</si>
  <si>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</si>
  <si>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</si>
  <si>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</si>
  <si>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</si>
  <si>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</si>
  <si>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</si>
  <si>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</si>
  <si>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</si>
  <si>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</si>
  <si>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</si>
  <si>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</si>
  <si>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</si>
  <si>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</si>
  <si>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</si>
  <si>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</si>
  <si>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</si>
  <si>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</si>
  <si>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</si>
  <si>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</si>
  <si>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</si>
  <si>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</si>
  <si>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</si>
  <si>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</si>
  <si>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</si>
  <si>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</si>
  <si>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</si>
  <si>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</si>
  <si>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</si>
  <si>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</si>
  <si>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</si>
  <si>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</si>
  <si>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</si>
  <si>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</si>
  <si>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</si>
  <si>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</si>
  <si>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</si>
  <si>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</si>
  <si>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</si>
  <si>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</si>
  <si>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</si>
  <si>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</si>
  <si>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</si>
  <si>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</si>
  <si>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</si>
  <si>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</si>
  <si>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</si>
  <si>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</si>
  <si>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</si>
  <si>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</si>
  <si>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</si>
  <si>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</si>
  <si>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</si>
  <si>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</si>
  <si>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</si>
  <si>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</si>
  <si>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</si>
  <si>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</si>
  <si>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</si>
  <si>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</si>
  <si>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</si>
  <si>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</si>
  <si>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</si>
  <si>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</si>
  <si>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</si>
  <si>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</si>
  <si>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</si>
  <si>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</si>
  <si>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</si>
  <si>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</si>
  <si>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</si>
  <si>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</si>
  <si>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</si>
  <si>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</si>
  <si>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</si>
  <si>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</si>
  <si>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</si>
  <si>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</si>
  <si>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</si>
  <si>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</si>
  <si>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</si>
  <si>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</si>
  <si>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</si>
  <si>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</si>
  <si>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</si>
  <si>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</si>
  <si>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</si>
  <si>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</si>
  <si>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</si>
  <si>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</si>
  <si>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</si>
  <si>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</si>
  <si>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</si>
  <si>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</si>
  <si>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</si>
  <si>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</si>
  <si>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</si>
  <si>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</si>
  <si>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</si>
  <si>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</si>
  <si>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</si>
  <si>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</si>
  <si>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</si>
  <si>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</si>
  <si>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</si>
  <si>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</si>
  <si>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</si>
  <si>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</si>
  <si>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</si>
  <si>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</si>
  <si>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</si>
  <si>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</si>
  <si>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</si>
  <si>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</si>
  <si>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</si>
  <si>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</si>
  <si>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</si>
  <si>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</si>
  <si>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</si>
  <si>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</si>
  <si>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</si>
  <si>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</si>
  <si>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</si>
  <si>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</si>
  <si>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</si>
  <si>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</si>
  <si>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</si>
  <si>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</si>
  <si>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</si>
  <si>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</si>
  <si>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</si>
  <si>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</si>
  <si>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</si>
  <si>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</si>
  <si>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</si>
  <si>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</si>
  <si>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</si>
  <si>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</si>
  <si>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</si>
  <si>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</si>
  <si>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</si>
  <si>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</si>
  <si>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</si>
  <si>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</si>
  <si>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</si>
  <si>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</si>
  <si>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</si>
  <si>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</si>
  <si>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</si>
  <si>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</si>
  <si>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</si>
  <si>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</si>
  <si>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</si>
  <si>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</si>
  <si>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</si>
  <si>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</si>
  <si>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</si>
  <si>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</si>
  <si>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</si>
  <si>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</si>
  <si>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</si>
  <si>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</si>
  <si>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</si>
  <si>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</si>
  <si>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</si>
  <si>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</si>
  <si>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</si>
  <si>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</si>
  <si>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</si>
  <si>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</si>
  <si>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</si>
  <si>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</si>
  <si>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</si>
  <si>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</si>
  <si>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</si>
  <si>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</si>
  <si>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</si>
  <si>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</si>
  <si>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</si>
  <si>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</si>
  <si>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</si>
  <si>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</si>
  <si>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</si>
  <si>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</si>
  <si>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</si>
  <si>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</si>
  <si>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</si>
  <si>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</si>
  <si>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</si>
  <si>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</si>
  <si>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</si>
  <si>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</si>
  <si>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</si>
  <si>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</si>
  <si>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</si>
  <si>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</si>
  <si>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</si>
  <si>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</si>
  <si>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</si>
  <si>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</si>
  <si>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</si>
  <si>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</si>
  <si>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</si>
  <si>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</si>
  <si>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</si>
  <si>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</si>
  <si>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</si>
  <si>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</si>
  <si>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</si>
  <si>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</si>
  <si>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</si>
  <si>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</si>
  <si>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</si>
  <si>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</si>
  <si>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</si>
  <si>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</si>
  <si>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</si>
  <si>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</si>
  <si>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</si>
  <si>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</si>
  <si>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</si>
  <si>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</si>
  <si>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</si>
  <si>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</si>
  <si>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</si>
  <si>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</si>
  <si>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</si>
  <si>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</si>
  <si>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</si>
  <si>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</si>
  <si>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</si>
  <si>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</si>
  <si>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</si>
  <si>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</si>
  <si>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</si>
  <si>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</si>
  <si>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</si>
  <si>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</si>
  <si>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</si>
  <si>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</si>
  <si>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</si>
  <si>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</si>
  <si>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</si>
  <si>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</si>
  <si>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</si>
  <si>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</si>
  <si>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</si>
  <si>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</si>
  <si>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</si>
  <si>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</si>
  <si>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</si>
  <si>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</si>
  <si>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</si>
  <si>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</si>
  <si>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</si>
  <si>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</si>
  <si>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</si>
  <si>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</si>
  <si>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</si>
  <si>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</si>
  <si>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</si>
  <si>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</si>
  <si>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</si>
  <si>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</si>
  <si>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</si>
  <si>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</si>
  <si>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</si>
  <si>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</si>
  <si>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</si>
  <si>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</si>
  <si>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</si>
  <si>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</si>
  <si>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</si>
  <si>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</si>
  <si>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</si>
  <si>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</si>
  <si>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</si>
  <si>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</si>
  <si>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</si>
  <si>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</si>
  <si>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</si>
  <si>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</si>
  <si>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</si>
  <si>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</si>
  <si>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</si>
  <si>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</si>
  <si>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</si>
  <si>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</si>
  <si>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</si>
  <si>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</si>
  <si>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</si>
  <si>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</si>
  <si>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</si>
  <si>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</si>
  <si>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</si>
  <si>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</si>
  <si>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</si>
  <si>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</si>
  <si>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</si>
  <si>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</si>
  <si>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</si>
  <si>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</si>
  <si>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</si>
  <si>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</si>
  <si>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</si>
  <si>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</si>
  <si>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</si>
  <si>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</si>
  <si>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</si>
  <si>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</si>
  <si>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</si>
  <si>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</si>
  <si>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</si>
  <si>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</si>
  <si>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</si>
  <si>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</si>
  <si>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</si>
  <si>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</si>
  <si>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</si>
  <si>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</si>
  <si>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</si>
  <si>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</si>
  <si>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</si>
  <si>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</si>
  <si>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</si>
  <si>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</si>
  <si>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</si>
  <si>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</si>
  <si>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</si>
  <si>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</si>
  <si>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</si>
  <si>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</si>
  <si>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</si>
  <si>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</si>
  <si>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</si>
  <si>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</si>
  <si>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</si>
  <si>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</si>
  <si>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</si>
  <si>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</si>
  <si>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</si>
  <si>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</si>
  <si>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</si>
  <si>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</si>
  <si>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</si>
  <si>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</si>
  <si>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</si>
  <si>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</si>
  <si>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</si>
  <si>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</si>
  <si>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</si>
  <si>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</si>
  <si>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</si>
  <si>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</si>
  <si>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</si>
  <si>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</si>
  <si>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</si>
  <si>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</si>
  <si>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</si>
  <si>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</si>
  <si>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</si>
  <si>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</si>
  <si>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</si>
  <si>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</si>
  <si>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</si>
  <si>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</si>
  <si>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</si>
  <si>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</si>
  <si>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</si>
  <si>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</si>
  <si>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</si>
  <si>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</si>
  <si>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</si>
  <si>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</si>
  <si>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</si>
  <si>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</si>
  <si>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</si>
  <si>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</si>
  <si>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</si>
  <si>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</si>
  <si>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</si>
  <si>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</si>
  <si>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</si>
  <si>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</si>
  <si>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</si>
  <si>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</si>
  <si>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</si>
  <si>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</si>
  <si>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</si>
  <si>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</si>
  <si>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</si>
  <si>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</si>
  <si>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</si>
  <si>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</si>
  <si>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</si>
  <si>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</si>
  <si>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</si>
  <si>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</si>
  <si>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</si>
  <si>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</si>
  <si>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</si>
  <si>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</si>
  <si>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</si>
  <si>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</si>
  <si>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</si>
  <si>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</si>
  <si>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</si>
  <si>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</si>
  <si>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</si>
  <si>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</si>
  <si>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</si>
  <si>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</si>
  <si>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</si>
  <si>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</si>
  <si>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</si>
  <si>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</si>
  <si>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</si>
  <si>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</si>
  <si>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</si>
  <si>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</si>
  <si>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</si>
  <si>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</si>
  <si>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</si>
  <si>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</si>
  <si>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</si>
  <si>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</si>
  <si>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</si>
  <si>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</si>
  <si>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</si>
  <si>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</si>
  <si>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</si>
  <si>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</si>
  <si>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</si>
  <si>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</si>
  <si>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</si>
  <si>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</si>
  <si>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</si>
  <si>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</si>
  <si>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</si>
  <si>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</si>
  <si>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</si>
  <si>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</si>
  <si>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</si>
  <si>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</si>
  <si>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</si>
  <si>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</si>
  <si>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</si>
  <si>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</si>
  <si>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</si>
  <si>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</si>
  <si>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</si>
  <si>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</si>
  <si>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</si>
  <si>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</si>
  <si>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</si>
  <si>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</si>
  <si>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</si>
  <si>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</si>
  <si>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</si>
  <si>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</si>
  <si>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</si>
  <si>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</si>
  <si>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</si>
  <si>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</si>
  <si>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</si>
  <si>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</si>
  <si>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</si>
  <si>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</si>
  <si>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</si>
  <si>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</si>
  <si>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</si>
  <si>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</si>
  <si>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</si>
  <si>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</si>
  <si>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</si>
  <si>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</si>
  <si>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</si>
  <si>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</si>
  <si>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</si>
  <si>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</si>
  <si>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</si>
  <si>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</si>
  <si>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</si>
  <si>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</si>
  <si>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</si>
  <si>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</si>
  <si>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</si>
  <si>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</si>
  <si>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</si>
  <si>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</si>
  <si>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</si>
  <si>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</si>
  <si>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</si>
  <si>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</si>
  <si>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</si>
  <si>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</si>
  <si>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</si>
  <si>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</si>
  <si>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</si>
  <si>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</si>
  <si>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</si>
  <si>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</si>
  <si>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</si>
  <si>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</si>
  <si>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</si>
  <si>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</si>
  <si>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</si>
  <si>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</si>
  <si>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</si>
  <si>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</si>
  <si>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</si>
  <si>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</si>
  <si>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</si>
  <si>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</si>
  <si>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</si>
  <si>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</si>
  <si>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</si>
  <si>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</si>
  <si>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</si>
  <si>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</si>
  <si>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</si>
  <si>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</si>
  <si>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</si>
  <si>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</si>
  <si>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</si>
  <si>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</si>
  <si>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</si>
  <si>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</si>
  <si>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</si>
  <si>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</si>
  <si>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</si>
  <si>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</si>
  <si>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</si>
  <si>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</si>
  <si>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</si>
  <si>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</si>
  <si>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</si>
  <si>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</si>
  <si>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</si>
  <si>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</si>
  <si>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</si>
  <si>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</si>
  <si>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</si>
  <si>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</si>
  <si>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</si>
  <si>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</si>
  <si>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</si>
  <si>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</si>
  <si>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</si>
  <si>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</si>
  <si>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</si>
  <si>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</si>
  <si>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</si>
  <si>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</si>
  <si>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</si>
  <si>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</si>
  <si>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</si>
  <si>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</si>
  <si>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</si>
  <si>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</si>
  <si>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</si>
  <si>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</si>
  <si>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</si>
  <si>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</si>
  <si>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</si>
  <si>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</si>
  <si>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</si>
  <si>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</si>
  <si>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</si>
  <si>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</si>
  <si>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</si>
  <si>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</si>
  <si>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</si>
  <si>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</si>
  <si>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</si>
  <si>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</si>
  <si>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</si>
  <si>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</si>
  <si>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</si>
  <si>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</si>
  <si>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</si>
  <si>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</si>
  <si>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</si>
  <si>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</si>
  <si>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</si>
  <si>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</si>
  <si>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</si>
  <si>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</si>
  <si>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</si>
  <si>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</si>
  <si>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</si>
  <si>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</si>
  <si>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</si>
  <si>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</si>
  <si>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</si>
  <si>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</si>
  <si>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</si>
  <si>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</si>
  <si>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</si>
  <si>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</si>
  <si>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</si>
  <si>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</si>
  <si>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</si>
  <si>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</si>
  <si>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</si>
  <si>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</si>
  <si>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</si>
  <si>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</si>
  <si>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</si>
  <si>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</si>
  <si>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</si>
  <si>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</si>
  <si>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</si>
  <si>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</si>
  <si>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</si>
  <si>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</si>
  <si>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</si>
  <si>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</si>
  <si>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</si>
  <si>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</si>
  <si>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</si>
  <si>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</si>
  <si>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</si>
  <si>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</si>
  <si>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</si>
  <si>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</si>
  <si>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</si>
  <si>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</si>
  <si>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</si>
  <si>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</si>
  <si>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</si>
  <si>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</si>
  <si>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</si>
  <si>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</si>
  <si>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</si>
  <si>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</si>
  <si>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</si>
  <si>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</si>
  <si>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</si>
  <si>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</si>
  <si>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</si>
  <si>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</si>
  <si>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</si>
  <si>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</si>
  <si>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</si>
  <si>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</si>
  <si>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</si>
  <si>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</si>
  <si>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</si>
  <si>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</si>
  <si>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</si>
  <si>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</si>
  <si>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</si>
  <si>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</si>
  <si>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</si>
  <si>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</si>
  <si>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</si>
  <si>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</si>
  <si>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</si>
  <si>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</si>
  <si>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</si>
  <si>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</si>
  <si>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</si>
  <si>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</si>
  <si>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</si>
  <si>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</si>
  <si>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</si>
  <si>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</si>
  <si>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</si>
  <si>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</si>
  <si>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</si>
  <si>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</si>
  <si>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</si>
  <si>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</si>
  <si>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</si>
  <si>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</si>
  <si>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</si>
  <si>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</si>
  <si>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</si>
  <si>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</si>
  <si>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</si>
  <si>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</si>
  <si>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</si>
  <si>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</si>
  <si>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</si>
  <si>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</si>
  <si>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</si>
  <si>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</si>
  <si>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</si>
  <si>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</si>
  <si>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</si>
  <si>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</si>
  <si>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</si>
  <si>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</si>
  <si>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</si>
  <si>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</si>
  <si>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</si>
  <si>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</si>
  <si>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</si>
  <si>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</si>
  <si>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</si>
  <si>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</si>
  <si>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</si>
  <si>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</si>
  <si>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</si>
  <si>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</si>
  <si>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</si>
  <si>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</si>
  <si>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</si>
  <si>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</si>
  <si>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</si>
  <si>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</si>
  <si>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</si>
  <si>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</si>
  <si>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</si>
  <si>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</si>
  <si>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</si>
  <si>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</si>
  <si>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</si>
  <si>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</si>
  <si>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</si>
  <si>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</si>
  <si>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</si>
  <si>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</si>
  <si>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</si>
  <si>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</si>
  <si>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</si>
  <si>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</si>
  <si>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</si>
  <si>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</si>
  <si>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</si>
  <si>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</si>
  <si>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</si>
  <si>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</si>
  <si>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</si>
  <si>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</si>
  <si>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</si>
  <si>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</si>
  <si>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</si>
  <si>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</si>
  <si>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</si>
  <si>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</si>
  <si>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</si>
  <si>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</si>
  <si>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</si>
  <si>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</si>
  <si>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</si>
  <si>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</si>
  <si>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</si>
  <si>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</si>
  <si>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</si>
  <si>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</si>
  <si>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</si>
  <si>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</si>
  <si>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</si>
  <si>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</si>
  <si>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</si>
  <si>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</si>
  <si>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</si>
  <si>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</si>
  <si>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</si>
  <si>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</si>
  <si>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</si>
  <si>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</si>
  <si>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</si>
  <si>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</si>
  <si>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</si>
  <si>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</si>
  <si>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</si>
  <si>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</si>
  <si>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</si>
  <si>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</si>
  <si>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</si>
  <si>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</si>
  <si>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</si>
  <si>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</si>
  <si>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</si>
  <si>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</si>
  <si>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</si>
  <si>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</si>
  <si>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</si>
  <si>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</si>
  <si>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</si>
  <si>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</si>
  <si>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</si>
  <si>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</si>
  <si>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</si>
  <si>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</si>
  <si>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</si>
  <si>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</si>
  <si>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</si>
  <si>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</si>
  <si>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</si>
  <si>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</si>
  <si>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</si>
  <si>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</si>
  <si>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</si>
  <si>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</si>
  <si>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</si>
  <si>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</si>
  <si>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</si>
  <si>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</si>
  <si>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</si>
  <si>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</si>
  <si>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</si>
  <si>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</si>
  <si>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</si>
  <si>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</si>
  <si>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</si>
  <si>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</si>
  <si>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</si>
  <si>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</si>
  <si>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</si>
  <si>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</si>
  <si>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</si>
  <si>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</si>
  <si>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</si>
  <si>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</si>
  <si>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</si>
  <si>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</si>
  <si>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</si>
  <si>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</si>
  <si>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</si>
  <si>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</si>
  <si>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</si>
  <si>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</si>
  <si>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</si>
  <si>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</si>
  <si>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</si>
  <si>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</si>
  <si>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</si>
  <si>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</si>
  <si>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</si>
  <si>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</si>
  <si>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</si>
  <si>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</si>
  <si>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</si>
  <si>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</si>
  <si>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</si>
  <si>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</si>
  <si>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</si>
  <si>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</si>
  <si>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</si>
  <si>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</si>
  <si>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</si>
  <si>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</si>
  <si>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</si>
  <si>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</si>
  <si>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</si>
  <si>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</si>
  <si>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</si>
  <si>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</si>
  <si>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</si>
  <si>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</si>
  <si>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</si>
  <si>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</si>
  <si>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</si>
  <si>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</si>
  <si>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</si>
  <si>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</si>
  <si>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</si>
  <si>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</si>
  <si>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</si>
  <si>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</si>
  <si>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</si>
  <si>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</si>
  <si>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</si>
  <si>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</si>
  <si>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</si>
  <si>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</si>
  <si>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</si>
  <si>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</si>
  <si>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</si>
  <si>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</si>
  <si>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</si>
  <si>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</si>
  <si>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</si>
  <si>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</si>
  <si>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</si>
  <si>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</si>
  <si>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</si>
  <si>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</si>
  <si>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</si>
  <si>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</si>
  <si>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</si>
  <si>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</si>
  <si>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</si>
  <si>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</si>
  <si>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</si>
  <si>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</si>
  <si>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</si>
  <si>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</si>
  <si>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</si>
  <si>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</si>
  <si>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</si>
  <si>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</si>
  <si>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</si>
  <si>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</si>
  <si>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</si>
  <si>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</si>
  <si>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</si>
  <si>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</si>
  <si>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</si>
  <si>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</si>
  <si>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</si>
  <si>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</si>
  <si>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</si>
  <si>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</si>
  <si>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</si>
  <si>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</si>
  <si>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</si>
  <si>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</si>
  <si>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</si>
  <si>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</si>
  <si>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</si>
  <si>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</si>
  <si>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</si>
  <si>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</si>
  <si>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</si>
  <si>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</si>
  <si>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</si>
  <si>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</si>
  <si>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</si>
  <si>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</si>
  <si>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</si>
  <si>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</si>
  <si>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</si>
  <si>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</si>
  <si>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</si>
  <si>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</si>
  <si>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</si>
  <si>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</si>
  <si>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</si>
  <si>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</si>
  <si>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</si>
  <si>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</si>
  <si>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</si>
  <si>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</si>
  <si>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</si>
  <si>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</si>
  <si>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</si>
  <si>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</si>
  <si>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</si>
  <si>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</si>
  <si>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</si>
  <si>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</si>
  <si>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</si>
  <si>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</si>
  <si>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</si>
  <si>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</si>
  <si>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</si>
  <si>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</si>
  <si>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</si>
  <si>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</si>
  <si>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</si>
  <si>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</si>
  <si>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</si>
  <si>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</si>
  <si>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</si>
  <si>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</si>
  <si>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</si>
  <si>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</si>
  <si>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</si>
  <si>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</si>
  <si>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</si>
  <si>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</si>
  <si>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</si>
  <si>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</si>
  <si>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</si>
  <si>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</si>
  <si>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</si>
  <si>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</si>
  <si>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</si>
  <si>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</si>
  <si>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</si>
  <si>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</si>
  <si>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</si>
  <si>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</si>
  <si>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</si>
  <si>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</si>
  <si>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</si>
  <si>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</si>
  <si>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</si>
  <si>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</si>
  <si>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</si>
  <si>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</si>
  <si>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</si>
  <si>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</si>
  <si>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</si>
  <si>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</si>
  <si>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</si>
  <si>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</si>
  <si>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</si>
  <si>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</si>
  <si>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</si>
  <si>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</si>
  <si>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</si>
  <si>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</si>
  <si>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</si>
  <si>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</si>
  <si>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</si>
  <si>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</si>
  <si>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</si>
  <si>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</si>
  <si>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</si>
  <si>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</si>
  <si>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</si>
  <si>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</si>
  <si>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</si>
  <si>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</si>
  <si>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</si>
  <si>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</si>
  <si>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</si>
  <si>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</si>
  <si>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</si>
  <si>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</si>
  <si>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</si>
  <si>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</si>
  <si>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</si>
  <si>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</si>
  <si>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</si>
  <si>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</si>
  <si>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</si>
  <si>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</si>
  <si>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</si>
  <si>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</si>
  <si>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</si>
  <si>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</si>
  <si>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</si>
  <si>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</si>
  <si>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</si>
  <si>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</si>
  <si>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</si>
  <si>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</si>
  <si>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</si>
  <si>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</si>
  <si>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</si>
  <si>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</si>
  <si>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</si>
  <si>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</si>
  <si>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</si>
  <si>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</si>
  <si>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</si>
  <si>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</si>
  <si>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</si>
  <si>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</si>
  <si>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</si>
  <si>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</si>
  <si>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</si>
  <si>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</si>
  <si>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</si>
  <si>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</si>
  <si>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</si>
  <si>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</si>
  <si>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</si>
  <si>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</si>
  <si>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</si>
  <si>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</si>
  <si>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</si>
  <si>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</si>
  <si>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</si>
  <si>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</si>
  <si>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</si>
  <si>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</si>
  <si>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</si>
  <si>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</si>
  <si>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</si>
  <si>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</si>
  <si>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</si>
  <si>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</si>
  <si>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</si>
  <si>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</si>
  <si>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</si>
  <si>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</si>
  <si>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</si>
  <si>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</si>
  <si>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</si>
  <si>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</si>
  <si>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</si>
  <si>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</si>
  <si>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</si>
  <si>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</si>
  <si>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</si>
  <si>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</si>
  <si>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</si>
  <si>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</si>
  <si>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</si>
  <si>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</si>
  <si>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</si>
  <si>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</si>
  <si>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</si>
  <si>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</si>
  <si>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</si>
  <si>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</si>
  <si>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</si>
  <si>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</si>
  <si>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</si>
  <si>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</si>
  <si>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</si>
  <si>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</si>
  <si>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</si>
  <si>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</si>
  <si>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</si>
  <si>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</si>
  <si>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</si>
  <si>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</si>
  <si>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</si>
  <si>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</si>
  <si>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</si>
  <si>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</si>
  <si>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</si>
  <si>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</si>
  <si>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</si>
  <si>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</si>
  <si>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</si>
  <si>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</si>
  <si>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</si>
  <si>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</si>
  <si>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</si>
  <si>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</si>
  <si>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</si>
  <si>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</si>
  <si>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</si>
  <si>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</si>
  <si>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</si>
  <si>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</si>
  <si>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</si>
  <si>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</si>
  <si>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</si>
  <si>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</si>
  <si>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</si>
  <si>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</si>
  <si>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</si>
  <si>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</si>
  <si>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</si>
  <si>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</si>
  <si>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</si>
  <si>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</si>
  <si>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</si>
  <si>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</si>
  <si>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</si>
  <si>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</si>
  <si>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</si>
  <si>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</si>
  <si>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</si>
  <si>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</si>
  <si>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</si>
  <si>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</si>
  <si>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</si>
  <si>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</si>
  <si>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</si>
  <si>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</si>
  <si>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</si>
  <si>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</si>
  <si>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</si>
  <si>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</si>
  <si>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</si>
  <si>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</si>
  <si>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</si>
  <si>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</si>
  <si>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</si>
  <si>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</si>
  <si>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</si>
  <si>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</si>
  <si>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</si>
  <si>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</si>
  <si>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</si>
  <si>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</si>
  <si>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</si>
  <si>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</si>
  <si>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</si>
  <si>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</si>
  <si>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</si>
  <si>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</si>
  <si>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</si>
  <si>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</si>
  <si>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</si>
  <si>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</si>
  <si>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</si>
  <si>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</si>
  <si>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</si>
  <si>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</si>
  <si>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</si>
  <si>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</si>
  <si>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</si>
  <si>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</si>
  <si>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</si>
  <si>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</si>
  <si>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</si>
  <si>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</si>
  <si>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</si>
  <si>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</si>
  <si>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</si>
  <si>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</si>
  <si>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</si>
  <si>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</si>
  <si>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</si>
  <si>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</si>
  <si>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</si>
  <si>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</si>
  <si>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</si>
  <si>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</si>
  <si>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</si>
  <si>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</si>
  <si>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</si>
  <si>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</si>
  <si>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</si>
  <si>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</si>
  <si>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</si>
  <si>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</si>
  <si>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</si>
  <si>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</si>
  <si>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</si>
  <si>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</si>
  <si>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</si>
  <si>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</si>
  <si>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</si>
  <si>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</si>
  <si>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</si>
  <si>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</si>
  <si>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</si>
  <si>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</si>
  <si>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</si>
  <si>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</si>
  <si>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</si>
  <si>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</si>
  <si>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</si>
  <si>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</si>
  <si>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</si>
  <si>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</si>
  <si>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</si>
  <si>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</si>
  <si>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</si>
  <si>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</si>
  <si>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</si>
  <si>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</si>
  <si>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</si>
  <si>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</si>
  <si>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</si>
  <si>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</si>
  <si>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</si>
  <si>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</si>
  <si>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</si>
  <si>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</si>
  <si>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</si>
  <si>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</si>
  <si>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</si>
  <si>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</si>
  <si>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</si>
  <si>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</si>
  <si>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</si>
  <si>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</si>
  <si>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</si>
  <si>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</si>
  <si>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</si>
  <si>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</si>
  <si>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</si>
  <si>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</si>
  <si>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</si>
  <si>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</si>
  <si>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</si>
  <si>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</si>
  <si>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</si>
  <si>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</si>
  <si>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</si>
  <si>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</si>
  <si>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</si>
  <si>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</si>
  <si>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</si>
  <si>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</si>
  <si>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</si>
  <si>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</si>
  <si>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</si>
  <si>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</si>
  <si>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</si>
  <si>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</si>
  <si>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</si>
  <si>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</si>
  <si>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</si>
  <si>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</si>
  <si>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</si>
  <si>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</si>
  <si>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</si>
  <si>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</si>
  <si>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</si>
  <si>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</si>
  <si>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</si>
  <si>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</si>
  <si>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</si>
  <si>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</si>
  <si>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</si>
  <si>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</si>
  <si>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</si>
  <si>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</si>
  <si>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</si>
  <si>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</si>
  <si>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</si>
  <si>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</si>
  <si>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</si>
  <si>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</si>
  <si>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</si>
  <si>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</si>
  <si>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</si>
  <si>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</si>
  <si>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</si>
  <si>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</si>
  <si>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</si>
  <si>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</si>
  <si>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</si>
  <si>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</si>
  <si>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</si>
  <si>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</si>
  <si>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</si>
  <si>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</si>
  <si>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</si>
  <si>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</si>
  <si>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</si>
  <si>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</si>
  <si>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</si>
  <si>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</si>
  <si>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</si>
  <si>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</si>
  <si>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</si>
  <si>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</si>
  <si>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</si>
  <si>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</si>
  <si>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</si>
  <si>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</si>
  <si>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</si>
  <si>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</si>
  <si>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</si>
  <si>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</si>
  <si>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</si>
  <si>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</si>
  <si>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</si>
  <si>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</si>
  <si>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</si>
  <si>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</si>
  <si>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</si>
  <si>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</si>
  <si>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</si>
  <si>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</si>
  <si>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</si>
  <si>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</si>
  <si>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</si>
  <si>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</si>
  <si>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</si>
  <si>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</si>
  <si>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</si>
  <si>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</si>
  <si>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</si>
  <si>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</si>
  <si>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</si>
  <si>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</si>
  <si>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</si>
  <si>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</si>
  <si>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</si>
  <si>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</si>
  <si>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</si>
  <si>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</si>
  <si>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</si>
  <si>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</si>
  <si>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</si>
  <si>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</si>
  <si>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</si>
  <si>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</si>
  <si>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</si>
  <si>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</si>
  <si>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</si>
  <si>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</si>
  <si>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</si>
  <si>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</si>
  <si>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</si>
  <si>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</si>
  <si>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</si>
  <si>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</si>
  <si>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</si>
  <si>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</si>
  <si>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</si>
  <si>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</si>
  <si>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</si>
  <si>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</si>
  <si>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</si>
  <si>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</si>
  <si>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</si>
  <si>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</si>
  <si>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</si>
  <si>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</si>
  <si>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</si>
  <si>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</si>
  <si>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</si>
  <si>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</si>
  <si>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</si>
  <si>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</si>
  <si>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</si>
  <si>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</si>
  <si>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</si>
  <si>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</si>
  <si>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</si>
  <si>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</si>
  <si>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</si>
  <si>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</si>
  <si>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</si>
  <si>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</si>
  <si>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</si>
  <si>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</si>
  <si>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</si>
  <si>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</si>
  <si>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</si>
  <si>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</si>
  <si>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</si>
  <si>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</si>
  <si>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</si>
  <si>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</si>
  <si>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</si>
  <si>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</si>
  <si>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</si>
  <si>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</si>
  <si>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</si>
  <si>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</si>
  <si>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</si>
  <si>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</si>
  <si>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</si>
  <si>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</si>
  <si>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</si>
  <si>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</si>
  <si>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</si>
  <si>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</si>
  <si>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</si>
  <si>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</si>
  <si>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</si>
  <si>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</si>
  <si>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</si>
  <si>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</si>
  <si>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</si>
  <si>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</si>
  <si>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</si>
  <si>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</si>
  <si>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</si>
  <si>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</si>
  <si>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</si>
  <si>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</si>
  <si>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</si>
  <si>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</si>
  <si>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</si>
  <si>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</si>
  <si>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</si>
  <si>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</si>
  <si>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</si>
  <si>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</si>
  <si>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</si>
  <si>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</si>
  <si>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</si>
  <si>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</si>
  <si>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</si>
  <si>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</si>
  <si>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</si>
  <si>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</si>
  <si>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</si>
  <si>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</si>
  <si>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</si>
  <si>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</si>
  <si>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</si>
  <si>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</si>
  <si>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</si>
  <si>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</si>
  <si>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</si>
  <si>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</si>
  <si>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</si>
  <si>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</si>
  <si>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</si>
  <si>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</si>
  <si>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</si>
  <si>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</si>
  <si>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</si>
  <si>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</si>
  <si>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</si>
  <si>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</si>
  <si>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</si>
  <si>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</si>
  <si>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</si>
  <si>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</si>
  <si>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</si>
  <si>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</si>
  <si>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</si>
  <si>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</si>
  <si>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</si>
  <si>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</si>
  <si>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</si>
  <si>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</si>
  <si>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</si>
  <si>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</si>
  <si>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</si>
  <si>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</si>
  <si>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</si>
  <si>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</si>
  <si>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</si>
  <si>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</si>
  <si>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</si>
  <si>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</si>
  <si>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</si>
  <si>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</si>
  <si>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</si>
  <si>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</si>
  <si>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</si>
  <si>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</si>
  <si>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</si>
  <si>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</si>
  <si>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</si>
  <si>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</si>
  <si>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</si>
  <si>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</si>
  <si>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</si>
  <si>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</si>
  <si>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</si>
  <si>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</si>
  <si>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</si>
  <si>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</si>
  <si>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</si>
  <si>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</si>
  <si>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</si>
  <si>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</si>
  <si>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</si>
  <si>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</si>
  <si>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</si>
  <si>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</si>
  <si>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</si>
  <si>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</si>
  <si>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</si>
  <si>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</si>
  <si>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</si>
  <si>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</si>
  <si>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</si>
  <si>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</si>
  <si>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</si>
  <si>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</si>
  <si>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</si>
  <si>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</si>
  <si>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</si>
  <si>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</si>
  <si>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</si>
  <si>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</si>
  <si>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</si>
  <si>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</si>
  <si>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</si>
  <si>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</si>
  <si>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</si>
  <si>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</si>
  <si>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</si>
  <si>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</si>
  <si>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</si>
  <si>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</si>
  <si>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</si>
  <si>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</si>
  <si>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</si>
  <si>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</si>
  <si>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</si>
  <si>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</si>
  <si>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</si>
  <si>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</si>
  <si>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</si>
  <si>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</si>
  <si>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</si>
  <si>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</si>
  <si>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</si>
  <si>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</si>
  <si>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</si>
  <si>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</si>
  <si>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</si>
  <si>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</si>
  <si>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</si>
  <si>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</si>
  <si>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</si>
  <si>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</si>
  <si>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</si>
  <si>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</si>
  <si>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</si>
  <si>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</si>
  <si>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</si>
  <si>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</si>
  <si>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</si>
  <si>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</si>
  <si>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</si>
  <si>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</si>
  <si>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</si>
  <si>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</si>
  <si>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</si>
  <si>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</si>
  <si>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</si>
  <si>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</si>
  <si>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</si>
  <si>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</si>
  <si>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</si>
  <si>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</si>
  <si>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</si>
  <si>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</si>
  <si>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</si>
  <si>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</si>
  <si>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</si>
  <si>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</si>
  <si>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</si>
  <si>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</si>
  <si>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</si>
  <si>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</si>
  <si>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</si>
  <si>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</si>
  <si>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</si>
  <si>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</si>
  <si>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</si>
  <si>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</si>
  <si>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</si>
  <si>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</si>
  <si>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</si>
  <si>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</si>
  <si>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</si>
  <si>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</si>
  <si>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</si>
  <si>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</si>
  <si>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</si>
  <si>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</si>
  <si>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</si>
  <si>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</si>
  <si>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</si>
  <si>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</si>
  <si>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</si>
  <si>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</si>
  <si>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</si>
  <si>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</si>
  <si>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</si>
  <si>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</si>
  <si>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</si>
  <si>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</si>
  <si>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</si>
  <si>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</si>
  <si>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</si>
  <si>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</si>
  <si>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</si>
  <si>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</si>
  <si>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</si>
  <si>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</si>
  <si>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</si>
  <si>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</si>
  <si>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</si>
  <si>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</si>
  <si>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</si>
  <si>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</si>
  <si>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</si>
  <si>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</si>
  <si>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</si>
  <si>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</si>
  <si>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</si>
  <si>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</si>
  <si>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</si>
  <si>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</si>
  <si>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</si>
  <si>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</si>
  <si>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</si>
  <si>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</si>
  <si>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</si>
  <si>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</si>
  <si>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</si>
  <si>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</si>
  <si>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</si>
  <si>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</si>
  <si>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</si>
  <si>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</si>
  <si>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</si>
  <si>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</si>
  <si>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</si>
  <si>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</si>
  <si>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</si>
  <si>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</si>
  <si>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</si>
  <si>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</si>
  <si>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</si>
  <si>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</si>
  <si>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</si>
  <si>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</si>
  <si>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</si>
  <si>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</si>
  <si>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</si>
  <si>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</si>
  <si>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</si>
  <si>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</si>
  <si>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</si>
  <si>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</si>
  <si>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</si>
  <si>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</si>
  <si>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</si>
  <si>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</si>
  <si>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</si>
  <si>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</si>
  <si>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</si>
  <si>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</si>
  <si>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</si>
  <si>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</si>
  <si>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</si>
  <si>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</si>
  <si>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</si>
  <si>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</si>
  <si>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</si>
  <si>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</si>
  <si>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</si>
  <si>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</si>
  <si>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</si>
  <si>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</si>
  <si>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</si>
  <si>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</si>
  <si>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</si>
  <si>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</si>
  <si>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</si>
  <si>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</si>
  <si>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</si>
  <si>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</si>
  <si>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</si>
  <si>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</si>
  <si>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</si>
  <si>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</si>
  <si>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</si>
  <si>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</si>
  <si>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</si>
  <si>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</si>
  <si>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</si>
  <si>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</si>
  <si>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</si>
  <si>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</si>
  <si>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</si>
  <si>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</si>
  <si>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</si>
  <si>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</si>
  <si>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</si>
  <si>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</si>
  <si>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</si>
  <si>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</si>
  <si>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</si>
  <si>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</si>
  <si>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</si>
  <si>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</si>
  <si>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</si>
  <si>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</si>
  <si>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</si>
  <si>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</si>
  <si>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</si>
  <si>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</si>
  <si>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</si>
  <si>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</si>
  <si>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</si>
  <si>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</si>
  <si>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</si>
  <si>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</si>
  <si>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</si>
  <si>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</si>
  <si>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</si>
  <si>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</si>
  <si>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</si>
  <si>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</si>
  <si>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</si>
  <si>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</si>
  <si>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</si>
  <si>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</si>
  <si>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</si>
  <si>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</si>
  <si>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</si>
  <si>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</si>
  <si>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</si>
  <si>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</si>
  <si>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</si>
  <si>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</si>
  <si>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</si>
  <si>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</si>
  <si>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</si>
  <si>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</si>
  <si>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</si>
  <si>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</si>
  <si>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</si>
  <si>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</si>
  <si>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</si>
  <si>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</si>
  <si>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</si>
  <si>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</si>
  <si>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</si>
  <si>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</si>
  <si>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</si>
  <si>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</si>
  <si>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</si>
  <si>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</si>
  <si>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</si>
  <si>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</si>
  <si>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</si>
  <si>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</si>
  <si>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</si>
  <si>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</si>
  <si>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</si>
  <si>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</si>
  <si>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</si>
  <si>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</si>
  <si>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</si>
  <si>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</si>
  <si>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</si>
  <si>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</si>
  <si>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</si>
  <si>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</si>
  <si>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</si>
  <si>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</si>
  <si>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</si>
  <si>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</si>
  <si>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</si>
  <si>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</si>
  <si>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</si>
  <si>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</si>
  <si>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</si>
  <si>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</si>
  <si>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</si>
  <si>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</si>
  <si>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</si>
  <si>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</si>
  <si>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</si>
  <si>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</si>
  <si>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</si>
  <si>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</si>
  <si>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</si>
  <si>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</si>
  <si>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</si>
  <si>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</si>
  <si>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</si>
  <si>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</si>
  <si>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</si>
  <si>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</si>
  <si>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</si>
  <si>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</si>
  <si>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</si>
  <si>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</si>
  <si>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</si>
  <si>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</si>
  <si>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</si>
  <si>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</si>
  <si>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</si>
  <si>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</si>
  <si>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</si>
  <si>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</si>
  <si>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</si>
  <si>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</si>
  <si>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</si>
  <si>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</si>
  <si>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</si>
  <si>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</si>
  <si>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</si>
  <si>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</si>
  <si>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</si>
  <si>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</si>
  <si>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</si>
  <si>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</si>
  <si>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</si>
  <si>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</si>
  <si>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</si>
  <si>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</si>
  <si>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</si>
  <si>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</si>
  <si>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</si>
  <si>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</si>
  <si>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</si>
  <si>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</si>
  <si>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</si>
  <si>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</si>
  <si>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</si>
  <si>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</si>
  <si>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</si>
  <si>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</si>
  <si>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</si>
  <si>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</si>
  <si>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</si>
  <si>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</si>
  <si>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</si>
  <si>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</si>
  <si>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</si>
  <si>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</si>
  <si>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</si>
  <si>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</si>
  <si>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</si>
  <si>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</si>
  <si>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</si>
  <si>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</si>
  <si>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</si>
  <si>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</si>
  <si>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</si>
  <si>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</si>
  <si>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</si>
  <si>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</si>
  <si>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</si>
  <si>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</si>
  <si>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</si>
  <si>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</si>
  <si>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</si>
  <si>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</si>
  <si>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</si>
  <si>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</si>
  <si>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</si>
  <si>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</si>
  <si>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</si>
  <si>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</si>
  <si>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</si>
  <si>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</si>
  <si>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</si>
  <si>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</si>
  <si>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</si>
  <si>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</si>
  <si>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</si>
  <si>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</si>
  <si>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</si>
  <si>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</si>
  <si>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</si>
  <si>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</si>
  <si>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</si>
  <si>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</si>
  <si>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</si>
  <si>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</si>
  <si>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</si>
  <si>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</si>
  <si>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</si>
  <si>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</si>
  <si>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</si>
  <si>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</si>
  <si>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</si>
  <si>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</si>
  <si>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</si>
  <si>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</si>
  <si>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</si>
  <si>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</si>
  <si>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</si>
  <si>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</si>
  <si>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</si>
  <si>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</si>
  <si>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</si>
  <si>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</si>
  <si>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</si>
  <si>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</si>
  <si>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</si>
  <si>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</si>
  <si>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</si>
  <si>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</si>
  <si>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</si>
  <si>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</si>
  <si>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</si>
  <si>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</si>
  <si>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</si>
  <si>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</si>
  <si>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</si>
  <si>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</si>
  <si>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</si>
  <si>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</si>
  <si>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</si>
  <si>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</si>
  <si>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</si>
  <si>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</si>
  <si>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</si>
  <si>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</si>
  <si>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</si>
  <si>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</si>
  <si>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</si>
  <si>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</si>
  <si>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</si>
  <si>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</si>
  <si>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</si>
  <si>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</si>
  <si>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</si>
  <si>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</si>
  <si>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</si>
  <si>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</si>
  <si>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</si>
  <si>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</si>
  <si>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</si>
  <si>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</si>
  <si>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</si>
  <si>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</si>
  <si>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</si>
  <si>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</si>
  <si>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</si>
  <si>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</si>
  <si>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</si>
  <si>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</si>
  <si>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</si>
  <si>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</si>
  <si>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</si>
  <si>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</si>
  <si>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</si>
  <si>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</si>
  <si>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</si>
  <si>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</si>
  <si>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</si>
  <si>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</si>
  <si>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</si>
  <si>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</si>
  <si>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</si>
  <si>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</si>
  <si>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</si>
  <si>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</si>
  <si>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</si>
  <si>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</si>
  <si>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</si>
  <si>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</si>
  <si>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</si>
  <si>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</si>
  <si>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</si>
  <si>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</si>
  <si>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</si>
  <si>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</si>
  <si>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</si>
  <si>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</si>
  <si>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</si>
  <si>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</si>
  <si>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</si>
  <si>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</si>
  <si>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</si>
  <si>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</si>
  <si>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</si>
  <si>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</si>
  <si>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</si>
  <si>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</si>
  <si>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</si>
  <si>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</si>
  <si>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</si>
  <si>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</si>
  <si>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</si>
  <si>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</si>
  <si>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</si>
  <si>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</si>
  <si>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</si>
  <si>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</si>
  <si>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</si>
  <si>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</si>
  <si>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</si>
  <si>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</si>
  <si>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</si>
  <si>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</si>
  <si>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</si>
  <si>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</si>
  <si>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</si>
  <si>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</si>
  <si>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</si>
  <si>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</si>
  <si>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</si>
  <si>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</si>
  <si>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</si>
  <si>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</si>
  <si>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</si>
  <si>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</si>
  <si>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</si>
  <si>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</si>
  <si>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</si>
  <si>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</si>
  <si>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</si>
  <si>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</si>
  <si>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</si>
  <si>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</si>
  <si>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</si>
  <si>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</si>
  <si>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</si>
  <si>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</si>
  <si>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</si>
  <si>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</si>
  <si>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</si>
  <si>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</si>
  <si>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</si>
  <si>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</si>
  <si>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</si>
  <si>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</si>
  <si>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</si>
  <si>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</si>
  <si>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</si>
  <si>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</si>
  <si>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</si>
  <si>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</si>
  <si>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</si>
  <si>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</si>
  <si>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</si>
  <si>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</si>
  <si>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</si>
  <si>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</si>
  <si>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</si>
  <si>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</si>
  <si>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</si>
  <si>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</si>
  <si>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</si>
  <si>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</si>
  <si>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</si>
  <si>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</si>
  <si>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</si>
  <si>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</si>
  <si>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</si>
  <si>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</si>
  <si>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</si>
  <si>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</si>
  <si>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</si>
  <si>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</si>
  <si>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</si>
  <si>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</si>
  <si>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</si>
  <si>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</si>
  <si>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</si>
  <si>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</si>
  <si>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</si>
  <si>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</si>
  <si>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</si>
  <si>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</si>
  <si>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</si>
  <si>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</si>
  <si>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</si>
  <si>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</si>
  <si>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</si>
  <si>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</si>
  <si>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</si>
  <si>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</si>
  <si>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</si>
  <si>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</si>
  <si>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</si>
  <si>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</si>
  <si>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</si>
  <si>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</si>
  <si>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</si>
  <si>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</si>
  <si>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</si>
  <si>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</si>
  <si>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</si>
  <si>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</si>
  <si>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</si>
  <si>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</si>
  <si>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</si>
  <si>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</si>
  <si>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</si>
  <si>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</si>
  <si>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</si>
  <si>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</si>
  <si>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</si>
  <si>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</si>
  <si>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</si>
  <si>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</si>
  <si>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</si>
  <si>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</si>
  <si>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</si>
  <si>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</si>
  <si>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</si>
  <si>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</si>
  <si>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</si>
  <si>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</si>
  <si>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</si>
  <si>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</si>
  <si>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</si>
  <si>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</si>
  <si>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</si>
  <si>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</si>
  <si>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</si>
  <si>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</si>
  <si>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</si>
  <si>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</si>
  <si>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</si>
  <si>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</si>
  <si>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</si>
  <si>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</si>
  <si>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</si>
  <si>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</si>
  <si>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</si>
  <si>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</si>
  <si>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</si>
  <si>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</si>
  <si>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</si>
  <si>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</si>
  <si>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</si>
  <si>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</si>
  <si>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</si>
  <si>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</si>
  <si>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</si>
  <si>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</si>
  <si>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</si>
  <si>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</si>
  <si>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</si>
  <si>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</si>
  <si>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</si>
  <si>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</si>
  <si>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</si>
  <si>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</si>
  <si>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</si>
  <si>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</si>
  <si>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</si>
  <si>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</si>
  <si>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</si>
  <si>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</si>
  <si>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</si>
  <si>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</si>
  <si>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</si>
  <si>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</si>
  <si>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</si>
  <si>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</si>
  <si>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</si>
  <si>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</si>
  <si>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</si>
  <si>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</si>
  <si>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</si>
  <si>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</si>
  <si>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</si>
  <si>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</si>
  <si>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</si>
  <si>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</si>
  <si>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</si>
  <si>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</si>
  <si>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</si>
  <si>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</si>
  <si>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</si>
  <si>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</si>
  <si>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</si>
  <si>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</si>
  <si>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</si>
  <si>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</si>
  <si>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</si>
  <si>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</si>
  <si>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</si>
  <si>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</si>
  <si>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</si>
  <si>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</si>
  <si>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</si>
  <si>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</si>
  <si>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</si>
  <si>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</si>
  <si>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</si>
  <si>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</si>
  <si>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</si>
  <si>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</si>
  <si>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</si>
  <si>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</si>
  <si>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</si>
  <si>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</si>
  <si>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</si>
  <si>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</si>
  <si>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</si>
  <si>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</si>
  <si>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</si>
  <si>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</si>
  <si>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</si>
  <si>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</si>
  <si>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</si>
  <si>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</si>
  <si>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</si>
  <si>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</si>
  <si>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</si>
  <si>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</si>
  <si>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</si>
  <si>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</si>
  <si>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</si>
  <si>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</si>
  <si>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</si>
  <si>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</si>
  <si>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</si>
  <si>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</si>
  <si>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</si>
  <si>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</si>
  <si>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</si>
  <si>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</si>
  <si>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</si>
  <si>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</si>
  <si>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</si>
  <si>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</si>
  <si>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</si>
  <si>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</si>
  <si>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</si>
  <si>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</si>
  <si>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</si>
  <si>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</si>
  <si>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</si>
  <si>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</si>
  <si>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</si>
  <si>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</si>
  <si>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</si>
  <si>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</si>
  <si>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</si>
  <si>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</si>
  <si>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</si>
  <si>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</si>
  <si>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</si>
  <si>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</si>
  <si>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</si>
  <si>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</si>
  <si>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</si>
  <si>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</si>
  <si>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</si>
  <si>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</si>
  <si>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</si>
  <si>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</si>
  <si>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</si>
  <si>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</si>
  <si>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</si>
  <si>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</si>
  <si>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</si>
  <si>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</si>
  <si>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</si>
  <si>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</si>
  <si>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</si>
  <si>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</si>
  <si>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</si>
  <si>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</si>
  <si>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</si>
  <si>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</si>
  <si>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</si>
  <si>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</si>
  <si>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</si>
  <si>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</si>
  <si>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</si>
  <si>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</si>
  <si>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</si>
  <si>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</si>
  <si>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</si>
  <si>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</si>
  <si>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</si>
  <si>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</si>
  <si>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</si>
  <si>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</si>
  <si>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</si>
  <si>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</si>
  <si>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</si>
  <si>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</si>
  <si>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</si>
  <si>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</si>
  <si>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</si>
  <si>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</si>
  <si>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</si>
  <si>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</si>
  <si>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</si>
  <si>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</si>
  <si>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</si>
  <si>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</si>
  <si>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</si>
  <si>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</si>
  <si>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</si>
  <si>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</si>
  <si>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</si>
  <si>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</si>
  <si>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</si>
  <si>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</si>
  <si>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</si>
  <si>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</si>
  <si>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</si>
  <si>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</si>
  <si>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</si>
  <si>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</si>
  <si>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</si>
  <si>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</si>
  <si>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</si>
  <si>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</si>
  <si>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</si>
  <si>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</si>
  <si>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</si>
  <si>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</si>
  <si>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</si>
  <si>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</si>
  <si>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</si>
  <si>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</si>
  <si>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</si>
  <si>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</si>
  <si>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</si>
  <si>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</si>
  <si>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</si>
  <si>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</si>
  <si>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</si>
  <si>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</si>
  <si>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</si>
  <si>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</si>
  <si>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</si>
  <si>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</si>
  <si>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</si>
  <si>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</si>
  <si>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</si>
  <si>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</si>
  <si>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</si>
  <si>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</si>
  <si>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</si>
  <si>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</si>
  <si>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</si>
  <si>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</si>
  <si>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</si>
  <si>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</si>
  <si>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</si>
  <si>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</si>
  <si>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</si>
  <si>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</si>
  <si>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</si>
  <si>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</si>
  <si>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</si>
  <si>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</si>
  <si>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</si>
  <si>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</si>
  <si>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</si>
  <si>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</si>
  <si>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</si>
  <si>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</si>
  <si>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</si>
  <si>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</si>
  <si>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</si>
  <si>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</si>
  <si>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</si>
  <si>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</si>
  <si>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</si>
  <si>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</si>
  <si>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</si>
  <si>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</si>
  <si>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</si>
  <si>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</si>
  <si>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</si>
  <si>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</si>
  <si>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</si>
  <si>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</si>
  <si>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</si>
  <si>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</si>
  <si>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</si>
  <si>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</si>
  <si>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</si>
  <si>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</si>
  <si>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</si>
  <si>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</si>
  <si>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</si>
  <si>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</si>
  <si>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</si>
  <si>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</si>
  <si>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</si>
  <si>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</si>
  <si>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</si>
  <si>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</si>
  <si>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</si>
  <si>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</si>
  <si>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</si>
  <si>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</si>
  <si>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</si>
  <si>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</si>
  <si>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</si>
  <si>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</si>
  <si>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</si>
  <si>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</si>
  <si>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</si>
  <si>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</si>
  <si>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</si>
  <si>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</si>
  <si>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</si>
  <si>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</si>
  <si>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</si>
  <si>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</si>
  <si>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</si>
  <si>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</si>
  <si>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</si>
  <si>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</si>
  <si>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</si>
  <si>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</si>
  <si>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</si>
  <si>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</si>
  <si>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</si>
  <si>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</si>
  <si>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</si>
  <si>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</si>
  <si>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</si>
  <si>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</si>
  <si>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</si>
  <si>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</si>
  <si>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</si>
  <si>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</si>
  <si>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</si>
  <si>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</si>
  <si>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</si>
  <si>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</si>
  <si>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</si>
  <si>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</si>
  <si>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</si>
  <si>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</si>
  <si>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</si>
  <si>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</si>
  <si>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</si>
  <si>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</si>
  <si>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</si>
  <si>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</si>
  <si>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</si>
  <si>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</si>
  <si>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</si>
  <si>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</si>
  <si>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</si>
  <si>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</si>
  <si>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</si>
  <si>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</si>
  <si>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</si>
  <si>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</si>
  <si>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</si>
  <si>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</si>
  <si>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</si>
  <si>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</si>
  <si>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</si>
  <si>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</si>
  <si>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</si>
  <si>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</si>
  <si>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</si>
  <si>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</si>
  <si>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</si>
  <si>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</si>
  <si>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</si>
  <si>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</si>
  <si>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</si>
  <si>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</si>
  <si>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</si>
  <si>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</si>
  <si>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</si>
  <si>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</si>
  <si>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</si>
  <si>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</si>
  <si>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</si>
  <si>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</si>
  <si>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</si>
  <si>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</si>
  <si>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</si>
  <si>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</si>
  <si>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</si>
  <si>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</si>
  <si>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</si>
  <si>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</si>
  <si>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</si>
  <si>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</si>
  <si>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</si>
  <si>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</si>
  <si>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</si>
  <si>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</si>
  <si>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</si>
  <si>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</si>
  <si>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</si>
  <si>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</si>
  <si>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</si>
  <si>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</si>
  <si>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</si>
  <si>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</si>
  <si>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</si>
  <si>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</si>
  <si>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</si>
  <si>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</si>
  <si>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</si>
  <si>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</si>
  <si>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</si>
  <si>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</si>
  <si>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</si>
  <si>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</si>
  <si>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</si>
  <si>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</si>
  <si>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</si>
  <si>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</si>
  <si>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</si>
  <si>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</si>
  <si>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</si>
  <si>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</si>
  <si>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</si>
  <si>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</si>
  <si>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</si>
  <si>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</si>
  <si>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</si>
  <si>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</si>
  <si>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</si>
  <si>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</si>
  <si>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</si>
  <si>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</si>
  <si>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</si>
  <si>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</si>
  <si>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</si>
  <si>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</si>
  <si>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</si>
  <si>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</si>
  <si>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</si>
  <si>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</si>
  <si>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</si>
  <si>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</si>
  <si>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</si>
  <si>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</si>
  <si>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</si>
  <si>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</si>
  <si>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</si>
  <si>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</si>
  <si>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</si>
  <si>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</si>
  <si>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</si>
  <si>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</si>
  <si>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</si>
  <si>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</si>
  <si>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</si>
  <si>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</si>
  <si>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</si>
  <si>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</si>
  <si>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</si>
  <si>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</si>
  <si>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</si>
  <si>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</si>
  <si>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</si>
  <si>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</si>
  <si>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</si>
  <si>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</si>
  <si>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</si>
  <si>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</si>
  <si>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</si>
  <si>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</si>
  <si>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</si>
  <si>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</si>
  <si>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</si>
  <si>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</si>
  <si>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</si>
  <si>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</si>
  <si>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</si>
  <si>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</si>
  <si>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</si>
  <si>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</si>
  <si>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</si>
  <si>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</si>
  <si>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</si>
  <si>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</si>
  <si>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</si>
  <si>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</si>
  <si>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</si>
  <si>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</si>
  <si>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</si>
  <si>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</si>
  <si>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</si>
  <si>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</si>
  <si>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</si>
  <si>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</si>
  <si>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</si>
  <si>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</si>
  <si>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</si>
  <si>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</si>
  <si>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</si>
  <si>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</si>
  <si>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</si>
  <si>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</si>
  <si>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</si>
  <si>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</si>
  <si>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</si>
  <si>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</si>
  <si>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</si>
  <si>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</si>
  <si>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</si>
  <si>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</si>
  <si>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</si>
  <si>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</si>
  <si>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</si>
  <si>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</si>
  <si>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</si>
  <si>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</si>
  <si>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</si>
  <si>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</si>
  <si>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</si>
  <si>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</si>
  <si>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</si>
  <si>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</si>
  <si>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</si>
  <si>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</si>
  <si>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</si>
  <si>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</si>
  <si>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</si>
  <si>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</si>
  <si>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</si>
  <si>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</si>
  <si>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</si>
  <si>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</si>
  <si>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</si>
  <si>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</si>
  <si>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</si>
  <si>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</si>
  <si>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</si>
  <si>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</si>
  <si>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</si>
  <si>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</si>
  <si>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</si>
  <si>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</si>
  <si>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</si>
  <si>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</si>
  <si>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</si>
  <si>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</si>
  <si>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</si>
  <si>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</si>
  <si>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</si>
  <si>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</si>
  <si>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</si>
  <si>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</si>
  <si>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</si>
  <si>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</si>
  <si>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</si>
  <si>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</si>
  <si>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</si>
  <si>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</si>
  <si>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</si>
  <si>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</si>
  <si>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</si>
  <si>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</si>
  <si>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</si>
  <si>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</si>
  <si>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</si>
  <si>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</si>
  <si>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</si>
  <si>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</si>
  <si>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</si>
  <si>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</si>
  <si>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</si>
  <si>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</si>
  <si>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</si>
  <si>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</si>
  <si>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</si>
  <si>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</si>
  <si>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</si>
  <si>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</si>
  <si>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</si>
  <si>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</si>
  <si>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</si>
  <si>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</si>
  <si>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</si>
  <si>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</si>
  <si>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</si>
  <si>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</si>
  <si>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</si>
  <si>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</si>
  <si>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</si>
  <si>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</si>
  <si>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</si>
  <si>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</si>
  <si>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</si>
  <si>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</si>
  <si>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</si>
  <si>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</si>
  <si>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</si>
  <si>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</si>
  <si>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</si>
  <si>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</si>
  <si>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</si>
  <si>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</si>
  <si>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</si>
  <si>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</si>
  <si>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</si>
  <si>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</si>
  <si>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</si>
  <si>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</si>
  <si>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</si>
  <si>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</si>
  <si>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</si>
  <si>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</si>
  <si>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</si>
  <si>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</si>
  <si>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</si>
  <si>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</si>
  <si>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</si>
  <si>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</si>
  <si>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</si>
  <si>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</si>
  <si>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</si>
  <si>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</si>
  <si>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</si>
  <si>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</si>
  <si>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</si>
  <si>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</si>
  <si>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</si>
  <si>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</si>
  <si>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</si>
  <si>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</si>
  <si>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</si>
  <si>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</si>
  <si>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</si>
  <si>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</si>
  <si>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</si>
  <si>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</si>
  <si>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</si>
  <si>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</si>
  <si>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</si>
  <si>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</si>
  <si>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</si>
  <si>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</si>
  <si>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</si>
  <si>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</si>
  <si>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</si>
  <si>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</si>
  <si>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</si>
  <si>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</si>
  <si>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</si>
  <si>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</si>
  <si>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</si>
  <si>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</si>
  <si>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</si>
  <si>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</si>
  <si>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</si>
  <si>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</si>
  <si>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</si>
  <si>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</si>
  <si>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</si>
  <si>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</si>
  <si>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</si>
  <si>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</si>
  <si>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</si>
  <si>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</si>
  <si>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</si>
  <si>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</si>
  <si>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</si>
  <si>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</si>
  <si>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</si>
  <si>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</si>
  <si>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</si>
  <si>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</si>
  <si>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</si>
  <si>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</si>
  <si>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</si>
  <si>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</si>
  <si>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</si>
  <si>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</si>
  <si>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</si>
  <si>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</si>
  <si>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</si>
  <si>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</si>
  <si>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</si>
  <si>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</si>
  <si>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</si>
  <si>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</si>
  <si>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</si>
  <si>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</si>
  <si>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</si>
  <si>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</si>
  <si>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</si>
  <si>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</si>
  <si>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</si>
  <si>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</si>
  <si>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</si>
  <si>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</si>
  <si>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</si>
  <si>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</si>
  <si>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</si>
  <si>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</si>
  <si>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</si>
  <si>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</si>
  <si>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</si>
  <si>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</si>
  <si>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</si>
  <si>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</si>
  <si>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</si>
  <si>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</si>
  <si>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</si>
  <si>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</si>
  <si>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</si>
  <si>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</si>
  <si>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</si>
  <si>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</si>
  <si>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</si>
  <si>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</si>
  <si>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</si>
  <si>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</si>
  <si>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</si>
  <si>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</si>
  <si>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</si>
  <si>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</si>
  <si>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</si>
  <si>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</si>
  <si>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</si>
  <si>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</si>
  <si>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</si>
  <si>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</si>
  <si>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</si>
  <si>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</si>
  <si>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</si>
  <si>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</si>
  <si>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</si>
  <si>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</si>
  <si>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</si>
  <si>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</si>
  <si>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</si>
  <si>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</si>
  <si>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</si>
  <si>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</si>
  <si>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</si>
  <si>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</si>
  <si>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</si>
  <si>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</si>
  <si>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</si>
  <si>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</si>
  <si>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</si>
  <si>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</si>
  <si>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</si>
  <si>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</si>
  <si>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</si>
  <si>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</si>
  <si>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</si>
  <si>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</si>
  <si>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</si>
  <si>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</si>
  <si>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</si>
  <si>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</si>
  <si>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</si>
  <si>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</si>
  <si>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</si>
  <si>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</si>
  <si>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</si>
  <si>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</si>
  <si>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</si>
  <si>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</si>
  <si>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</si>
  <si>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</si>
  <si>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</si>
  <si>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</si>
  <si>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</si>
  <si>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</si>
  <si>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</si>
  <si>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</si>
  <si>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</si>
  <si>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</si>
  <si>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</si>
  <si>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</si>
  <si>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</si>
  <si>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</si>
  <si>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</si>
  <si>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</si>
  <si>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</si>
  <si>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</si>
  <si>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</si>
  <si>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</si>
  <si>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</si>
  <si>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</si>
  <si>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</si>
  <si>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</si>
  <si>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</si>
  <si>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</si>
  <si>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</si>
  <si>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</si>
  <si>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</si>
  <si>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</si>
  <si>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</si>
  <si>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</si>
  <si>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</si>
  <si>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</si>
  <si>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</si>
  <si>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</si>
  <si>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</si>
  <si>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</si>
  <si>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</si>
  <si>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</si>
  <si>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</si>
  <si>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</si>
  <si>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</si>
  <si>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</si>
  <si>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</si>
  <si>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</si>
  <si>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</si>
  <si>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</si>
  <si>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</si>
  <si>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</si>
  <si>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</si>
  <si>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</si>
  <si>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</si>
  <si>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</si>
  <si>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</si>
  <si>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</si>
  <si>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</si>
  <si>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</si>
  <si>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</si>
  <si>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</si>
  <si>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</si>
  <si>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</si>
  <si>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</si>
  <si>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</si>
  <si>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</si>
  <si>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</si>
  <si>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</si>
  <si>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</si>
  <si>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</si>
  <si>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</si>
  <si>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</si>
  <si>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</si>
  <si>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</si>
  <si>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</si>
  <si>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</si>
  <si>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</si>
  <si>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</si>
  <si>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</si>
  <si>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</si>
  <si>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</si>
  <si>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</si>
  <si>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</si>
  <si>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</si>
  <si>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</si>
  <si>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</si>
  <si>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</si>
  <si>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</si>
  <si>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</si>
  <si>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</si>
  <si>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</si>
  <si>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</si>
  <si>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</si>
  <si>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</si>
  <si>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</si>
  <si>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</si>
  <si>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</si>
  <si>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</si>
  <si>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</si>
  <si>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</si>
  <si>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</si>
  <si>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</si>
  <si>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</si>
  <si>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</si>
  <si>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</si>
  <si>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</si>
  <si>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</si>
  <si>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</si>
  <si>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</si>
  <si>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</si>
  <si>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</si>
  <si>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</si>
  <si>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</si>
  <si>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</si>
  <si>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</si>
  <si>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</si>
  <si>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</si>
  <si>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</si>
  <si>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</si>
  <si>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</si>
  <si>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</si>
  <si>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</si>
  <si>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</si>
  <si>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</si>
  <si>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</si>
  <si>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</si>
  <si>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</si>
  <si>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</si>
  <si>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</si>
  <si>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</si>
  <si>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</si>
  <si>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</si>
  <si>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</si>
  <si>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</si>
  <si>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</si>
  <si>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</si>
  <si>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</si>
  <si>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</si>
  <si>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</si>
  <si>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</si>
  <si>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</si>
  <si>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</si>
  <si>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</si>
  <si>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</si>
  <si>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</si>
  <si>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</si>
  <si>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</si>
  <si>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</si>
  <si>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</si>
  <si>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</si>
  <si>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</si>
  <si>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</si>
  <si>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</si>
  <si>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</si>
  <si>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</si>
  <si>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</si>
  <si>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</si>
  <si>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</si>
  <si>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</si>
  <si>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</si>
  <si>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</si>
  <si>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</si>
  <si>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</si>
  <si>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</si>
  <si>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</si>
  <si>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</si>
  <si>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</si>
  <si>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</si>
  <si>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</si>
  <si>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</si>
  <si>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</si>
  <si>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</si>
  <si>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</si>
  <si>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</si>
  <si>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</si>
  <si>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</si>
  <si>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</si>
  <si>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</si>
  <si>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</si>
  <si>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</si>
  <si>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</si>
  <si>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</si>
  <si>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</si>
  <si>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</si>
  <si>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</si>
  <si>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</si>
  <si>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</si>
  <si>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</si>
  <si>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</si>
  <si>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</si>
  <si>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</si>
  <si>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</si>
  <si>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</si>
  <si>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</si>
  <si>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</si>
  <si>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</si>
  <si>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</si>
  <si>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</si>
  <si>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</si>
  <si>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</si>
  <si>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</si>
  <si>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</si>
  <si>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</si>
  <si>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</si>
  <si>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</si>
  <si>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</si>
  <si>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</si>
  <si>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</si>
  <si>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</si>
  <si>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</si>
  <si>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</si>
  <si>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</si>
  <si>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</si>
  <si>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</si>
  <si>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</si>
  <si>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</si>
  <si>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</si>
  <si>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</si>
  <si>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</si>
  <si>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</si>
  <si>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</si>
  <si>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</si>
  <si>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</si>
  <si>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</si>
  <si>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</si>
  <si>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</si>
  <si>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</si>
  <si>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</si>
  <si>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</si>
  <si>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</si>
  <si>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</si>
  <si>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</si>
  <si>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</si>
  <si>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</si>
  <si>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</si>
  <si>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</si>
  <si>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</si>
  <si>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</si>
  <si>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</si>
  <si>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</si>
  <si>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</si>
  <si>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</si>
  <si>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</si>
  <si>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</si>
  <si>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</si>
  <si>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</si>
  <si>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</si>
  <si>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</si>
  <si>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</si>
  <si>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</si>
  <si>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</si>
  <si>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</si>
  <si>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</si>
  <si>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</si>
  <si>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</si>
  <si>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</si>
  <si>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</si>
  <si>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</si>
  <si>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</si>
  <si>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</si>
  <si>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</si>
  <si>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</si>
  <si>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</si>
  <si>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</si>
  <si>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</si>
  <si>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</si>
  <si>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</si>
  <si>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</si>
  <si>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</si>
  <si>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</si>
  <si>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</si>
  <si>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</si>
  <si>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</si>
  <si>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</si>
  <si>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</si>
  <si>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</si>
  <si>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</si>
  <si>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</si>
  <si>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</si>
  <si>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</si>
  <si>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</si>
  <si>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</si>
  <si>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</si>
  <si>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</si>
  <si>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</si>
  <si>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</si>
  <si>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</si>
  <si>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</si>
  <si>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</si>
  <si>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</si>
  <si>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</si>
  <si>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</si>
  <si>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</si>
  <si>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</si>
  <si>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</si>
  <si>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</si>
  <si>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</si>
  <si>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</si>
  <si>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</si>
  <si>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</si>
  <si>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</si>
  <si>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</si>
  <si>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</si>
  <si>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</si>
  <si>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</si>
  <si>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</si>
  <si>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</si>
  <si>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</si>
  <si>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</si>
  <si>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</si>
  <si>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</si>
  <si>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</si>
  <si>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</si>
  <si>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</si>
  <si>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</si>
  <si>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</si>
  <si>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</si>
  <si>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</si>
  <si>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</si>
  <si>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</si>
  <si>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</si>
  <si>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</si>
  <si>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</si>
  <si>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</si>
  <si>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</si>
  <si>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</si>
  <si>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</si>
  <si>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</si>
  <si>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</si>
  <si>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</si>
  <si>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</si>
  <si>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</si>
  <si>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</si>
  <si>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</si>
  <si>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</si>
  <si>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</si>
  <si>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</si>
  <si>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</si>
  <si>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</si>
  <si>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</si>
  <si>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</si>
  <si>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</si>
  <si>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</si>
  <si>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</si>
  <si>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</si>
  <si>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</si>
  <si>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</si>
  <si>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</si>
  <si>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</si>
  <si>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</si>
  <si>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</si>
  <si>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</si>
  <si>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</si>
  <si>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</si>
  <si>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</si>
  <si>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</si>
  <si>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</si>
  <si>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</si>
  <si>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</si>
  <si>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</si>
  <si>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</si>
  <si>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</si>
  <si>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</si>
  <si>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</si>
  <si>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</si>
  <si>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</si>
  <si>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</si>
  <si>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</si>
  <si>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</si>
  <si>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</si>
  <si>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</si>
  <si>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</si>
  <si>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</si>
  <si>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</si>
  <si>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</si>
  <si>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</si>
  <si>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</si>
  <si>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</si>
  <si>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</si>
  <si>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</si>
  <si>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</si>
  <si>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</si>
  <si>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</si>
  <si>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</si>
  <si>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</si>
  <si>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</si>
  <si>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</si>
  <si>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</si>
  <si>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</si>
  <si>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</si>
  <si>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</si>
  <si>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</si>
  <si>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</si>
  <si>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</si>
  <si>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</si>
  <si>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</si>
  <si>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</si>
  <si>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</si>
  <si>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</si>
  <si>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</si>
  <si>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</si>
  <si>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</si>
  <si>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</si>
  <si>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</si>
  <si>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</si>
  <si>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</si>
  <si>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</si>
  <si>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</si>
  <si>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</si>
  <si>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</si>
  <si>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</si>
  <si>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</si>
  <si>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</si>
  <si>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</si>
  <si>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</si>
  <si>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</si>
  <si>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</si>
  <si>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</si>
  <si>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</si>
  <si>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</si>
  <si>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</si>
  <si>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</si>
  <si>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</si>
  <si>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</si>
  <si>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</si>
  <si>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</si>
  <si>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</si>
  <si>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</si>
  <si>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</si>
  <si>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</si>
  <si>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</si>
  <si>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</si>
  <si>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</si>
  <si>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</si>
  <si>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</si>
  <si>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</si>
  <si>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</si>
  <si>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</si>
  <si>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</si>
  <si>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</si>
  <si>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</si>
  <si>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</si>
  <si>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</si>
  <si>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</si>
  <si>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</si>
  <si>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</si>
  <si>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</si>
  <si>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</si>
  <si>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</si>
  <si>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</si>
  <si>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</si>
  <si>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</si>
  <si>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</si>
  <si>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</si>
  <si>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</si>
  <si>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</si>
  <si>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</si>
  <si>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</si>
  <si>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</si>
  <si>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</si>
  <si>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</si>
  <si>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</si>
  <si>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</si>
  <si>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</si>
  <si>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</si>
  <si>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</si>
  <si>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</si>
  <si>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</si>
  <si>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</si>
  <si>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</si>
  <si>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</si>
  <si>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</si>
  <si>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</si>
  <si>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</si>
  <si>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</si>
  <si>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</si>
  <si>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</si>
  <si>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</si>
  <si>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</si>
  <si>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</si>
  <si>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</si>
  <si>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</si>
  <si>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</si>
  <si>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</si>
  <si>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</si>
  <si>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</si>
  <si>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</si>
  <si>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</si>
  <si>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</si>
  <si>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</si>
  <si>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</si>
  <si>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</si>
  <si>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</si>
  <si>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</si>
  <si>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</si>
  <si>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</si>
  <si>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</si>
  <si>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</si>
  <si>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</si>
  <si>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</si>
  <si>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</si>
  <si>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</si>
  <si>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</si>
  <si>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</si>
  <si>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</si>
  <si>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</si>
  <si>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</si>
  <si>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</si>
  <si>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</si>
  <si>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</si>
  <si>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</si>
  <si>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</si>
  <si>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</si>
  <si>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</si>
  <si>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</si>
  <si>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</si>
  <si>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</si>
  <si>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</si>
  <si>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</si>
  <si>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</si>
  <si>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</si>
  <si>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</si>
  <si>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</si>
  <si>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</si>
  <si>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</si>
  <si>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</si>
  <si>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</si>
  <si>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</si>
  <si>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</si>
  <si>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</si>
  <si>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</si>
  <si>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</si>
  <si>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</si>
  <si>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</si>
  <si>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</si>
  <si>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</si>
  <si>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</si>
  <si>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</si>
  <si>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</si>
  <si>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</si>
  <si>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</si>
  <si>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</si>
  <si>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</si>
  <si>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</si>
  <si>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</si>
  <si>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</si>
  <si>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</si>
  <si>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</si>
  <si>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</si>
  <si>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</si>
  <si>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</si>
  <si>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</si>
  <si>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</si>
  <si>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</si>
  <si>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</si>
  <si>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</si>
  <si>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</si>
  <si>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</si>
  <si>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</si>
  <si>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</si>
  <si>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</si>
  <si>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</si>
  <si>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</si>
  <si>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</si>
  <si>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</si>
  <si>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</si>
  <si>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</si>
  <si>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</si>
  <si>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</si>
  <si>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</si>
  <si>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</si>
  <si>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</si>
  <si>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</si>
  <si>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</si>
  <si>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</si>
  <si>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</si>
  <si>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</si>
  <si>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</si>
  <si>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</si>
  <si>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</si>
  <si>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</si>
  <si>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</si>
  <si>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</si>
  <si>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</si>
  <si>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</si>
  <si>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</si>
  <si>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</si>
  <si>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</si>
  <si>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</si>
  <si>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</si>
  <si>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</si>
  <si>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</si>
  <si>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</si>
  <si>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</si>
  <si>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</si>
  <si>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</si>
  <si>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</si>
  <si>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</si>
  <si>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</si>
  <si>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</si>
  <si>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</si>
  <si>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</si>
  <si>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</si>
  <si>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</si>
  <si>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</si>
  <si>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</si>
  <si>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</si>
  <si>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</si>
  <si>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</si>
  <si>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</si>
  <si>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</si>
  <si>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</si>
  <si>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</si>
  <si>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</si>
  <si>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</si>
  <si>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</si>
  <si>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</si>
  <si>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</si>
  <si>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</si>
  <si>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</si>
  <si>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</si>
  <si>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</si>
  <si>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</si>
  <si>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</si>
  <si>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</si>
  <si>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</si>
  <si>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</si>
  <si>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</si>
  <si>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</si>
  <si>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</si>
  <si>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</si>
  <si>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</si>
  <si>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</si>
  <si>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</si>
  <si>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</si>
  <si>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</si>
  <si>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</si>
  <si>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</si>
  <si>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</si>
  <si>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</si>
  <si>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</si>
  <si>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</si>
  <si>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</si>
  <si>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</si>
  <si>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</si>
  <si>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</si>
  <si>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</si>
  <si>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</si>
  <si>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</si>
  <si>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</si>
  <si>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</si>
  <si>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</si>
  <si>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</si>
  <si>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</si>
  <si>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</si>
  <si>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</si>
  <si>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</si>
  <si>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</si>
  <si>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</si>
  <si>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</si>
  <si>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</si>
  <si>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</si>
  <si>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</si>
  <si>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</si>
  <si>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</si>
  <si>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</si>
  <si>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</si>
  <si>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</si>
  <si>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</si>
  <si>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</si>
  <si>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</si>
  <si>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</si>
  <si>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</si>
  <si>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</si>
  <si>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</si>
  <si>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</si>
  <si>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</si>
  <si>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</si>
  <si>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</si>
  <si>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</si>
  <si>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</si>
  <si>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</si>
  <si>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</si>
  <si>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</si>
  <si>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</si>
  <si>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</si>
  <si>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</si>
  <si>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</si>
  <si>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</si>
  <si>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</si>
  <si>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</si>
  <si>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</si>
  <si>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</si>
  <si>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</si>
  <si>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</si>
  <si>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</si>
  <si>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</si>
  <si>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</si>
  <si>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</si>
  <si>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</si>
  <si>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</si>
  <si>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</si>
  <si>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</si>
  <si>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</si>
  <si>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</si>
  <si>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</si>
  <si>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</si>
  <si>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</si>
  <si>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</si>
  <si>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</si>
  <si>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</si>
  <si>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</si>
  <si>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</si>
  <si>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</si>
  <si>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</si>
  <si>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</si>
  <si>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</si>
  <si>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</si>
  <si>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</si>
  <si>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</si>
  <si>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</si>
  <si>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</si>
  <si>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</si>
  <si>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</si>
  <si>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</si>
  <si>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</si>
  <si>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</si>
  <si>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</si>
  <si>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</si>
  <si>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</si>
  <si>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</si>
  <si>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</si>
  <si>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</si>
  <si>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</si>
  <si>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</si>
  <si>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</si>
  <si>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</si>
  <si>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</si>
  <si>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</si>
  <si>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</si>
  <si>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</si>
  <si>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</si>
  <si>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</si>
  <si>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</si>
  <si>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</si>
  <si>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</si>
  <si>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</si>
  <si>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</si>
  <si>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</si>
  <si>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</si>
  <si>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</si>
  <si>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</si>
  <si>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</si>
  <si>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</si>
  <si>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</si>
  <si>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</si>
  <si>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</si>
  <si>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</si>
  <si>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</si>
  <si>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</si>
  <si>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</si>
  <si>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</si>
  <si>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</si>
  <si>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</si>
  <si>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</si>
  <si>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</si>
  <si>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</si>
  <si>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</si>
  <si>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</si>
  <si>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</si>
  <si>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</si>
  <si>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</si>
  <si>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</si>
  <si>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</si>
  <si>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</si>
  <si>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</si>
  <si>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</si>
  <si>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</si>
  <si>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</si>
  <si>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</si>
  <si>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</si>
  <si>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</si>
  <si>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</si>
  <si>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</si>
  <si>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</si>
  <si>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</si>
  <si>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</si>
  <si>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</si>
  <si>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</si>
  <si>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</si>
  <si>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</si>
  <si>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</si>
  <si>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</si>
  <si>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</si>
  <si>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</si>
  <si>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</si>
  <si>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</si>
  <si>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</si>
  <si>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</si>
  <si>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</si>
  <si>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</si>
  <si>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</si>
  <si>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</si>
  <si>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</si>
  <si>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</si>
  <si>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</si>
  <si>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</si>
  <si>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</si>
  <si>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</si>
  <si>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</si>
  <si>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</si>
  <si>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</si>
  <si>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</si>
  <si>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</si>
  <si>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</si>
  <si>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</si>
  <si>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</si>
  <si>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</si>
  <si>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</si>
  <si>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</si>
  <si>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</si>
  <si>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</si>
  <si>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</si>
  <si>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</si>
  <si>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</si>
  <si>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</si>
  <si>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</si>
  <si>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</si>
  <si>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</si>
  <si>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</si>
  <si>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</si>
  <si>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</si>
  <si>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</si>
  <si>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</si>
  <si>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</si>
  <si>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</si>
  <si>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</si>
  <si>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</si>
  <si>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</si>
  <si>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</si>
  <si>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</si>
  <si>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</si>
  <si>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</si>
  <si>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</si>
  <si>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</si>
  <si>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</si>
  <si>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</si>
  <si>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</si>
  <si>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</si>
  <si>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</si>
  <si>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</si>
  <si>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</si>
  <si>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</si>
  <si>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</si>
  <si>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</si>
  <si>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</si>
  <si>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</si>
  <si>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</si>
  <si>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</si>
  <si>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</si>
  <si>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</si>
  <si>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</si>
  <si>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</si>
  <si>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</si>
  <si>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</si>
  <si>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</si>
  <si>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</si>
  <si>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</si>
  <si>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</si>
  <si>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</si>
  <si>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</si>
  <si>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</si>
  <si>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</si>
  <si>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</si>
  <si>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</si>
  <si>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</si>
  <si>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</si>
  <si>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</si>
  <si>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</si>
  <si>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</si>
  <si>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</si>
  <si>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</si>
  <si>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</si>
  <si>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</si>
  <si>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</si>
  <si>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</si>
  <si>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</si>
  <si>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</si>
  <si>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</si>
  <si>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</si>
  <si>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</si>
  <si>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</si>
  <si>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</si>
  <si>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</si>
  <si>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</si>
  <si>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</si>
  <si>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</si>
  <si>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</si>
  <si>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</si>
  <si>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</si>
  <si>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</si>
  <si>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</si>
  <si>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</si>
  <si>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</si>
  <si>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</si>
  <si>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</si>
  <si>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</si>
  <si>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</si>
  <si>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</si>
  <si>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</si>
  <si>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</si>
  <si>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</si>
  <si>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</si>
  <si>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</si>
  <si>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</si>
  <si>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</si>
  <si>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</si>
  <si>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</si>
  <si>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</si>
  <si>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</si>
  <si>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</si>
  <si>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</si>
  <si>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</si>
  <si>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</si>
  <si>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</si>
  <si>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</si>
  <si>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</si>
  <si>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</si>
  <si>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</si>
  <si>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</si>
  <si>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</si>
  <si>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</si>
  <si>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</si>
  <si>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</si>
  <si>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</si>
  <si>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</si>
  <si>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</si>
  <si>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</si>
  <si>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</si>
  <si>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</si>
  <si>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</si>
  <si>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</si>
  <si>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</si>
  <si>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</si>
  <si>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</si>
  <si>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</si>
  <si>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</si>
  <si>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</si>
  <si>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</si>
  <si>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</si>
  <si>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</si>
  <si>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</si>
  <si>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</si>
  <si>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</si>
  <si>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</si>
  <si>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</si>
  <si>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</si>
  <si>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</si>
  <si>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</si>
  <si>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</si>
  <si>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</si>
  <si>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</si>
  <si>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</si>
  <si>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</si>
  <si>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</si>
  <si>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</si>
  <si>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</si>
  <si>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</si>
  <si>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</si>
  <si>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</si>
  <si>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</si>
  <si>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</si>
  <si>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</si>
  <si>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</si>
  <si>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</si>
  <si>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</si>
  <si>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</si>
  <si>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</si>
  <si>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</si>
  <si>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</si>
  <si>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</si>
  <si>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</si>
  <si>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</si>
  <si>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</si>
  <si>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</si>
  <si>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</si>
  <si>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</si>
  <si>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</si>
  <si>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</si>
  <si>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</si>
  <si>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</si>
  <si>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</si>
  <si>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</si>
  <si>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</si>
  <si>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</si>
  <si>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</si>
  <si>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</si>
  <si>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</si>
  <si>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</si>
  <si>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</si>
  <si>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</si>
  <si>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</si>
  <si>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</si>
  <si>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</si>
  <si>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</si>
  <si>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</si>
  <si>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</si>
  <si>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</si>
  <si>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</si>
  <si>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</si>
  <si>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</si>
  <si>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</si>
  <si>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</si>
  <si>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</si>
  <si>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</si>
  <si>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</si>
  <si>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</si>
  <si>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</si>
  <si>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</si>
  <si>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</si>
  <si>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</si>
  <si>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</si>
  <si>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</si>
  <si>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</si>
  <si>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</si>
  <si>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</si>
  <si>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</si>
  <si>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</si>
  <si>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</si>
  <si>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</si>
  <si>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</si>
  <si>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</si>
  <si>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</si>
  <si>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</si>
  <si>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</si>
  <si>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</si>
  <si>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</si>
  <si>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</si>
  <si>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</si>
  <si>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</si>
  <si>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</si>
  <si>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</si>
  <si>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</si>
  <si>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</si>
  <si>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</si>
  <si>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</si>
  <si>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</si>
  <si>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</si>
  <si>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</si>
  <si>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</si>
  <si>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</si>
  <si>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</si>
  <si>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</si>
  <si>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</si>
  <si>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</si>
  <si>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</si>
  <si>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</si>
  <si>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</si>
  <si>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</si>
  <si>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</si>
  <si>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</si>
  <si>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</si>
  <si>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</si>
  <si>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</si>
  <si>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</si>
  <si>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</si>
  <si>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</si>
  <si>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</si>
  <si>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</si>
  <si>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</si>
  <si>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</si>
  <si>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</si>
  <si>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</si>
  <si>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</si>
  <si>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</si>
  <si>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</si>
  <si>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</si>
  <si>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</si>
  <si>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</si>
  <si>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</si>
  <si>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</si>
  <si>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</si>
  <si>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</si>
  <si>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</si>
  <si>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</si>
  <si>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</si>
  <si>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</si>
  <si>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</si>
  <si>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</si>
  <si>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</si>
  <si>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</si>
  <si>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</si>
  <si>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</si>
  <si>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</si>
  <si>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</si>
  <si>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</si>
  <si>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</si>
  <si>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</si>
  <si>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</si>
  <si>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</si>
  <si>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</si>
  <si>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</si>
  <si>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</si>
  <si>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</si>
  <si>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</si>
  <si>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</si>
  <si>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</si>
  <si>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</si>
  <si>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</si>
  <si>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</si>
  <si>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</si>
  <si>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</si>
  <si>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</si>
  <si>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</si>
  <si>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</si>
  <si>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</si>
  <si>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</si>
  <si>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</si>
  <si>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</si>
  <si>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</si>
  <si>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</si>
  <si>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</si>
  <si>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</si>
  <si>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</si>
  <si>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</si>
  <si>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</si>
  <si>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</si>
  <si>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</si>
  <si>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</si>
  <si>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</si>
  <si>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</si>
  <si>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</si>
  <si>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</si>
  <si>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</si>
  <si>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</si>
  <si>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</si>
  <si>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</si>
  <si>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</si>
  <si>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</si>
  <si>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</si>
  <si>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</si>
  <si>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</si>
  <si>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</si>
  <si>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</si>
  <si>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</si>
  <si>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</si>
  <si>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</si>
  <si>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</si>
  <si>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</si>
  <si>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</si>
  <si>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</si>
  <si>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</si>
  <si>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</si>
  <si>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</si>
  <si>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</si>
  <si>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</si>
  <si>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</si>
  <si>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</si>
  <si>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</si>
  <si>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</si>
  <si>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</si>
  <si>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</si>
  <si>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</si>
  <si>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</si>
  <si>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</si>
  <si>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</si>
  <si>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</si>
  <si>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</si>
  <si>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</si>
  <si>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</si>
  <si>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</si>
  <si>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</si>
  <si>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</si>
  <si>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</si>
  <si>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</si>
  <si>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</si>
  <si>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</si>
  <si>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</si>
  <si>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</si>
  <si>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</si>
  <si>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</si>
  <si>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</si>
  <si>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</si>
  <si>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</si>
  <si>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</si>
  <si>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</si>
  <si>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</si>
  <si>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</si>
  <si>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</si>
  <si>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</si>
  <si>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</si>
  <si>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</si>
  <si>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</si>
  <si>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</si>
  <si>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</si>
  <si>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</si>
  <si>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</si>
  <si>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</si>
  <si>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</si>
  <si>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</si>
  <si>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</si>
  <si>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</si>
  <si>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</si>
  <si>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</si>
  <si>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</si>
  <si>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</si>
  <si>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</si>
  <si>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</si>
  <si>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</si>
  <si>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</si>
  <si>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</si>
  <si>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</si>
  <si>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</si>
  <si>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</si>
  <si>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</si>
  <si>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</si>
  <si>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</si>
  <si>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</si>
  <si>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</si>
  <si>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</si>
  <si>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</si>
  <si>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</si>
  <si>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</si>
  <si>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</si>
  <si>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</si>
  <si>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</si>
  <si>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</si>
  <si>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</si>
  <si>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</si>
  <si>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</si>
  <si>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</si>
  <si>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</si>
  <si>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</si>
  <si>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</si>
  <si>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</si>
  <si>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</si>
  <si>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</si>
  <si>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</si>
  <si>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</si>
  <si>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</si>
  <si>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</si>
  <si>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</si>
  <si>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</si>
  <si>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</si>
  <si>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</si>
  <si>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</si>
  <si>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</si>
  <si>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</si>
  <si>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</si>
  <si>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</si>
  <si>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</si>
  <si>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</si>
  <si>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</si>
  <si>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</si>
  <si>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</si>
  <si>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</si>
  <si>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</si>
  <si>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</si>
  <si>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</si>
  <si>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</si>
  <si>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</si>
  <si>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</si>
  <si>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</si>
  <si>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</si>
  <si>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</si>
  <si>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</si>
  <si>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</si>
  <si>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</si>
  <si>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</si>
  <si>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</si>
  <si>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</si>
  <si>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</si>
  <si>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</si>
  <si>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</si>
  <si>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</si>
  <si>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</si>
  <si>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</si>
  <si>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</si>
  <si>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</si>
  <si>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</si>
  <si>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</si>
  <si>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</si>
  <si>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</si>
  <si>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</si>
  <si>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</si>
  <si>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</si>
  <si>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</si>
  <si>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</si>
  <si>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</si>
  <si>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</si>
  <si>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</si>
  <si>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</si>
  <si>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</si>
  <si>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</si>
  <si>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</si>
  <si>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</si>
  <si>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</si>
  <si>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</si>
  <si>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</si>
  <si>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</si>
  <si>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</si>
  <si>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</si>
  <si>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</si>
  <si>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</si>
  <si>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</si>
  <si>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</si>
  <si>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</si>
  <si>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</si>
  <si>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</si>
  <si>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</si>
  <si>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</si>
  <si>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</si>
  <si>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</si>
  <si>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</si>
  <si>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</si>
  <si>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</si>
  <si>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</si>
  <si>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</si>
  <si>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</si>
  <si>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</si>
  <si>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</si>
  <si>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</si>
  <si>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</si>
  <si>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</si>
  <si>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</si>
  <si>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</si>
  <si>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</si>
  <si>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</si>
  <si>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</si>
  <si>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</si>
  <si>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</si>
  <si>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</si>
  <si>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</si>
  <si>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</si>
  <si>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</si>
  <si>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</si>
  <si>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</si>
  <si>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</si>
  <si>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</si>
  <si>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</si>
  <si>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</si>
  <si>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</si>
  <si>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</si>
  <si>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</si>
  <si>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</si>
  <si>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</si>
  <si>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</si>
  <si>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</si>
  <si>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</si>
  <si>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</si>
  <si>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</si>
  <si>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</si>
  <si>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</si>
  <si>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</si>
  <si>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</si>
  <si>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</si>
  <si>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</si>
  <si>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</si>
  <si>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</si>
  <si>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</si>
  <si>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</si>
  <si>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</si>
  <si>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</si>
  <si>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</si>
  <si>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</si>
  <si>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</si>
  <si>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</si>
  <si>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</si>
  <si>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</si>
  <si>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</si>
  <si>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</si>
  <si>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</si>
  <si>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</si>
  <si>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</si>
  <si>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</si>
  <si>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</si>
  <si>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</si>
  <si>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</si>
  <si>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</si>
  <si>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</si>
  <si>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</si>
  <si>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</si>
  <si>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</si>
  <si>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</si>
  <si>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</si>
  <si>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</si>
  <si>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</si>
  <si>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</si>
  <si>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</si>
  <si>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</si>
  <si>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</si>
  <si>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</si>
  <si>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</si>
  <si>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</si>
  <si>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</si>
  <si>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</si>
  <si>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</si>
  <si>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</si>
  <si>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</si>
  <si>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</si>
  <si>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</si>
  <si>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</si>
  <si>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</si>
  <si>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</si>
  <si>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</si>
  <si>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</si>
  <si>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</si>
  <si>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</si>
  <si>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</si>
  <si>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</si>
  <si>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</si>
  <si>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</si>
  <si>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</si>
  <si>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</si>
  <si>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</si>
  <si>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</si>
  <si>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</si>
  <si>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</si>
  <si>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</si>
  <si>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</si>
  <si>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</si>
  <si>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</si>
  <si>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</si>
  <si>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</si>
  <si>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</si>
  <si>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</si>
  <si>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</si>
  <si>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</si>
  <si>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</si>
  <si>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</si>
  <si>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</si>
  <si>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</si>
  <si>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</si>
  <si>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</si>
  <si>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</si>
  <si>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</si>
  <si>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</si>
  <si>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</si>
  <si>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</si>
  <si>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</si>
  <si>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</si>
  <si>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</si>
  <si>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</si>
  <si>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</si>
  <si>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</si>
  <si>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</si>
  <si>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</si>
  <si>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</si>
  <si>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</si>
  <si>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</si>
  <si>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</si>
  <si>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</si>
  <si>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</si>
  <si>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</si>
  <si>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</si>
  <si>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</si>
  <si>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</si>
  <si>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</si>
  <si>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</si>
  <si>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</si>
  <si>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</si>
  <si>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</si>
  <si>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</si>
  <si>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</si>
  <si>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</si>
  <si>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</si>
  <si>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</si>
  <si>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</si>
  <si>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</si>
  <si>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</si>
  <si>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</si>
  <si>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</si>
  <si>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</si>
  <si>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</si>
  <si>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</si>
  <si>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</si>
  <si>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</si>
  <si>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</si>
  <si>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</si>
  <si>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</si>
  <si>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</si>
  <si>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</si>
  <si>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</si>
  <si>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</si>
  <si>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</si>
  <si>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</si>
  <si>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</si>
  <si>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</si>
  <si>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</si>
  <si>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</si>
  <si>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</si>
  <si>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</si>
  <si>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</si>
  <si>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</si>
  <si>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</si>
  <si>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</si>
  <si>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</si>
  <si>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</si>
  <si>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</si>
  <si>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</si>
  <si>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</si>
  <si>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</si>
  <si>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</si>
  <si>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</si>
  <si>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</si>
  <si>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</si>
  <si>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</si>
  <si>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</si>
  <si>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</si>
  <si>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</si>
  <si>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</si>
  <si>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</si>
  <si>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</si>
  <si>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</si>
  <si>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</si>
  <si>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</si>
  <si>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</si>
  <si>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</si>
  <si>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</si>
  <si>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</si>
  <si>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</si>
  <si>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</si>
  <si>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</si>
  <si>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</si>
  <si>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</si>
  <si>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</si>
  <si>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</si>
  <si>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</si>
  <si>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</si>
  <si>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</si>
  <si>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</si>
  <si>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</si>
  <si>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</si>
  <si>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</si>
  <si>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</si>
  <si>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</si>
  <si>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</si>
  <si>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</si>
  <si>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</si>
  <si>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</si>
  <si>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</si>
  <si>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</si>
  <si>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</si>
  <si>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</si>
  <si>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</si>
  <si>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</si>
  <si>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</si>
  <si>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</si>
  <si>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</si>
  <si>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</si>
  <si>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</si>
  <si>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</si>
  <si>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</si>
  <si>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</si>
  <si>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</si>
  <si>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</si>
  <si>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</si>
  <si>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</si>
  <si>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</si>
  <si>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</si>
  <si>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</si>
  <si>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</si>
  <si>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</si>
  <si>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</si>
  <si>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</si>
  <si>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</si>
  <si>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</si>
  <si>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</si>
  <si>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</si>
  <si>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</si>
  <si>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</si>
  <si>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</si>
  <si>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</si>
  <si>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</si>
  <si>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</si>
  <si>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</si>
  <si>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</si>
  <si>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</si>
  <si>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</si>
  <si>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</si>
  <si>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</si>
  <si>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</si>
  <si>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</si>
  <si>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</si>
  <si>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</si>
  <si>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</si>
  <si>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</si>
  <si>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</si>
  <si>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</si>
  <si>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</si>
  <si>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</si>
  <si>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</si>
  <si>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</si>
  <si>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</si>
  <si>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</si>
  <si>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</si>
  <si>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</si>
  <si>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</si>
  <si>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</si>
  <si>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</si>
  <si>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</si>
  <si>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</si>
  <si>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</si>
  <si>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</si>
  <si>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</si>
  <si>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</si>
  <si>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</si>
  <si>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</si>
  <si>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</si>
  <si>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</si>
  <si>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</si>
  <si>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</si>
  <si>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</si>
  <si>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</si>
  <si>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</si>
  <si>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</si>
  <si>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</si>
  <si>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</si>
  <si>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</si>
  <si>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</si>
  <si>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</si>
  <si>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</si>
  <si>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</si>
  <si>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</si>
  <si>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</si>
  <si>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</si>
  <si>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</si>
  <si>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</si>
  <si>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</si>
  <si>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</si>
  <si>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</si>
  <si>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</si>
  <si>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</si>
  <si>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</si>
  <si>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</si>
  <si>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</si>
  <si>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</si>
  <si>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</si>
  <si>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</si>
  <si>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</si>
  <si>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</si>
  <si>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</si>
  <si>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</si>
  <si>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</si>
  <si>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</si>
  <si>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</si>
  <si>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</si>
  <si>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</si>
  <si>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</si>
  <si>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</si>
  <si>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</si>
  <si>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</si>
  <si>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</si>
  <si>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</si>
  <si>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</si>
  <si>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</si>
  <si>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</si>
  <si>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</si>
  <si>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</si>
  <si>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</si>
  <si>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</si>
  <si>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</si>
  <si>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</si>
  <si>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</si>
  <si>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</si>
  <si>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</si>
  <si>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</si>
  <si>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</si>
  <si>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</si>
  <si>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</si>
  <si>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</si>
  <si>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</si>
  <si>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</si>
  <si>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</si>
  <si>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</si>
  <si>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</si>
  <si>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</si>
  <si>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</si>
  <si>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</si>
  <si>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</si>
  <si>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</si>
  <si>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</si>
  <si>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</si>
  <si>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</si>
  <si>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</si>
  <si>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</si>
  <si>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</si>
  <si>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</si>
  <si>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</si>
  <si>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</si>
  <si>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</si>
  <si>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</si>
  <si>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</si>
  <si>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</si>
  <si>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</si>
  <si>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</si>
  <si>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</si>
  <si>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</si>
  <si>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</si>
  <si>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</si>
  <si>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</si>
  <si>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</si>
  <si>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</si>
  <si>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</si>
  <si>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</si>
  <si>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</si>
  <si>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</si>
  <si>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</si>
  <si>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</si>
  <si>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</si>
  <si>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</si>
  <si>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</si>
  <si>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</si>
  <si>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</si>
  <si>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</si>
  <si>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</si>
  <si>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</si>
  <si>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</si>
  <si>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</si>
  <si>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</si>
  <si>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</si>
  <si>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</si>
  <si>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</si>
  <si>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</si>
  <si>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</si>
  <si>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</si>
  <si>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</si>
  <si>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</si>
  <si>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</si>
  <si>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</si>
  <si>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</si>
  <si>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</si>
  <si>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</si>
  <si>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</si>
  <si>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</si>
  <si>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</si>
  <si>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</si>
  <si>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</si>
  <si>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</si>
  <si>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</si>
  <si>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</si>
  <si>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</si>
  <si>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</si>
  <si>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</si>
  <si>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</si>
  <si>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</si>
  <si>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</si>
  <si>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</si>
  <si>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</si>
  <si>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</si>
  <si>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</si>
  <si>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</si>
  <si>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</si>
  <si>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</si>
  <si>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</si>
  <si>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</si>
  <si>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</si>
  <si>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</si>
  <si>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</si>
  <si>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</si>
  <si>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</si>
  <si>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</si>
  <si>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</si>
  <si>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</si>
  <si>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</si>
  <si>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</si>
  <si>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</si>
  <si>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</si>
  <si>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</si>
  <si>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</si>
  <si>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</si>
  <si>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</si>
  <si>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</si>
  <si>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</si>
  <si>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</si>
  <si>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</si>
  <si>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</si>
  <si>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</si>
  <si>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</si>
  <si>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</si>
  <si>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</si>
  <si>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</si>
  <si>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</si>
  <si>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</si>
  <si>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</si>
  <si>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</si>
  <si>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</si>
  <si>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</si>
  <si>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</si>
  <si>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</si>
  <si>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</si>
  <si>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</si>
  <si>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</si>
  <si>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</si>
  <si>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</si>
  <si>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</si>
  <si>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</si>
  <si>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</si>
  <si>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</si>
  <si>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</si>
  <si>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</si>
  <si>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</si>
  <si>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</si>
  <si>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</si>
  <si>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</si>
  <si>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</si>
  <si>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</si>
  <si>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</si>
  <si>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</si>
  <si>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</si>
  <si>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</si>
  <si>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</si>
  <si>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</si>
  <si>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</si>
  <si>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</si>
  <si>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</si>
  <si>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</si>
  <si>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</si>
  <si>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</si>
  <si>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</si>
  <si>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</si>
  <si>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</si>
  <si>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</si>
  <si>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</si>
  <si>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</si>
  <si>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</si>
  <si>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</si>
  <si>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</si>
  <si>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</si>
  <si>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</si>
  <si>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</si>
  <si>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</si>
  <si>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</si>
  <si>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</si>
  <si>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</si>
  <si>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</si>
  <si>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</si>
  <si>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</si>
  <si>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</si>
  <si>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</si>
  <si>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</si>
  <si>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</si>
  <si>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</si>
  <si>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</si>
  <si>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</si>
  <si>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</si>
  <si>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</si>
  <si>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</si>
  <si>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</si>
  <si>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</si>
  <si>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</si>
  <si>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</si>
  <si>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</si>
  <si>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</si>
  <si>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</si>
  <si>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</si>
  <si>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</si>
  <si>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</si>
  <si>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</si>
  <si>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</si>
  <si>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</si>
  <si>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</si>
  <si>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</si>
  <si>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</si>
  <si>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</si>
  <si>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</si>
  <si>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</si>
  <si>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</si>
  <si>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</si>
  <si>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</si>
  <si>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</si>
  <si>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</si>
  <si>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</si>
  <si>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</si>
  <si>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</si>
  <si>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</si>
  <si>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</si>
  <si>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</si>
  <si>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</si>
  <si>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</si>
  <si>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</si>
  <si>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</si>
  <si>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</si>
  <si>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</si>
  <si>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</si>
  <si>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</si>
  <si>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</si>
  <si>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</si>
  <si>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</si>
  <si>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</si>
  <si>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</si>
  <si>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</si>
  <si>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</si>
  <si>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</si>
  <si>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</si>
  <si>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</si>
  <si>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</si>
  <si>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</si>
  <si>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</si>
  <si>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</si>
  <si>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</si>
  <si>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</si>
  <si>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</si>
  <si>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</si>
  <si>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</si>
  <si>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</si>
  <si>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</si>
  <si>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</si>
  <si>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</si>
  <si>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</si>
  <si>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</si>
  <si>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</si>
  <si>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</si>
  <si>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</si>
  <si>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</si>
  <si>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</si>
  <si>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</si>
  <si>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</si>
  <si>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</si>
  <si>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</si>
  <si>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</si>
  <si>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</si>
  <si>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</si>
  <si>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</si>
  <si>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</si>
  <si>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</si>
  <si>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</si>
  <si>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</si>
  <si>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</si>
  <si>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</si>
  <si>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</si>
  <si>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</si>
  <si>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</si>
  <si>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</si>
  <si>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</si>
  <si>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</si>
  <si>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</si>
  <si>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</si>
  <si>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</si>
  <si>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</si>
  <si>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</si>
  <si>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</si>
  <si>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</si>
  <si>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</si>
  <si>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</si>
  <si>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</si>
  <si>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</si>
  <si>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</si>
  <si>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</si>
  <si>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</si>
  <si>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</si>
  <si>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</si>
  <si>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</si>
  <si>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</si>
  <si>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</si>
  <si>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</si>
  <si>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</si>
  <si>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</si>
  <si>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</si>
  <si>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</si>
  <si>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</si>
  <si>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</si>
  <si>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</si>
  <si>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</si>
  <si>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</si>
  <si>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</si>
  <si>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</si>
  <si>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</si>
  <si>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</si>
  <si>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</si>
  <si>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</si>
  <si>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</si>
  <si>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</si>
  <si>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</si>
  <si>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</si>
  <si>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</si>
  <si>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</si>
  <si>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</si>
  <si>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</si>
  <si>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</si>
  <si>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</si>
  <si>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</si>
  <si>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</si>
  <si>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</si>
  <si>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</si>
  <si>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</si>
  <si>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</si>
  <si>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</si>
  <si>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</si>
  <si>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</si>
  <si>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</si>
  <si>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</si>
  <si>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</si>
  <si>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</si>
  <si>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</si>
  <si>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</si>
  <si>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</si>
  <si>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</si>
  <si>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</si>
  <si>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</si>
  <si>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</si>
  <si>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</si>
  <si>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</si>
  <si>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</si>
  <si>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</si>
  <si>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</si>
  <si>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</si>
  <si>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</si>
  <si>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</si>
  <si>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</si>
  <si>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</si>
  <si>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</si>
  <si>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</si>
  <si>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</si>
  <si>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</si>
  <si>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</si>
  <si>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</si>
  <si>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</si>
  <si>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</si>
  <si>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</si>
  <si>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</si>
  <si>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</si>
  <si>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</si>
  <si>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</si>
  <si>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</si>
  <si>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</si>
  <si>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</si>
  <si>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</si>
  <si>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</si>
  <si>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</si>
  <si>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</si>
  <si>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</si>
  <si>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</si>
  <si>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</si>
  <si>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</si>
  <si>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</si>
  <si>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</si>
  <si>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</si>
  <si>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</si>
  <si>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</si>
  <si>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</si>
  <si>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</si>
  <si>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</si>
  <si>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</si>
  <si>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</si>
  <si>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</si>
  <si>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</si>
  <si>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</si>
  <si>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</si>
  <si>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</si>
  <si>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</si>
  <si>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</si>
  <si>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</si>
  <si>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</si>
  <si>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</si>
  <si>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</si>
  <si>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</si>
  <si>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</si>
  <si>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</si>
  <si>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</si>
  <si>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</si>
  <si>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</si>
  <si>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</si>
  <si>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</si>
  <si>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</si>
  <si>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</si>
  <si>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</si>
  <si>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</si>
  <si>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</si>
  <si>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</si>
  <si>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</si>
  <si>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</si>
  <si>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</si>
  <si>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</si>
  <si>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</si>
  <si>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</si>
  <si>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</si>
  <si>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</si>
  <si>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</si>
  <si>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</si>
  <si>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</si>
  <si>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</si>
  <si>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</si>
  <si>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</si>
  <si>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</si>
  <si>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</si>
  <si>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</si>
  <si>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</si>
  <si>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</si>
  <si>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</si>
  <si>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</si>
  <si>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</si>
  <si>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</si>
  <si>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</si>
  <si>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</si>
  <si>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</si>
  <si>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</si>
  <si>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</si>
  <si>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</si>
  <si>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</si>
  <si>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</si>
  <si>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</si>
  <si>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</si>
  <si>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</si>
  <si>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</si>
  <si>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</si>
  <si>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</si>
  <si>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</si>
  <si>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</si>
  <si>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</si>
  <si>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</si>
  <si>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</si>
  <si>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</si>
  <si>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</si>
  <si>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</si>
  <si>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</si>
  <si>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</si>
  <si>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</si>
  <si>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</si>
  <si>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</si>
  <si>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</si>
  <si>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</si>
  <si>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</si>
  <si>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</si>
  <si>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</si>
  <si>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</si>
  <si>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</si>
  <si>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</si>
  <si>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</si>
  <si>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</si>
  <si>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</si>
  <si>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</si>
  <si>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</si>
  <si>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</si>
  <si>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</si>
  <si>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</si>
  <si>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</si>
  <si>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</si>
  <si>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</si>
  <si>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</si>
  <si>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</si>
  <si>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</si>
  <si>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</si>
  <si>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</si>
  <si>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</si>
  <si>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</si>
  <si>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</si>
  <si>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</si>
  <si>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</si>
  <si>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</si>
  <si>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</si>
  <si>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</si>
  <si>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</si>
  <si>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</si>
  <si>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</si>
  <si>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</si>
  <si>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</si>
  <si>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</si>
  <si>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</si>
  <si>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</si>
  <si>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</si>
  <si>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</si>
  <si>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</si>
  <si>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</si>
  <si>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</si>
  <si>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</si>
  <si>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</si>
  <si>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</si>
  <si>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</si>
  <si>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</si>
  <si>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</si>
  <si>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</si>
  <si>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</si>
  <si>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</si>
  <si>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</si>
  <si>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</si>
  <si>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</si>
  <si>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</si>
  <si>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</si>
  <si>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</si>
  <si>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</si>
  <si>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</si>
  <si>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</si>
  <si>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</si>
  <si>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</si>
  <si>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</si>
  <si>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</si>
  <si>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</si>
  <si>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</si>
  <si>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</si>
  <si>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</si>
  <si>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</si>
  <si>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</si>
  <si>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</si>
  <si>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</si>
  <si>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</si>
  <si>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</si>
  <si>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</si>
  <si>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</si>
  <si>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</si>
  <si>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</si>
  <si>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</si>
  <si>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</si>
  <si>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</si>
  <si>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</si>
  <si>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</si>
  <si>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</si>
  <si>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</si>
  <si>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</si>
  <si>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</si>
  <si>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</si>
  <si>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</si>
  <si>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</si>
  <si>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</si>
  <si>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</si>
  <si>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</si>
  <si>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</si>
  <si>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</si>
  <si>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</si>
  <si>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</si>
  <si>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</si>
  <si>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</si>
  <si>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</si>
  <si>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</si>
  <si>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</si>
  <si>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</si>
  <si>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</si>
  <si>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</si>
  <si>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</si>
  <si>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</si>
  <si>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</si>
  <si>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</si>
  <si>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</si>
  <si>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</si>
  <si>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</si>
  <si>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</si>
  <si>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</si>
  <si>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</si>
  <si>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</si>
  <si>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</si>
  <si>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</si>
  <si>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</si>
  <si>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</si>
  <si>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</si>
  <si>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</si>
  <si>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</si>
  <si>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</si>
  <si>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</si>
  <si>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</si>
  <si>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</si>
  <si>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</si>
  <si>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</si>
  <si>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</si>
  <si>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</si>
  <si>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</si>
  <si>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</si>
  <si>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</si>
  <si>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</si>
  <si>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</si>
  <si>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</si>
  <si>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</si>
  <si>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</si>
  <si>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</si>
  <si>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</si>
  <si>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</si>
  <si>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</si>
  <si>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</si>
  <si>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</si>
  <si>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</si>
  <si>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</si>
  <si>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</si>
  <si>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</si>
  <si>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</si>
  <si>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</si>
  <si>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</si>
  <si>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</si>
  <si>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</si>
  <si>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</si>
  <si>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</si>
  <si>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</si>
  <si>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</si>
  <si>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</si>
  <si>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</si>
  <si>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</si>
  <si>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</si>
  <si>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</si>
  <si>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</si>
  <si>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</si>
  <si>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</si>
  <si>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</si>
  <si>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</si>
  <si>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</si>
  <si>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</si>
  <si>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</si>
  <si>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</si>
  <si>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</si>
  <si>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</si>
  <si>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</si>
  <si>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</si>
  <si>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</si>
  <si>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</si>
  <si>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</si>
  <si>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</si>
  <si>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</si>
  <si>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</si>
  <si>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</si>
  <si>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</si>
  <si>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</si>
  <si>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</si>
  <si>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</si>
  <si>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</si>
  <si>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</si>
  <si>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</si>
  <si>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</si>
  <si>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</si>
  <si>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</si>
  <si>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</si>
  <si>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</si>
  <si>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</si>
  <si>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</si>
  <si>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</si>
  <si>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</si>
  <si>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</si>
  <si>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</si>
  <si>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</si>
  <si>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</si>
  <si>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</si>
  <si>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</si>
  <si>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</si>
  <si>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</si>
  <si>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</si>
  <si>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</si>
  <si>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</si>
  <si>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</si>
  <si>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</si>
  <si>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</si>
  <si>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</si>
  <si>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</si>
  <si>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</si>
  <si>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</si>
  <si>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</si>
  <si>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</si>
  <si>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</si>
  <si>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</si>
  <si>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</si>
  <si>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</si>
  <si>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</si>
  <si>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</si>
  <si>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</si>
  <si>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</si>
  <si>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</si>
  <si>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</si>
  <si>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</si>
  <si>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</si>
  <si>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</si>
  <si>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</si>
  <si>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</si>
  <si>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</si>
  <si>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</si>
  <si>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</si>
  <si>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</si>
  <si>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</si>
  <si>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</si>
  <si>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</si>
  <si>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</si>
  <si>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</si>
  <si>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</si>
  <si>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</si>
  <si>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</si>
  <si>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</si>
  <si>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</si>
  <si>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</si>
  <si>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</si>
  <si>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</si>
  <si>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</si>
  <si>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</si>
  <si>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</si>
  <si>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</si>
  <si>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</si>
  <si>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</si>
  <si>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</si>
  <si>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</si>
  <si>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</si>
  <si>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</si>
  <si>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</si>
  <si>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</si>
  <si>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</si>
  <si>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</si>
  <si>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</si>
  <si>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</si>
  <si>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</si>
  <si>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</si>
  <si>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</si>
  <si>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</si>
  <si>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</si>
  <si>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</si>
  <si>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</si>
  <si>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</si>
  <si>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</si>
  <si>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</si>
  <si>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</si>
  <si>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</si>
  <si>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</si>
  <si>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</si>
  <si>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</si>
  <si>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</si>
  <si>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</si>
  <si>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</si>
  <si>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</si>
  <si>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</si>
  <si>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</si>
  <si>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</si>
  <si>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</si>
  <si>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</si>
  <si>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</si>
  <si>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</si>
  <si>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</si>
  <si>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</si>
  <si>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</si>
  <si>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</si>
  <si>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</si>
  <si>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</si>
  <si>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</si>
  <si>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</si>
  <si>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</si>
  <si>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</si>
  <si>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</si>
  <si>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</si>
  <si>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</si>
  <si>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</si>
  <si>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</si>
  <si>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</si>
  <si>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</si>
  <si>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</si>
  <si>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</si>
  <si>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</si>
  <si>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</si>
  <si>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</si>
  <si>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</si>
  <si>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</si>
  <si>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</si>
  <si>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</si>
  <si>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</si>
  <si>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</si>
  <si>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</si>
  <si>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</si>
  <si>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</si>
  <si>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</si>
  <si>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</si>
  <si>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</si>
  <si>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</si>
  <si>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</si>
  <si>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</si>
  <si>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</si>
  <si>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</si>
  <si>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</si>
  <si>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</si>
  <si>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</si>
  <si>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</si>
  <si>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</si>
  <si>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</si>
  <si>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</si>
  <si>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</si>
  <si>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</si>
  <si>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</si>
  <si>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</si>
  <si>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</si>
  <si>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</si>
  <si>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</si>
  <si>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</si>
  <si>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</si>
  <si>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</si>
  <si>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</si>
  <si>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</si>
  <si>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</si>
  <si>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</si>
  <si>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</si>
  <si>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</si>
  <si>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</si>
  <si>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</si>
  <si>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</si>
  <si>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</si>
  <si>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</si>
  <si>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</si>
  <si>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</si>
  <si>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</si>
  <si>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</si>
  <si>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</si>
  <si>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</si>
  <si>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</si>
  <si>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</si>
  <si>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</si>
  <si>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</si>
  <si>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</si>
  <si>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</si>
  <si>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</si>
  <si>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</si>
  <si>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</si>
  <si>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</si>
  <si>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</si>
  <si>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</si>
  <si>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</si>
  <si>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</si>
  <si>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</si>
  <si>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</si>
  <si>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</si>
  <si>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</si>
  <si>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</si>
  <si>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</si>
  <si>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</si>
  <si>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</si>
  <si>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</si>
  <si>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</si>
  <si>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</si>
  <si>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</si>
  <si>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</si>
  <si>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</si>
  <si>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</si>
  <si>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</si>
  <si>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</si>
  <si>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</si>
  <si>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</si>
  <si>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</si>
  <si>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</si>
  <si>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</si>
  <si>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</si>
  <si>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</si>
  <si>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</si>
  <si>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</si>
  <si>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</si>
  <si>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</si>
  <si>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</si>
  <si>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</si>
  <si>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</si>
  <si>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</si>
  <si>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</si>
  <si>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</si>
  <si>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</si>
  <si>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</si>
  <si>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</si>
  <si>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</si>
  <si>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</si>
  <si>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</si>
  <si>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</si>
  <si>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</si>
  <si>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</si>
  <si>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</si>
  <si>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</si>
  <si>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</si>
  <si>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</si>
  <si>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</si>
  <si>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</si>
  <si>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</si>
  <si>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</si>
  <si>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</si>
  <si>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</si>
  <si>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</si>
  <si>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</si>
  <si>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</si>
  <si>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</si>
  <si>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</si>
  <si>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</si>
  <si>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</si>
  <si>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</si>
  <si>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</si>
  <si>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</si>
  <si>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</si>
  <si>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</si>
  <si>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</si>
  <si>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</si>
  <si>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</si>
  <si>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</si>
  <si>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</si>
  <si>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</si>
  <si>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</si>
  <si>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</si>
  <si>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</si>
  <si>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</si>
  <si>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</si>
  <si>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</si>
  <si>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</si>
  <si>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</si>
  <si>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</si>
  <si>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</si>
  <si>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</si>
  <si>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</si>
  <si>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</si>
  <si>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</si>
  <si>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</si>
  <si>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</si>
  <si>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</si>
  <si>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</si>
  <si>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</si>
  <si>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</si>
  <si>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</si>
  <si>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</si>
  <si>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</si>
  <si>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</si>
  <si>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</si>
  <si>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</si>
  <si>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</si>
  <si>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</si>
  <si>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</si>
  <si>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</si>
  <si>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</si>
  <si>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</si>
  <si>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</si>
  <si>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</si>
  <si>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</si>
  <si>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</si>
  <si>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</si>
  <si>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</si>
  <si>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</si>
  <si>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</si>
  <si>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</si>
  <si>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</si>
  <si>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</si>
  <si>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</si>
  <si>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</si>
  <si>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</si>
  <si>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</si>
  <si>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</si>
  <si>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</si>
  <si>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</si>
  <si>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</si>
  <si>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</si>
  <si>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</si>
  <si>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</si>
  <si>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</si>
  <si>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</si>
  <si>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</si>
  <si>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</si>
  <si>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</si>
  <si>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</si>
  <si>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</si>
  <si>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</si>
  <si>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</si>
  <si>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</si>
  <si>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</si>
  <si>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</si>
  <si>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</si>
  <si>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</si>
  <si>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</si>
  <si>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</si>
  <si>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</si>
  <si>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</si>
  <si>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</si>
  <si>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</si>
  <si>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</si>
  <si>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</si>
  <si>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</si>
  <si>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</si>
  <si>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</si>
  <si>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</si>
  <si>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</si>
  <si>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</si>
  <si>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</si>
  <si>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</si>
  <si>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</si>
  <si>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</si>
  <si>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</si>
  <si>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</si>
  <si>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</si>
  <si>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</si>
  <si>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</si>
  <si>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</si>
  <si>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</si>
  <si>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</si>
  <si>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</si>
  <si>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</si>
  <si>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</si>
  <si>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</si>
  <si>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</si>
  <si>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</si>
  <si>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</si>
  <si>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</si>
  <si>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</si>
  <si>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</si>
  <si>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</si>
  <si>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</si>
  <si>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</si>
  <si>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</si>
  <si>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</si>
  <si>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</si>
  <si>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</si>
  <si>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</si>
  <si>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</si>
  <si>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</si>
  <si>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</si>
  <si>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</si>
  <si>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</si>
  <si>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</si>
  <si>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</si>
  <si>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</si>
  <si>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</si>
  <si>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</si>
  <si>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</si>
  <si>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</si>
  <si>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</si>
  <si>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</si>
  <si>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</si>
  <si>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</si>
  <si>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</si>
  <si>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</si>
  <si>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</si>
  <si>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</si>
  <si>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</si>
  <si>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</si>
  <si>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</si>
  <si>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</si>
  <si>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</si>
  <si>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</si>
  <si>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</si>
  <si>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</si>
  <si>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</si>
  <si>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</si>
  <si>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</si>
  <si>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</si>
  <si>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</si>
  <si>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</si>
  <si>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</si>
  <si>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</si>
  <si>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</si>
  <si>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</si>
  <si>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</si>
  <si>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</si>
  <si>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</si>
  <si>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</si>
  <si>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</si>
  <si>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</si>
  <si>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</si>
  <si>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</si>
  <si>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</si>
  <si>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</si>
  <si>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</si>
  <si>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</si>
  <si>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</si>
  <si>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</si>
  <si>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</si>
  <si>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</si>
  <si>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</si>
  <si>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</si>
  <si>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</si>
  <si>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</si>
  <si>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</si>
  <si>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</si>
  <si>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</si>
  <si>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</si>
  <si>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</si>
  <si>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</si>
  <si>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</si>
  <si>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</si>
  <si>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</si>
  <si>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</si>
  <si>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</si>
  <si>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</si>
  <si>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</si>
  <si>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</si>
  <si>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</si>
  <si>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</si>
  <si>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</si>
  <si>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</si>
  <si>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</si>
  <si>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</si>
  <si>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</si>
  <si>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</si>
  <si>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</si>
  <si>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</si>
  <si>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</si>
  <si>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</si>
  <si>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</si>
  <si>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</si>
  <si>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</si>
  <si>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</si>
  <si>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</si>
  <si>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</si>
  <si>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</si>
  <si>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</si>
  <si>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</si>
  <si>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</si>
  <si>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</si>
  <si>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</si>
  <si>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</si>
  <si>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</si>
  <si>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</si>
  <si>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</si>
  <si>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</si>
  <si>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</si>
  <si>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</si>
  <si>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</si>
  <si>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</si>
  <si>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</si>
  <si>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</si>
  <si>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</si>
  <si>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</si>
  <si>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</si>
  <si>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</si>
  <si>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</si>
  <si>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</si>
  <si>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</si>
  <si>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</si>
  <si>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</si>
  <si>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</si>
  <si>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</si>
  <si>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</si>
  <si>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</si>
  <si>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</si>
  <si>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</si>
  <si>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</si>
  <si>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</si>
  <si>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</si>
  <si>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</si>
  <si>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</si>
  <si>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</si>
  <si>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</si>
  <si>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</si>
  <si>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</si>
  <si>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</si>
  <si>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</si>
  <si>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</si>
  <si>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</si>
  <si>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</si>
  <si>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</si>
  <si>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</si>
  <si>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</si>
  <si>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</si>
  <si>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</si>
  <si>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</si>
  <si>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</si>
  <si>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</si>
  <si>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</si>
  <si>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</si>
  <si>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</si>
  <si>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</si>
  <si>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</si>
  <si>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</si>
  <si>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</si>
  <si>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</si>
  <si>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</si>
  <si>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</si>
  <si>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</si>
  <si>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</si>
  <si>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</si>
  <si>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</si>
  <si>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</si>
  <si>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</si>
  <si>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</si>
  <si>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</si>
  <si>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</si>
  <si>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</si>
  <si>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</si>
  <si>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</si>
  <si>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</si>
  <si>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</si>
  <si>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</si>
  <si>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</si>
  <si>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</si>
  <si>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</si>
  <si>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</si>
  <si>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</si>
  <si>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</si>
  <si>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</si>
  <si>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</si>
  <si>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</si>
  <si>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</si>
  <si>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</si>
  <si>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</si>
  <si>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</si>
  <si>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</si>
  <si>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</si>
  <si>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</si>
  <si>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</si>
  <si>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</si>
  <si>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</si>
  <si>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</si>
  <si>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</si>
  <si>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</si>
  <si>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</si>
  <si>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</si>
  <si>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</si>
  <si>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</si>
  <si>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</si>
  <si>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</si>
  <si>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</si>
  <si>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</si>
  <si>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</si>
  <si>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</si>
  <si>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</si>
  <si>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</si>
  <si>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</si>
  <si>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</si>
  <si>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</si>
  <si>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</si>
  <si>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</si>
  <si>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</si>
  <si>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</si>
  <si>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</si>
  <si>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</si>
  <si>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</si>
  <si>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</si>
  <si>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</si>
  <si>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</si>
  <si>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</si>
  <si>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</si>
  <si>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</si>
  <si>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</si>
  <si>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</si>
  <si>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</si>
  <si>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</si>
  <si>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</si>
  <si>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</si>
  <si>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</si>
  <si>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</si>
  <si>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</si>
  <si>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</si>
  <si>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</si>
  <si>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</si>
  <si>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</si>
  <si>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</si>
  <si>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</si>
  <si>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</si>
  <si>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</si>
  <si>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</si>
  <si>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</si>
  <si>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</si>
  <si>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</si>
  <si>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</si>
  <si>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</si>
  <si>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</si>
  <si>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</si>
  <si>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</si>
  <si>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</si>
  <si>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</si>
  <si>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</si>
  <si>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</si>
  <si>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</si>
  <si>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</si>
  <si>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</si>
  <si>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</si>
  <si>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</si>
  <si>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</si>
  <si>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</si>
  <si>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</si>
  <si>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</si>
  <si>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</si>
  <si>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</si>
  <si>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</si>
  <si>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</si>
  <si>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</si>
  <si>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</si>
  <si>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</si>
  <si>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</si>
  <si>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</si>
  <si>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</si>
  <si>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</si>
  <si>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</si>
  <si>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</si>
  <si>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</si>
  <si>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</si>
  <si>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</si>
  <si>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</si>
  <si>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</si>
  <si>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</si>
  <si>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</si>
  <si>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</si>
  <si>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</si>
  <si>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</si>
  <si>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</si>
  <si>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</si>
  <si>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</si>
  <si>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</si>
  <si>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</si>
  <si>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</si>
  <si>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</si>
  <si>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</si>
  <si>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</si>
  <si>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</si>
  <si>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</si>
  <si>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</si>
  <si>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</si>
  <si>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</si>
  <si>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</si>
  <si>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</si>
  <si>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</si>
  <si>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</si>
  <si>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</si>
  <si>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</si>
  <si>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</si>
  <si>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</si>
  <si>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</si>
  <si>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</si>
  <si>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</si>
  <si>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</si>
  <si>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</si>
  <si>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</si>
  <si>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</si>
  <si>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</si>
  <si>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</si>
  <si>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</si>
  <si>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</si>
  <si>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</si>
  <si>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</si>
  <si>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</si>
  <si>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</si>
  <si>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</si>
  <si>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</si>
  <si>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</si>
  <si>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</si>
  <si>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</si>
  <si>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</si>
  <si>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</si>
  <si>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</si>
  <si>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</si>
  <si>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</si>
  <si>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</si>
  <si>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</si>
  <si>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</si>
  <si>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</si>
  <si>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</si>
  <si>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</si>
  <si>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</si>
  <si>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</si>
  <si>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</si>
  <si>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</si>
  <si>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</si>
  <si>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</si>
  <si>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</si>
  <si>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</si>
  <si>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</si>
  <si>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</si>
  <si>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</si>
  <si>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</si>
  <si>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</si>
  <si>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</si>
  <si>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</si>
  <si>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</si>
  <si>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</si>
  <si>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</si>
  <si>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</si>
  <si>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</si>
  <si>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</si>
  <si>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</si>
  <si>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</si>
  <si>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</si>
  <si>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</si>
  <si>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</si>
  <si>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</si>
  <si>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</si>
  <si>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</si>
  <si>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</si>
  <si>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</si>
  <si>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</si>
  <si>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</si>
  <si>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</si>
  <si>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</si>
  <si>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</si>
  <si>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</si>
  <si>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</si>
  <si>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</si>
  <si>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</si>
  <si>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</si>
  <si>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</si>
  <si>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</si>
  <si>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</si>
  <si>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</si>
  <si>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</si>
  <si>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</si>
  <si>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</si>
  <si>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</si>
  <si>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</si>
  <si>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</si>
  <si>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</si>
  <si>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</si>
  <si>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</si>
  <si>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</si>
  <si>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</si>
  <si>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</si>
  <si>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</si>
  <si>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</si>
  <si>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</si>
  <si>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</si>
  <si>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</si>
  <si>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</si>
  <si>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</si>
  <si>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</si>
  <si>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</si>
  <si>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</si>
  <si>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</si>
  <si>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</si>
  <si>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</si>
  <si>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</si>
  <si>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</si>
  <si>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</si>
  <si>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</si>
  <si>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</si>
  <si>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</si>
  <si>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</si>
  <si>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</si>
  <si>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</si>
  <si>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</si>
  <si>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</si>
  <si>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</si>
  <si>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</si>
  <si>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</si>
  <si>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</si>
  <si>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</si>
  <si>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</si>
  <si>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</si>
  <si>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</si>
  <si>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</si>
  <si>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</si>
  <si>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</si>
  <si>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</si>
  <si>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</si>
  <si>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</si>
  <si>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</si>
  <si>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</si>
  <si>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</si>
  <si>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</si>
  <si>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</si>
  <si>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</si>
  <si>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</si>
  <si>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</si>
  <si>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</si>
  <si>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</si>
  <si>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</si>
  <si>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</si>
  <si>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</si>
  <si>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</si>
  <si>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</si>
  <si>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</si>
  <si>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</si>
  <si>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</si>
  <si>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</si>
  <si>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</si>
  <si>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</si>
  <si>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</si>
  <si>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</si>
  <si>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</si>
  <si>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</si>
  <si>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</si>
  <si>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</si>
  <si>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</si>
  <si>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</si>
  <si>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</si>
  <si>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</si>
  <si>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</si>
  <si>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</si>
  <si>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</si>
  <si>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</si>
  <si>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</si>
  <si>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</si>
  <si>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</si>
  <si>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</si>
  <si>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</si>
  <si>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</si>
  <si>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</si>
  <si>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</si>
  <si>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</si>
  <si>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</si>
  <si>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</si>
  <si>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</si>
  <si>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</si>
  <si>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</si>
  <si>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</si>
  <si>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</si>
  <si>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</si>
  <si>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</si>
  <si>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</si>
  <si>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</si>
  <si>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</si>
  <si>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</si>
  <si>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</si>
  <si>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</si>
  <si>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</si>
  <si>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</si>
  <si>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</si>
  <si>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</si>
  <si>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</si>
  <si>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</si>
  <si>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</si>
  <si>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</si>
  <si>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</si>
  <si>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</si>
  <si>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</si>
  <si>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</si>
  <si>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</si>
  <si>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</si>
  <si>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</si>
  <si>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</si>
  <si>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</si>
  <si>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</si>
  <si>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</si>
  <si>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</si>
  <si>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</si>
  <si>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</si>
  <si>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</si>
  <si>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</si>
  <si>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</si>
  <si>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</si>
  <si>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</si>
  <si>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</si>
  <si>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</si>
  <si>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</si>
  <si>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</si>
  <si>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</si>
  <si>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</si>
  <si>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</si>
  <si>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</si>
  <si>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</si>
  <si>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</si>
  <si>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</si>
  <si>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</si>
  <si>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</si>
  <si>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</si>
  <si>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</si>
  <si>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</si>
  <si>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</si>
  <si>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</si>
  <si>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</si>
  <si>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</si>
  <si>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</si>
  <si>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</si>
  <si>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</si>
  <si>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</si>
  <si>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</si>
  <si>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</si>
  <si>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</si>
  <si>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</si>
  <si>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</si>
  <si>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</si>
  <si>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</si>
  <si>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</si>
  <si>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</si>
  <si>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</si>
  <si>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</si>
  <si>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</si>
  <si>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</si>
  <si>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</si>
  <si>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</si>
  <si>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</si>
  <si>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</si>
  <si>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</si>
  <si>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</si>
  <si>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</si>
  <si>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</si>
  <si>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</si>
  <si>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</si>
  <si>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</si>
  <si>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</si>
  <si>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</si>
  <si>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</si>
  <si>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</si>
  <si>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</si>
  <si>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</si>
  <si>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</si>
  <si>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</si>
  <si>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</si>
  <si>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</si>
  <si>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</si>
  <si>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</si>
  <si>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</si>
  <si>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</si>
  <si>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</si>
  <si>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</si>
  <si>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</si>
  <si>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</si>
  <si>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</si>
  <si>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</si>
  <si>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</si>
  <si>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</si>
  <si>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</si>
  <si>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</si>
  <si>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</si>
  <si>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</si>
  <si>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</si>
  <si>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</si>
  <si>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</si>
  <si>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</si>
  <si>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</si>
  <si>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</si>
  <si>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</si>
  <si>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</si>
  <si>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</si>
  <si>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</si>
  <si>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</si>
  <si>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</si>
  <si>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</si>
  <si>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</si>
  <si>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</si>
  <si>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</si>
  <si>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</si>
  <si>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</si>
  <si>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</si>
  <si>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</si>
  <si>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</si>
  <si>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</si>
  <si>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</si>
  <si>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</si>
  <si>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</si>
  <si>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</si>
  <si>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</si>
  <si>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</si>
  <si>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</si>
  <si>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</si>
  <si>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</si>
  <si>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</si>
  <si>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</si>
  <si>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</si>
  <si>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</si>
  <si>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</si>
  <si>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</si>
  <si>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</si>
  <si>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</si>
  <si>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</si>
  <si>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</si>
  <si>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</si>
  <si>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</si>
  <si>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</si>
  <si>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</si>
  <si>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</si>
  <si>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</si>
  <si>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</si>
  <si>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</si>
  <si>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</si>
  <si>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</si>
  <si>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</si>
  <si>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</si>
  <si>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</si>
  <si>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</si>
  <si>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</si>
  <si>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</si>
  <si>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</si>
  <si>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</si>
  <si>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</si>
  <si>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</si>
  <si>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</si>
  <si>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</si>
  <si>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</si>
  <si>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</si>
  <si>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</si>
  <si>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</si>
  <si>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</si>
  <si>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</si>
  <si>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</si>
  <si>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</si>
  <si>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</si>
  <si>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</si>
  <si>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</si>
  <si>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</si>
  <si>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</si>
  <si>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</si>
  <si>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</si>
  <si>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</si>
  <si>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</si>
  <si>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</si>
  <si>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</si>
  <si>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</si>
  <si>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</si>
  <si>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</si>
  <si>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</si>
  <si>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</si>
  <si>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</si>
  <si>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</si>
  <si>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</si>
  <si>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</si>
  <si>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</si>
  <si>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</si>
  <si>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</si>
  <si>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</si>
  <si>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</si>
  <si>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</si>
  <si>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</si>
  <si>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</si>
  <si>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</si>
  <si>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</si>
  <si>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</si>
  <si>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</si>
  <si>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</si>
  <si>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</si>
  <si>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</si>
  <si>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</si>
  <si>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</si>
  <si>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</si>
  <si>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</si>
  <si>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</si>
  <si>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</si>
  <si>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</si>
  <si>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</si>
  <si>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</si>
  <si>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</si>
  <si>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</si>
  <si>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</si>
  <si>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</si>
  <si>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</si>
  <si>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</si>
  <si>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</si>
  <si>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</si>
  <si>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</si>
  <si>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</si>
  <si>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</si>
  <si>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</si>
  <si>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</si>
  <si>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</si>
  <si>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</si>
  <si>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</si>
  <si>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</si>
  <si>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</si>
  <si>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</si>
  <si>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</si>
  <si>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</si>
  <si>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</si>
  <si>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</si>
  <si>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</si>
  <si>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</si>
  <si>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</si>
  <si>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</si>
  <si>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</si>
  <si>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</si>
  <si>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</si>
  <si>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</si>
  <si>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</si>
  <si>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</si>
  <si>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</si>
  <si>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</si>
  <si>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</si>
  <si>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</si>
  <si>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</si>
  <si>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</si>
  <si>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</si>
  <si>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</si>
  <si>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</si>
  <si>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</si>
  <si>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</si>
  <si>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</si>
  <si>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</si>
  <si>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</si>
  <si>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</si>
  <si>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</si>
  <si>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</si>
  <si>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</si>
  <si>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</si>
  <si>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</si>
  <si>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</si>
  <si>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</si>
  <si>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</si>
  <si>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</si>
  <si>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</si>
  <si>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</si>
  <si>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</si>
  <si>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</si>
  <si>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</si>
  <si>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</si>
  <si>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</si>
  <si>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</si>
  <si>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</si>
  <si>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</si>
  <si>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</si>
  <si>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</si>
  <si>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</si>
  <si>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</si>
  <si>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</si>
  <si>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</si>
  <si>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</si>
  <si>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</si>
  <si>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</si>
  <si>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</si>
  <si>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</si>
  <si>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</si>
  <si>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</si>
  <si>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</si>
  <si>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</si>
  <si>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</si>
  <si>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</si>
  <si>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</si>
  <si>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</si>
  <si>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</si>
  <si>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</si>
  <si>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</si>
  <si>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</si>
  <si>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</si>
  <si>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</si>
  <si>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</si>
  <si>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</si>
  <si>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</si>
  <si>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</si>
  <si>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</si>
  <si>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</si>
  <si>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</si>
  <si>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</si>
  <si>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</si>
  <si>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</si>
  <si>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</si>
  <si>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</si>
  <si>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</si>
  <si>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</si>
  <si>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</si>
  <si>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</si>
  <si>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</si>
  <si>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</si>
  <si>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</si>
  <si>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</si>
  <si>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</si>
  <si>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</si>
  <si>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</si>
  <si>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</si>
  <si>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</si>
  <si>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</si>
  <si>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</si>
  <si>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</si>
  <si>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</si>
  <si>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</si>
  <si>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</si>
  <si>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</si>
  <si>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</si>
  <si>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</si>
  <si>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</si>
  <si>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</si>
  <si>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</si>
  <si>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</si>
  <si>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</si>
  <si>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</si>
  <si>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</si>
  <si>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</si>
  <si>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</si>
  <si>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</si>
  <si>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</si>
  <si>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</si>
  <si>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</si>
  <si>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</si>
  <si>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</si>
  <si>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</si>
  <si>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</si>
  <si>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</si>
  <si>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</si>
  <si>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</si>
  <si>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</si>
  <si>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</si>
  <si>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</si>
  <si>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</si>
  <si>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</si>
  <si>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</si>
  <si>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</si>
  <si>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</si>
  <si>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</si>
  <si>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</si>
  <si>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</si>
  <si>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</si>
  <si>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</si>
  <si>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</si>
  <si>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</si>
  <si>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</si>
  <si>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</si>
  <si>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</si>
  <si>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</si>
  <si>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</si>
  <si>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</si>
  <si>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</si>
  <si>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</si>
  <si>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</si>
  <si>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</si>
  <si>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</si>
  <si>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</si>
  <si>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</si>
  <si>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</si>
  <si>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</si>
  <si>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</si>
  <si>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</si>
  <si>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</si>
  <si>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</si>
  <si>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</si>
  <si>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</si>
  <si>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</si>
  <si>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</si>
  <si>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</si>
  <si>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</si>
  <si>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</si>
  <si>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</si>
  <si>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</si>
  <si>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</si>
  <si>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</si>
  <si>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</si>
  <si>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</si>
  <si>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</si>
  <si>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</si>
  <si>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</si>
  <si>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</si>
  <si>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</si>
  <si>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</si>
  <si>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</si>
  <si>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</si>
  <si>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</si>
  <si>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</si>
  <si>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</si>
  <si>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</si>
  <si>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</si>
  <si>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</si>
  <si>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</si>
  <si>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</si>
  <si>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</si>
  <si>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</si>
  <si>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</si>
  <si>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</si>
  <si>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</si>
  <si>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</si>
  <si>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</si>
  <si>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</si>
  <si>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</si>
  <si>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</si>
  <si>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</si>
  <si>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</si>
  <si>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</si>
  <si>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</si>
  <si>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</si>
  <si>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</si>
  <si>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</si>
  <si>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</si>
  <si>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</si>
  <si>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</si>
  <si>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</si>
  <si>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</si>
  <si>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</si>
  <si>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</si>
  <si>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</si>
  <si>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</si>
  <si>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</si>
  <si>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</si>
  <si>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</si>
  <si>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</si>
  <si>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</si>
  <si>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</si>
  <si>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</si>
  <si>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</si>
  <si>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</si>
  <si>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</si>
  <si>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</si>
  <si>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</si>
  <si>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</si>
  <si>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</si>
  <si>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</si>
  <si>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</si>
  <si>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</si>
  <si>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</si>
  <si>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</si>
  <si>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</si>
  <si>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</si>
  <si>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</si>
  <si>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</si>
  <si>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</si>
  <si>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</si>
  <si>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</si>
  <si>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</si>
  <si>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</si>
  <si>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</si>
  <si>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</si>
  <si>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</si>
  <si>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</si>
  <si>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</si>
  <si>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</si>
  <si>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</si>
  <si>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</si>
  <si>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</si>
  <si>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</si>
  <si>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</si>
  <si>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</si>
  <si>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</si>
  <si>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</si>
  <si>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</si>
  <si>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</si>
  <si>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</si>
  <si>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</si>
  <si>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</si>
  <si>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</si>
  <si>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</si>
  <si>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</si>
  <si>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</si>
  <si>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</si>
  <si>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</si>
  <si>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</si>
  <si>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</si>
  <si>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</si>
  <si>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</si>
  <si>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</si>
  <si>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</si>
  <si>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</si>
  <si>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</si>
  <si>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</si>
  <si>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</si>
  <si>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</si>
  <si>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</si>
  <si>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</si>
  <si>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</si>
  <si>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</si>
  <si>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</si>
  <si>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</si>
  <si>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</si>
  <si>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</si>
  <si>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</si>
  <si>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</si>
  <si>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</si>
  <si>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</si>
  <si>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</si>
  <si>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</si>
  <si>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</si>
  <si>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</si>
  <si>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</si>
  <si>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</si>
  <si>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</si>
  <si>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</si>
  <si>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</si>
  <si>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</si>
  <si>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</si>
  <si>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</si>
  <si>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</si>
  <si>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</si>
  <si>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</si>
  <si>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</si>
  <si>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</si>
  <si>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</si>
  <si>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</si>
  <si>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</si>
  <si>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</si>
  <si>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</si>
  <si>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</si>
  <si>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</si>
  <si>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</si>
  <si>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</si>
  <si>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</si>
  <si>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</si>
  <si>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</si>
  <si>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</si>
  <si>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</si>
  <si>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</si>
  <si>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</si>
  <si>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</si>
  <si>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</si>
  <si>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</si>
  <si>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</si>
  <si>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</si>
  <si>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</si>
  <si>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</si>
  <si>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</si>
  <si>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</si>
  <si>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</si>
  <si>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</si>
  <si>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</si>
  <si>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</si>
  <si>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</si>
  <si>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</si>
  <si>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</si>
  <si>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</si>
  <si>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</si>
  <si>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</si>
  <si>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</si>
  <si>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</si>
  <si>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</si>
  <si>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</si>
  <si>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</si>
  <si>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</si>
  <si>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</si>
  <si>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</si>
  <si>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</si>
  <si>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</si>
  <si>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</si>
  <si>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</si>
  <si>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</si>
  <si>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</si>
  <si>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</si>
  <si>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</si>
  <si>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</si>
  <si>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</si>
  <si>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</si>
  <si>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</si>
  <si>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</si>
  <si>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</si>
  <si>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</si>
  <si>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</si>
  <si>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</si>
  <si>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</si>
  <si>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</si>
  <si>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</si>
  <si>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</si>
  <si>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</si>
  <si>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</si>
  <si>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</si>
  <si>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</si>
  <si>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</si>
  <si>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</si>
  <si>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</si>
  <si>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</si>
  <si>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</si>
  <si>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</si>
  <si>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</si>
  <si>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</si>
  <si>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</si>
  <si>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</si>
  <si>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</si>
  <si>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</si>
  <si>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</si>
  <si>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</si>
  <si>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</si>
  <si>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</si>
  <si>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</si>
  <si>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</si>
  <si>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</si>
  <si>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</si>
  <si>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</si>
  <si>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</si>
  <si>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</si>
  <si>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</si>
  <si>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</si>
  <si>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</si>
  <si>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</si>
  <si>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</si>
  <si>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</si>
  <si>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</si>
  <si>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</si>
  <si>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</si>
  <si>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</si>
  <si>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</si>
  <si>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</si>
  <si>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</si>
  <si>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</si>
  <si>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</si>
  <si>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</si>
  <si>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</si>
  <si>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</si>
  <si>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</si>
  <si>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</si>
  <si>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</si>
  <si>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</si>
  <si>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</si>
  <si>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</si>
  <si>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</si>
  <si>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</si>
  <si>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</si>
  <si>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</si>
  <si>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</si>
  <si>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</si>
  <si>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</si>
  <si>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</si>
  <si>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</si>
  <si>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</si>
  <si>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</si>
  <si>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</si>
  <si>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</si>
  <si>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</si>
  <si>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</si>
  <si>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</si>
  <si>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</si>
  <si>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</si>
  <si>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</si>
  <si>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</si>
  <si>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</si>
  <si>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</si>
  <si>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</si>
  <si>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</si>
  <si>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</si>
  <si>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</si>
  <si>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</si>
  <si>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</si>
  <si>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</si>
  <si>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</si>
  <si>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</si>
  <si>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</si>
  <si>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</si>
  <si>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</si>
  <si>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</si>
  <si>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</si>
  <si>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</si>
  <si>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</si>
  <si>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</si>
  <si>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</si>
  <si>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</si>
  <si>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</si>
  <si>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</si>
  <si>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鹏华添利宝货币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</si>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</sst>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3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66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1.2459343301249998E-2</c:v>
                </c:pt>
                <c:pt idx="1">
                  <c:v>6.9322917899999989E-2</c:v>
                </c:pt>
                <c:pt idx="2">
                  <c:v>0.11851927324749999</c:v>
                </c:pt>
                <c:pt idx="3">
                  <c:v>9.1015713901250003E-2</c:v>
                </c:pt>
                <c:pt idx="4">
                  <c:v>5.1450161417499994E-2</c:v>
                </c:pt>
                <c:pt idx="5">
                  <c:v>0.11578882864250001</c:v>
                </c:pt>
                <c:pt idx="6">
                  <c:v>0.18018517281250002</c:v>
                </c:pt>
                <c:pt idx="7">
                  <c:v>9.5477935946250009E-2</c:v>
                </c:pt>
                <c:pt idx="8">
                  <c:v>1.38701446875E-3</c:v>
                </c:pt>
                <c:pt idx="9">
                  <c:v>2.7574535291250001E-2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4671.0800000000008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tabSelected="1" topLeftCell="I1" zoomScaleNormal="100" workbookViewId="0">
      <pane ySplit="1" topLeftCell="A2" activePane="bottomLeft" state="frozen"/>
      <selection pane="bottomLeft" activeCell="W8" sqref="W8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17.91880650994575</v>
      </c>
      <c r="I2" s="21">
        <f>$F2*$W$34</f>
        <v>1.3916636528028932</v>
      </c>
      <c r="J2" s="21">
        <f t="shared" ref="J2:J33" si="0">H2*(-$M2)</f>
        <v>60923.942133815552</v>
      </c>
      <c r="K2" s="21">
        <f t="shared" ref="K2:K33" si="1">I2*(-$M2)</f>
        <v>4731.656419529837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3.1047499999999707E-2</v>
      </c>
      <c r="U2" s="18" t="s">
        <v>140</v>
      </c>
      <c r="V2" s="18">
        <f>((SUM(T4:T6)+S8) - SUM(R4:R6))/SUM(R4:R6)</f>
        <v>2.4375483776767942E-2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29.267247804099018</v>
      </c>
      <c r="I3" s="21">
        <f>$F3*$W$25</f>
        <v>3.5257985094490287</v>
      </c>
      <c r="J3" s="21">
        <f t="shared" si="0"/>
        <v>216577.63375033272</v>
      </c>
      <c r="K3" s="21">
        <f t="shared" si="1"/>
        <v>26090.908969922813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9.2522427440633237</v>
      </c>
      <c r="I4" s="21">
        <f>F4*$W$15</f>
        <v>0.96749340369393144</v>
      </c>
      <c r="J4" s="21">
        <f t="shared" si="0"/>
        <v>36638.88126649076</v>
      </c>
      <c r="K4" s="21">
        <f t="shared" si="1"/>
        <v>3831.2738786279683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434639.50000000006</v>
      </c>
      <c r="S4" s="29">
        <v>26822.04</v>
      </c>
      <c r="T4" s="131">
        <f>SUM(天天基金网!G2:G50)</f>
        <v>461461.54000000004</v>
      </c>
      <c r="U4" s="26">
        <f>T4/R4-1</f>
        <v>6.1711004177024797E-2</v>
      </c>
      <c r="V4" s="160">
        <f>SUM(O:O)</f>
        <v>649.2200000000023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24.04397914564413</v>
      </c>
      <c r="I5" s="21">
        <f>E5*$W$26</f>
        <v>3.2058638860858841</v>
      </c>
      <c r="J5" s="21">
        <f t="shared" si="0"/>
        <v>95214.15741675075</v>
      </c>
      <c r="K5" s="21">
        <f t="shared" si="1"/>
        <v>12695.220988900101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-2827.58</v>
      </c>
      <c r="T5" s="131">
        <f>R5+S5</f>
        <v>9172.42</v>
      </c>
      <c r="U5" s="26">
        <f>T5/R5-1</f>
        <v>-0.23563166666666668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380704.9</v>
      </c>
      <c r="S6" s="29">
        <v>-7252.9</v>
      </c>
      <c r="T6" s="130">
        <f>SUM(涨乐财富通!I2:I50)</f>
        <v>373452</v>
      </c>
      <c r="U6" s="26">
        <f>T6/R6-1</f>
        <v>-1.9051238899210454E-2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30.533060952887947</v>
      </c>
      <c r="I7" s="21">
        <f>F7*$W$25</f>
        <v>3.6782898589299977</v>
      </c>
      <c r="J7" s="21">
        <f t="shared" si="0"/>
        <v>120910.92137343627</v>
      </c>
      <c r="K7" s="21">
        <f t="shared" si="1"/>
        <v>14566.027841362791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25.001227716111671</v>
      </c>
      <c r="I8" s="21">
        <f>E8*$W$26</f>
        <v>3.3334970288148895</v>
      </c>
      <c r="J8" s="21">
        <f t="shared" si="0"/>
        <v>99004.861755802223</v>
      </c>
      <c r="K8" s="21">
        <f t="shared" si="1"/>
        <v>13200.648234106962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4671.0800000000008</v>
      </c>
      <c r="S8" s="11">
        <f>SUM(N:N)</f>
        <v>3425.3599999999997</v>
      </c>
      <c r="T8" s="11">
        <f>Q8+R8+S8</f>
        <v>65696.44</v>
      </c>
      <c r="U8" s="134">
        <f>SUM(S4:S6)+$S$8+$R$8-$V$4</f>
        <v>24188.78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24.890968718466194</v>
      </c>
      <c r="I10" s="21">
        <f>E10*$W$26</f>
        <v>3.3187958291288258</v>
      </c>
      <c r="J10" s="21">
        <f t="shared" si="0"/>
        <v>98568.236125126132</v>
      </c>
      <c r="K10" s="21">
        <f t="shared" si="1"/>
        <v>13142.43148335015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30.22122905027933</v>
      </c>
      <c r="I11" s="21">
        <f>F11*$W$24</f>
        <v>3.6407237555240557</v>
      </c>
      <c r="J11" s="21">
        <f t="shared" si="0"/>
        <v>120691.50033519552</v>
      </c>
      <c r="K11" s="21">
        <f t="shared" si="1"/>
        <v>14539.594390060869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28.860374851528999</v>
      </c>
      <c r="I12" s="21">
        <f>F12*$W$19</f>
        <v>2.2039780162261189</v>
      </c>
      <c r="J12" s="21">
        <f t="shared" si="0"/>
        <v>112197.01606530711</v>
      </c>
      <c r="K12" s="21">
        <f t="shared" si="1"/>
        <v>8568.1408563203349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30.244692737430164</v>
      </c>
      <c r="I13" s="21">
        <f>F13*$W$24</f>
        <v>3.6435504044025677</v>
      </c>
      <c r="J13" s="21">
        <f t="shared" si="0"/>
        <v>120878.96346368713</v>
      </c>
      <c r="K13" s="21">
        <f t="shared" si="1"/>
        <v>14562.177901275742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27.078320214200875</v>
      </c>
      <c r="I14" s="21">
        <f>F14*$W$19</f>
        <v>2.0678879874378437</v>
      </c>
      <c r="J14" s="21">
        <f t="shared" si="0"/>
        <v>98749.218157147756</v>
      </c>
      <c r="K14" s="21">
        <f t="shared" si="1"/>
        <v>7541.1739125883287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24.956121762529431</v>
      </c>
      <c r="I15" s="21">
        <f>E15*$W$26</f>
        <v>3.3274829016705909</v>
      </c>
      <c r="J15" s="21">
        <f t="shared" si="0"/>
        <v>197652.48435923309</v>
      </c>
      <c r="K15" s="21">
        <f t="shared" si="1"/>
        <v>26353.664581231082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2.653</v>
      </c>
      <c r="T15" s="86">
        <v>9.85</v>
      </c>
      <c r="U15" s="32">
        <f t="shared" ref="U15:U35" si="3">T15/S15</f>
        <v>3.7127779871843196</v>
      </c>
      <c r="V15" s="86">
        <v>1.03</v>
      </c>
      <c r="W15" s="32">
        <f t="shared" ref="W15:W35" si="4">V15/S15</f>
        <v>0.38823972860912176</v>
      </c>
      <c r="X15" s="51">
        <v>0.13300000000000001</v>
      </c>
      <c r="Y15" s="42">
        <f>SUMIF(C:C,"=红利",J:J)/SUMIFS(M:M,C:C,"=红利",M:M,"&lt;0")*-1</f>
        <v>9.6572736806592161</v>
      </c>
      <c r="Z15" s="42">
        <f>SUMIF(C:C,"=红利",K:K)/SUMIFS(M:M,C:C,"=红利",M:M,"&lt;0")*-1</f>
        <v>1.009846892495329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29.470391061452514</v>
      </c>
      <c r="I16" s="21">
        <f>F16*$W$24</f>
        <v>3.5502709914116566</v>
      </c>
      <c r="J16" s="21">
        <f t="shared" si="0"/>
        <v>114745.9146368715</v>
      </c>
      <c r="K16" s="21">
        <f t="shared" si="1"/>
        <v>13823.335132160426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2.819</v>
      </c>
      <c r="T16" s="86">
        <v>10.07</v>
      </c>
      <c r="U16" s="32">
        <f t="shared" si="3"/>
        <v>3.572188719404044</v>
      </c>
      <c r="V16" s="86">
        <v>1.18</v>
      </c>
      <c r="W16" s="32">
        <f t="shared" si="4"/>
        <v>0.41858815182688897</v>
      </c>
      <c r="X16" s="51">
        <v>0.1237</v>
      </c>
      <c r="Y16" s="42">
        <f>SUMIF(C:C,"=50ETF",J:J)/SUMIFS(M:M,C:C,"=50ETF",M:M,"&lt;0")*-1</f>
        <v>8.5232422844980498</v>
      </c>
      <c r="Z16" s="42">
        <f>SUMIF(C:C,"=50ETF",K:K)/SUMIFS(M:M,C:C,"=50ETF",M:M,"&lt;0")*-1</f>
        <v>0.99875133025895713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3.6930999999999998</v>
      </c>
      <c r="T17" s="86">
        <v>12.59</v>
      </c>
      <c r="U17" s="32">
        <f t="shared" si="3"/>
        <v>3.4090601391784681</v>
      </c>
      <c r="V17" s="86">
        <v>1.41</v>
      </c>
      <c r="W17" s="32">
        <f t="shared" si="4"/>
        <v>0.38179307356962983</v>
      </c>
      <c r="X17" s="51">
        <v>0.12039999999999999</v>
      </c>
      <c r="Y17" s="42">
        <f>SUMIF(C:C,"=300ETF",J:J)/SUMIFS(M:M,C:C,"=300ETF",M:M,"&lt;0")*-1</f>
        <v>11.599888305558563</v>
      </c>
      <c r="Z17" s="42">
        <f>SUMIF(C:C,"=300ETF",K:K)/SUMIFS(M:M,C:C,"=300ETF",M:M,"&lt;0")*-1</f>
        <v>1.2991137816392033</v>
      </c>
      <c r="AA17" s="161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9.4267433094609885</v>
      </c>
      <c r="I18" s="21">
        <f>F18*$W$15</f>
        <v>0.98574067093856022</v>
      </c>
      <c r="J18" s="21">
        <f t="shared" si="0"/>
        <v>37329.903505465518</v>
      </c>
      <c r="K18" s="21">
        <f t="shared" si="1"/>
        <v>3903.5330569166986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1.861</v>
      </c>
      <c r="T18" s="86">
        <v>12.59</v>
      </c>
      <c r="U18" s="32">
        <f t="shared" si="3"/>
        <v>6.76518001074691</v>
      </c>
      <c r="V18" s="86">
        <v>1.41</v>
      </c>
      <c r="W18" s="32">
        <f t="shared" si="4"/>
        <v>0.75765717356260076</v>
      </c>
      <c r="X18" s="112">
        <v>0.12039999999999999</v>
      </c>
      <c r="Y18" s="42">
        <f>SUMIF(C:C,"=300ETF",J:J)/SUMIFS(M:M,C:C,"=300ETF",M:M,"&lt;0")*-1</f>
        <v>11.599888305558563</v>
      </c>
      <c r="Z18" s="42">
        <f>SUMIF(C:C,"=300ETF",K:K)/SUMIFS(M:M,C:C,"=300ETF",M:M,"&lt;0")*-1</f>
        <v>1.2991137816392033</v>
      </c>
      <c r="AA18" s="162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4.9672999999999998</v>
      </c>
      <c r="T19" s="86">
        <v>22.13</v>
      </c>
      <c r="U19" s="32">
        <f t="shared" si="3"/>
        <v>4.4551365933203151</v>
      </c>
      <c r="V19" s="86">
        <v>1.69</v>
      </c>
      <c r="W19" s="32">
        <f t="shared" si="4"/>
        <v>0.3402250719706883</v>
      </c>
      <c r="X19" s="112">
        <v>7.7899999999999997E-2</v>
      </c>
      <c r="Y19" s="42">
        <f>SUMIF(C:C,"=500ETF",J:J)/SUMIFS(M:M,C:C,"=500ETF",M:M,"&lt;0")*-1</f>
        <v>24.866104798327957</v>
      </c>
      <c r="Z19" s="42">
        <f>SUMIF(C:C,"=500ETF",K:K)/SUMIFS(M:M,C:C,"=500ETF",M:M,"&lt;0")*-1</f>
        <v>1.8989479037132506</v>
      </c>
      <c r="AA19" s="161">
        <f>(SUMIF(C:C,"=500ETF",M:M)*-1)/$R$2</f>
        <v>0.28365731249999998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29.337074467014276</v>
      </c>
      <c r="I20" s="21">
        <f>F20*$W$19</f>
        <v>2.2403820989269825</v>
      </c>
      <c r="J20" s="21">
        <f t="shared" si="0"/>
        <v>231867.9150160047</v>
      </c>
      <c r="K20" s="21">
        <f t="shared" si="1"/>
        <v>17707.039149437322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1.8320000000000001</v>
      </c>
      <c r="T20" s="86">
        <v>22.13</v>
      </c>
      <c r="U20" s="32">
        <f t="shared" si="3"/>
        <v>12.079694323144103</v>
      </c>
      <c r="V20" s="86">
        <v>1.69</v>
      </c>
      <c r="W20" s="32">
        <f t="shared" si="4"/>
        <v>0.92248908296943222</v>
      </c>
      <c r="X20" s="112">
        <v>7.7899999999999997E-2</v>
      </c>
      <c r="Y20" s="42">
        <f>SUMIF(C:C,"=500ETF",J:J)/SUMIFS(M:M,C:C,"=500ETF",M:M,"&lt;0")*-1</f>
        <v>24.866104798327957</v>
      </c>
      <c r="Z20" s="42">
        <f>SUMIF(C:C,"=500ETF",K:K)/SUMIFS(M:M,C:C,"=500ETF",M:M,"&lt;0")*-1</f>
        <v>1.8989479037132506</v>
      </c>
      <c r="AA20" s="162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37.184782691574533</v>
      </c>
      <c r="I21" s="21">
        <f>F21*$W$29</f>
        <v>3.0755432710636681</v>
      </c>
      <c r="J21" s="21">
        <f t="shared" si="0"/>
        <v>148739.13076629813</v>
      </c>
      <c r="K21" s="21">
        <f t="shared" si="1"/>
        <v>12302.173084254673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0.61560000000000004</v>
      </c>
      <c r="T21" s="86">
        <v>31.47</v>
      </c>
      <c r="U21" s="32">
        <f t="shared" si="3"/>
        <v>51.120857699805065</v>
      </c>
      <c r="V21" s="86">
        <v>2.0099999999999998</v>
      </c>
      <c r="W21" s="32">
        <f t="shared" si="4"/>
        <v>3.2651072124756331</v>
      </c>
      <c r="X21" s="112">
        <v>5.8900000000000001E-2</v>
      </c>
      <c r="Y21" s="42">
        <f>SUMIF(C:C,"=1000ETF",J:J)/SUMIFS(M:M,C:C,"=1000ETF",M:M,"&lt;0")*-1</f>
        <v>8.2085602981460717</v>
      </c>
      <c r="Z21" s="42">
        <f>SUMIF(C:C,"=1000ETF",K:K)/SUMIFS(M:M,C:C,"=1000ETF",M:M,"&lt;0")*-1</f>
        <v>0.52428364154031171</v>
      </c>
      <c r="AA21" s="33">
        <f>(SUMIF(C:C,"=1000ETF",M:M)*-1)/$R$2</f>
        <v>6.5635124999999968E-3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28.69107966098283</v>
      </c>
      <c r="I22" s="21">
        <f>F22*$W$19</f>
        <v>2.191049463491233</v>
      </c>
      <c r="J22" s="21">
        <f t="shared" si="0"/>
        <v>110884.4239413766</v>
      </c>
      <c r="K22" s="21">
        <f t="shared" si="1"/>
        <v>8467.9022350170126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1.4524999999999999</v>
      </c>
      <c r="T22" s="86">
        <v>51.44</v>
      </c>
      <c r="U22" s="32">
        <f>T22/S22</f>
        <v>35.414802065404473</v>
      </c>
      <c r="V22" s="86">
        <v>4.43</v>
      </c>
      <c r="W22" s="32">
        <f t="shared" si="4"/>
        <v>3.0499139414802063</v>
      </c>
      <c r="X22" s="112">
        <v>9.1399999999999995E-2</v>
      </c>
      <c r="Y22" s="42">
        <f>SUMIF(C:C,"=创业板",J:J)/SUMIFS(M:M,C:C,"=创业板",M:M,"&lt;0")*-1</f>
        <v>47.662037062650192</v>
      </c>
      <c r="Z22" s="42">
        <f>SUMIF(C:C,"=创业板",K:K)/SUMIFS(M:M,C:C,"=创业板",M:M,"&lt;0")*-1</f>
        <v>4.104642771919524</v>
      </c>
      <c r="AA22" s="161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29.288067964487752</v>
      </c>
      <c r="I23" s="21">
        <f>F23*$W$19</f>
        <v>2.236639623135305</v>
      </c>
      <c r="J23" s="21">
        <f t="shared" si="0"/>
        <v>115546.99285281744</v>
      </c>
      <c r="K23" s="21">
        <f t="shared" si="1"/>
        <v>8823.9682747971747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1.5712999999999999</v>
      </c>
      <c r="T23" s="86">
        <v>51.44</v>
      </c>
      <c r="U23" s="32">
        <f>T23/S23</f>
        <v>32.737223954687202</v>
      </c>
      <c r="V23" s="86">
        <v>4.43</v>
      </c>
      <c r="W23" s="32">
        <f t="shared" si="4"/>
        <v>2.8193215808566157</v>
      </c>
      <c r="X23" s="112">
        <v>9.1399999999999995E-2</v>
      </c>
      <c r="Y23" s="42">
        <f>SUMIF(C:C,"=创业板",J:J)/SUMIFS(M:M,C:C,"=创业板",M:M,"&lt;0")*-1</f>
        <v>47.662037062650192</v>
      </c>
      <c r="Z23" s="42">
        <f>SUMIF(C:C,"=创业板",K:K)/SUMIFS(M:M,C:C,"=创业板",M:M,"&lt;0")*-1</f>
        <v>4.104642771919524</v>
      </c>
      <c r="AA23" s="163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10.488597813795703</v>
      </c>
      <c r="I24" s="21">
        <f>F24*$W$15</f>
        <v>1.096777233320769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1.1993</v>
      </c>
      <c r="T24" s="86">
        <v>28.14</v>
      </c>
      <c r="U24" s="32">
        <f t="shared" si="3"/>
        <v>23.463687150837988</v>
      </c>
      <c r="V24" s="86">
        <v>3.39</v>
      </c>
      <c r="W24" s="32">
        <f t="shared" si="4"/>
        <v>2.8266488785124655</v>
      </c>
      <c r="X24" s="112">
        <v>0.1031</v>
      </c>
      <c r="Y24" s="42">
        <f>SUMIF(C:C,"=医药",J:J)/SUMIFS(M:M,C:C,"=医药",M:M,"&lt;0")*-1</f>
        <v>28.748277920015322</v>
      </c>
      <c r="Z24" s="42">
        <f>SUMIF(C:C,"=医药",K:K)/SUMIFS(M:M,C:C,"=医药",M:M,"&lt;0")*-1</f>
        <v>3.4632786833280718</v>
      </c>
      <c r="AA24" s="161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44.152392203189599</v>
      </c>
      <c r="I25" s="21">
        <f>F25*$W$30</f>
        <v>3.4849379799173064</v>
      </c>
      <c r="J25" s="21">
        <f t="shared" si="0"/>
        <v>176644.89072652097</v>
      </c>
      <c r="K25" s="21">
        <f t="shared" si="1"/>
        <v>13942.53987005316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0.75139999999999996</v>
      </c>
      <c r="T25" s="86">
        <v>28.14</v>
      </c>
      <c r="U25" s="32">
        <f t="shared" si="3"/>
        <v>37.450093159435724</v>
      </c>
      <c r="V25" s="86">
        <v>3.39</v>
      </c>
      <c r="W25" s="32">
        <f t="shared" si="4"/>
        <v>4.5115783870109132</v>
      </c>
      <c r="X25" s="112">
        <v>0.1031</v>
      </c>
      <c r="Y25" s="42">
        <f>SUMIF(C:C,"=医药",J:J)/SUMIFS(M:M,C:C,"=医药",M:M,"&lt;0")*-1</f>
        <v>28.748277920015322</v>
      </c>
      <c r="Z25" s="42">
        <f>SUMIF(C:C,"=医药",K:K)/SUMIFS(M:M,C:C,"=医药",M:M,"&lt;0")*-1</f>
        <v>3.4632786833280718</v>
      </c>
      <c r="AA25" s="162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28.735631026916032</v>
      </c>
      <c r="I26" s="21">
        <f>F26*$W$19</f>
        <v>2.1944517142109397</v>
      </c>
      <c r="J26" s="21">
        <f t="shared" si="0"/>
        <v>111229.01851005577</v>
      </c>
      <c r="K26" s="21">
        <f t="shared" si="1"/>
        <v>8494.2178618162779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0.89190000000000003</v>
      </c>
      <c r="T26" s="86">
        <v>22.35</v>
      </c>
      <c r="U26" s="32">
        <f t="shared" si="3"/>
        <v>25.058863101244533</v>
      </c>
      <c r="V26" s="86">
        <v>2.98</v>
      </c>
      <c r="W26" s="32">
        <f t="shared" si="4"/>
        <v>3.3411817468326044</v>
      </c>
      <c r="X26" s="112">
        <v>0.13789999999999999</v>
      </c>
      <c r="Y26" s="42">
        <f>SUMIF(C:C,"=养老",J:J)/SUMIFS(M:M,C:C,"=养老",M:M,"&lt;0")*-1</f>
        <v>23.374902334065006</v>
      </c>
      <c r="Z26" s="42">
        <f>SUMIF(C:C,"=养老",K:K)/SUMIFS(M:M,C:C,"=养老",M:M,"&lt;0")*-1</f>
        <v>3.0788466230438205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33.816227601982469</v>
      </c>
      <c r="I27" s="21">
        <f>F27*$W$29</f>
        <v>2.7969309950438435</v>
      </c>
      <c r="J27" s="21">
        <f t="shared" si="0"/>
        <v>135264.91040792988</v>
      </c>
      <c r="K27" s="21">
        <f t="shared" si="1"/>
        <v>11187.723980175373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0.88380000000000003</v>
      </c>
      <c r="T27" s="86">
        <v>28.87</v>
      </c>
      <c r="U27" s="32">
        <f t="shared" si="3"/>
        <v>32.665761484498752</v>
      </c>
      <c r="V27" s="86">
        <v>1.51</v>
      </c>
      <c r="W27" s="32">
        <f t="shared" si="4"/>
        <v>1.7085313419325638</v>
      </c>
      <c r="X27" s="112">
        <v>5.2400000000000002E-2</v>
      </c>
      <c r="Y27" s="42">
        <f>SUMIF(C:C,"=证券",J:J)/SUMIFS(M:M,C:C,"=证券",M:M,"&lt;0")*-1</f>
        <v>26.030711267767845</v>
      </c>
      <c r="Z27" s="42">
        <f>SUMIF(C:C,"=证券",K:K)/SUMIFS(M:M,C:C,"=证券",M:M,"&lt;0")*-1</f>
        <v>1.3614954629140785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26.922390433434664</v>
      </c>
      <c r="I28" s="21">
        <f>F28*$W$19</f>
        <v>2.0559801099188695</v>
      </c>
      <c r="J28" s="21">
        <f t="shared" si="0"/>
        <v>211541.87515899987</v>
      </c>
      <c r="K28" s="21">
        <f t="shared" si="1"/>
        <v>16154.802034284219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0.69650000000000001</v>
      </c>
      <c r="T28" s="86">
        <v>25.39</v>
      </c>
      <c r="U28" s="32">
        <f t="shared" si="3"/>
        <v>36.45369705671213</v>
      </c>
      <c r="V28" s="86">
        <v>2.1</v>
      </c>
      <c r="W28" s="32">
        <f t="shared" si="4"/>
        <v>3.0150753768844223</v>
      </c>
      <c r="X28" s="112">
        <v>0.1003</v>
      </c>
      <c r="Y28" s="42">
        <f>SUMIF(C:C,"=环保",J:J)/SUMIFS(M:M,C:C,"=环保",M:M,"&lt;0")*-1</f>
        <v>31.595382679973955</v>
      </c>
      <c r="Z28" s="42">
        <f>SUMIF(C:C,"=环保",K:K)/SUMIFS(M:M,C:C,"=环保",M:M,"&lt;0")*-1</f>
        <v>2.6132455150825251</v>
      </c>
      <c r="AA28" s="161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26.797646608821694</v>
      </c>
      <c r="I29" s="21">
        <f>F29*$W$19</f>
        <v>2.0464538079036898</v>
      </c>
      <c r="J29" s="21">
        <f t="shared" si="0"/>
        <v>1338126.5486352749</v>
      </c>
      <c r="K29" s="21">
        <f t="shared" si="1"/>
        <v>102188.60674169064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0.52459999999999996</v>
      </c>
      <c r="T29" s="86">
        <v>25.39</v>
      </c>
      <c r="U29" s="32">
        <f t="shared" si="3"/>
        <v>48.398780022874575</v>
      </c>
      <c r="V29" s="86">
        <v>2.1</v>
      </c>
      <c r="W29" s="32">
        <f t="shared" si="4"/>
        <v>4.0030499428135728</v>
      </c>
      <c r="X29" s="112">
        <v>0.1003</v>
      </c>
      <c r="Y29" s="42">
        <f>SUMIF(C:C,"=环保",J:J)/SUMIFS(M:M,C:C,"=环保",M:M,"&lt;0")*-1</f>
        <v>31.595382679973955</v>
      </c>
      <c r="Z29" s="42">
        <f>SUMIF(C:C,"=环保",K:K)/SUMIFS(M:M,C:C,"=环保",M:M,"&lt;0")*-1</f>
        <v>2.6132455150825251</v>
      </c>
      <c r="AA29" s="162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9.9762344515642667</v>
      </c>
      <c r="I30" s="21">
        <f>F30*$W$15</f>
        <v>1.04320015077271</v>
      </c>
      <c r="J30" s="21">
        <f t="shared" si="0"/>
        <v>199524.68903128532</v>
      </c>
      <c r="K30" s="21">
        <f t="shared" si="1"/>
        <v>20864.0030154542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0.67720000000000002</v>
      </c>
      <c r="T30" s="86">
        <v>29.9</v>
      </c>
      <c r="U30" s="32">
        <f t="shared" si="3"/>
        <v>44.152392203189599</v>
      </c>
      <c r="V30" s="86">
        <v>2.36</v>
      </c>
      <c r="W30" s="32">
        <f t="shared" si="4"/>
        <v>3.4849379799173064</v>
      </c>
      <c r="X30" s="71">
        <v>7.5999999999999998E-2</v>
      </c>
      <c r="Y30" s="42">
        <f>SUMIF(C:C,"=传媒",J:J)/SUMIFS(M:M,C:C,"=传媒",M:M,"&lt;0")*-1</f>
        <v>38.255388682406576</v>
      </c>
      <c r="Z30" s="42">
        <f>SUMIF(C:C,"=传媒",K:K)/SUMIFS(M:M,C:C,"=传媒",M:M,"&lt;0")*-1</f>
        <v>3.0194888725912881</v>
      </c>
      <c r="AA30" s="161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39.669785575048728</v>
      </c>
      <c r="I31" s="21">
        <f>F31*$W$21</f>
        <v>2.5337231968810912</v>
      </c>
      <c r="J31" s="21">
        <f t="shared" si="0"/>
        <v>794379.52218323573</v>
      </c>
      <c r="K31" s="21">
        <f t="shared" si="1"/>
        <v>50737.300272904475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0.68469999999999998</v>
      </c>
      <c r="T31" s="86">
        <v>29.9</v>
      </c>
      <c r="U31" s="32">
        <f t="shared" si="3"/>
        <v>43.668760040893822</v>
      </c>
      <c r="V31" s="86">
        <v>2.36</v>
      </c>
      <c r="W31" s="32">
        <f t="shared" si="4"/>
        <v>3.4467650065722215</v>
      </c>
      <c r="X31" s="124">
        <v>7.5999999999999998E-2</v>
      </c>
      <c r="Y31" s="42">
        <f>SUMIF(C:C,"=传媒",J:J)/SUMIFS(M:M,C:C,"=传媒",M:M,"&lt;0")*-1</f>
        <v>38.255388682406576</v>
      </c>
      <c r="Z31" s="42">
        <f>SUMIF(C:C,"=传媒",K:K)/SUMIFS(M:M,C:C,"=传媒",M:M,"&lt;0")*-1</f>
        <v>3.0194888725912881</v>
      </c>
      <c r="AA31" s="161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38.851851851851848</v>
      </c>
      <c r="I32" s="21">
        <f>F32*$W$21</f>
        <v>2.481481481481481</v>
      </c>
      <c r="J32" s="21">
        <f t="shared" si="0"/>
        <v>389839.87</v>
      </c>
      <c r="K32" s="21">
        <f t="shared" si="1"/>
        <v>24899.209999999995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2.69</v>
      </c>
      <c r="T32" s="86">
        <v>33.4</v>
      </c>
      <c r="U32" s="32">
        <f t="shared" si="3"/>
        <v>12.41635687732342</v>
      </c>
      <c r="V32" s="86">
        <v>6.4</v>
      </c>
      <c r="W32" s="32">
        <f t="shared" si="4"/>
        <v>2.3791821561338291</v>
      </c>
      <c r="X32" s="71">
        <v>0.19520000000000001</v>
      </c>
      <c r="Y32" s="42">
        <f>SUMIF(C:C,"=消费",J:J)/SUMIF(C:C,"=消费",M:M)*-1</f>
        <v>54.910294674062087</v>
      </c>
      <c r="Z32" s="42">
        <f>SUMIF(C:C,"=消费",K:K)/SUMIFS(M:M,C:C,"=消费",M:M,"&lt;0")*-1</f>
        <v>-5.8205569962825283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1.0424</v>
      </c>
      <c r="T33" s="70">
        <v>8.65</v>
      </c>
      <c r="U33" s="32">
        <f t="shared" si="3"/>
        <v>8.2981580966999235</v>
      </c>
      <c r="V33" s="70">
        <v>1.1499999999999999</v>
      </c>
      <c r="W33" s="32">
        <f t="shared" si="4"/>
        <v>1.1032233307751342</v>
      </c>
      <c r="X33" s="71">
        <f>V33/T33</f>
        <v>0.13294797687861271</v>
      </c>
      <c r="Y33" s="42">
        <f>SUMIF(C:C,"=金融地产",J:J)/SUMIFS(M:M,C:C,"=金融地产",M:M,"&lt;0")*-1</f>
        <v>7.5352807623433087</v>
      </c>
      <c r="Z33" s="42">
        <f>SUMIF(C:C,"=金融地产",K:K)/SUMIFS(M:M,C:C,"=金融地产",M:M,"&lt;0")*-1</f>
        <v>1.0018003325658735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33.259641631719411</v>
      </c>
      <c r="I34" s="21">
        <f>F34*$W$29</f>
        <v>2.7508959207014874</v>
      </c>
      <c r="J34" s="21">
        <f t="shared" ref="J34:J65" si="5">H34*(-$M34)</f>
        <v>133038.56652687764</v>
      </c>
      <c r="K34" s="21">
        <f t="shared" ref="K34:K65" si="6">I34*(-$M34)</f>
        <v>11003.583682805949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1.1060000000000001</v>
      </c>
      <c r="T34" s="75">
        <v>19.7</v>
      </c>
      <c r="U34" s="76">
        <f t="shared" si="3"/>
        <v>17.811934900542493</v>
      </c>
      <c r="V34" s="70">
        <v>1.53</v>
      </c>
      <c r="W34" s="32">
        <f t="shared" si="4"/>
        <v>1.3833634719710668</v>
      </c>
      <c r="X34" s="112">
        <f>V34/T34</f>
        <v>7.766497461928934E-2</v>
      </c>
      <c r="Y34" s="42">
        <f>SUMIF(C:C,"=德国30",J:J)/SUMIFS(M:M,C:C,"=德国30",M:M,"&lt;0")*-1</f>
        <v>19.482473715373903</v>
      </c>
      <c r="Z34" s="42">
        <f>SUMIF(C:C,"=德国30",K:K)/SUMIFS(M:M,C:C,"=德国30",M:M,"&lt;0")*-1</f>
        <v>1.513105826625486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32.771873653984208</v>
      </c>
      <c r="I35" s="21">
        <f>F35*$W$28</f>
        <v>2.7105527638190958</v>
      </c>
      <c r="J35" s="21">
        <f t="shared" si="5"/>
        <v>132605.16008485283</v>
      </c>
      <c r="K35" s="21">
        <f t="shared" si="6"/>
        <v>10967.736753768846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1.4487000000000001</v>
      </c>
      <c r="T35" s="70">
        <v>9.42</v>
      </c>
      <c r="U35" s="32">
        <f t="shared" si="3"/>
        <v>6.5023814454338371</v>
      </c>
      <c r="V35" s="70">
        <v>1.03</v>
      </c>
      <c r="W35" s="32">
        <f t="shared" si="4"/>
        <v>0.71098225995720299</v>
      </c>
      <c r="X35" s="112">
        <f>V35/T35</f>
        <v>0.10934182590233546</v>
      </c>
      <c r="Y35" s="42">
        <f>SUMIF(C:C,"=恒生",J:J)/SUMIFS(M:M,C:C,"=恒生",M:M,"&lt;0")*-1</f>
        <v>9.4297535721681509</v>
      </c>
      <c r="Z35" s="42">
        <f>SUMIF(C:C,"=恒生",K:K)/SUMIFS(M:M,C:C,"=恒生",M:M,"&lt;0")*-1</f>
        <v>1.0310664733899357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1.107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41.768163024217358</v>
      </c>
      <c r="I37" s="21">
        <f>F37*$W$30</f>
        <v>3.2967513290017716</v>
      </c>
      <c r="J37" s="21">
        <f t="shared" si="5"/>
        <v>268740.12003248668</v>
      </c>
      <c r="K37" s="21">
        <f t="shared" si="6"/>
        <v>21211.59475841701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1.0799000000000001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33.46449389806174</v>
      </c>
      <c r="I38" s="21">
        <f>F38*$W$28</f>
        <v>2.7678391959798998</v>
      </c>
      <c r="J38" s="21">
        <f t="shared" si="5"/>
        <v>642184.97648356075</v>
      </c>
      <c r="K38" s="21">
        <f t="shared" si="6"/>
        <v>53114.944884422119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1.518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3.7423999999999999</v>
      </c>
      <c r="T39" s="72"/>
      <c r="U39" s="72"/>
      <c r="V39" s="72"/>
      <c r="W39" s="72"/>
      <c r="X39" s="72"/>
      <c r="Y39" s="2"/>
      <c r="Z39" s="41"/>
      <c r="AA39" s="161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29.039861959719392</v>
      </c>
      <c r="I40" s="21">
        <f>F40*$W$27</f>
        <v>1.5188843629780493</v>
      </c>
      <c r="J40" s="21">
        <f t="shared" si="5"/>
        <v>371831.03891016066</v>
      </c>
      <c r="K40" s="21">
        <f t="shared" si="6"/>
        <v>19448.038405069019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2.2717000000000001</v>
      </c>
      <c r="T40" s="72"/>
      <c r="U40" s="72"/>
      <c r="V40" s="72"/>
      <c r="W40" s="72"/>
      <c r="X40" s="72"/>
      <c r="Y40" s="68"/>
      <c r="Z40" s="68"/>
      <c r="AA40" s="162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41.768163024217358</v>
      </c>
      <c r="I41" s="21">
        <f>F41*$W$30</f>
        <v>3.2967513290017716</v>
      </c>
      <c r="J41" s="21">
        <f t="shared" si="5"/>
        <v>268740.12003248668</v>
      </c>
      <c r="K41" s="21">
        <f t="shared" si="6"/>
        <v>21211.59475841701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2.5510000000000002</v>
      </c>
      <c r="T41" s="72"/>
      <c r="U41" s="72"/>
      <c r="V41" s="72"/>
      <c r="W41" s="72"/>
      <c r="X41" s="72"/>
      <c r="Y41" s="68"/>
      <c r="Z41" s="68"/>
      <c r="AA41" s="162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26.74864010629517</v>
      </c>
      <c r="I42" s="21">
        <f>F42*$W$19</f>
        <v>2.0427113321120123</v>
      </c>
      <c r="J42" s="21">
        <f t="shared" si="5"/>
        <v>176694.02692295614</v>
      </c>
      <c r="K42" s="21">
        <f t="shared" si="6"/>
        <v>13493.579100758961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0.40200000000000002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1.2831999999999999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26.320946993336424</v>
      </c>
      <c r="I44" s="21">
        <f>F44*$W$19</f>
        <v>2.0100497252028267</v>
      </c>
      <c r="J44" s="21">
        <f t="shared" si="5"/>
        <v>171088.78755138611</v>
      </c>
      <c r="K44" s="21">
        <f t="shared" si="6"/>
        <v>13065.524218790893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7.8334612432847273</v>
      </c>
      <c r="I45" s="21">
        <f>F45*$W$33</f>
        <v>1.0414428242517266</v>
      </c>
      <c r="J45" s="21">
        <f t="shared" si="5"/>
        <v>50134.151957022252</v>
      </c>
      <c r="K45" s="21">
        <f t="shared" si="6"/>
        <v>6665.2340752110504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4.8526528750000075E-2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25.844247377851147</v>
      </c>
      <c r="I46" s="21">
        <f>F46*$W$19</f>
        <v>1.9736456425019628</v>
      </c>
      <c r="J46" s="21">
        <f t="shared" si="5"/>
        <v>494843.16429587506</v>
      </c>
      <c r="K46" s="21">
        <f t="shared" si="6"/>
        <v>37789.64969091861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12.419206087027158</v>
      </c>
      <c r="I47" s="21">
        <f>F47*$W$17</f>
        <v>1.3908721670141613</v>
      </c>
      <c r="J47" s="21">
        <f t="shared" si="5"/>
        <v>81453.971155045889</v>
      </c>
      <c r="K47" s="21">
        <f t="shared" si="6"/>
        <v>9122.3271905174497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24.614629678094744</v>
      </c>
      <c r="I48" s="21">
        <f>F48*$W$19</f>
        <v>1.879743522638053</v>
      </c>
      <c r="J48" s="21">
        <f t="shared" si="5"/>
        <v>312852.92779377132</v>
      </c>
      <c r="K48" s="21">
        <f t="shared" si="6"/>
        <v>23891.615362470562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24.115654379642866</v>
      </c>
      <c r="I49" s="21">
        <f>F49*$W$19</f>
        <v>1.8416383145773358</v>
      </c>
      <c r="J49" s="21">
        <f t="shared" si="5"/>
        <v>156676.99493910171</v>
      </c>
      <c r="K49" s="21">
        <f t="shared" si="6"/>
        <v>11964.939965977492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25.11997058157954</v>
      </c>
      <c r="I51" s="21">
        <f>F51*$W$27</f>
        <v>1.3138606019461416</v>
      </c>
      <c r="J51" s="21">
        <f t="shared" si="5"/>
        <v>160365.38979339215</v>
      </c>
      <c r="K51" s="21">
        <f t="shared" si="6"/>
        <v>8387.6598056121293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51.988929432013762</v>
      </c>
      <c r="I52" s="21">
        <f>F52*$W$22</f>
        <v>4.4772736660929429</v>
      </c>
      <c r="J52" s="21">
        <f t="shared" si="5"/>
        <v>335873.95870623057</v>
      </c>
      <c r="K52" s="21">
        <f t="shared" si="6"/>
        <v>28925.381747056796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11.754439359887357</v>
      </c>
      <c r="I53" s="21">
        <f>F53*$W$17</f>
        <v>1.3164225176680837</v>
      </c>
      <c r="J53" s="21">
        <f t="shared" si="5"/>
        <v>72967.327948011152</v>
      </c>
      <c r="K53" s="21">
        <f t="shared" si="6"/>
        <v>8171.8770775771036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27.850624551328067</v>
      </c>
      <c r="I54" s="21">
        <f>F54*$W$28</f>
        <v>2.3035175879396985</v>
      </c>
      <c r="J54" s="21">
        <f t="shared" si="5"/>
        <v>178769.81692002871</v>
      </c>
      <c r="K54" s="21">
        <f t="shared" si="6"/>
        <v>14786.002974874373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7.0534343821949346</v>
      </c>
      <c r="I55" s="21">
        <f>F55*$W$33</f>
        <v>0.93773983115886406</v>
      </c>
      <c r="J55" s="21">
        <f t="shared" si="5"/>
        <v>45141.980046047582</v>
      </c>
      <c r="K55" s="21">
        <f t="shared" si="6"/>
        <v>6001.5349194167302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9.6977761025254434</v>
      </c>
      <c r="I56" s="21">
        <f>F56*$W$15</f>
        <v>1.014082171127026</v>
      </c>
      <c r="J56" s="21">
        <f t="shared" si="5"/>
        <v>62065.76705616284</v>
      </c>
      <c r="K56" s="21">
        <f t="shared" si="6"/>
        <v>6490.1258952129665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25.051345442314162</v>
      </c>
      <c r="I57" s="21">
        <f>E57*$W$26</f>
        <v>3.3401793923085545</v>
      </c>
      <c r="J57" s="21">
        <f t="shared" si="5"/>
        <v>160328.61083081065</v>
      </c>
      <c r="K57" s="21">
        <f t="shared" si="6"/>
        <v>21377.14811077475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9.6309460987561248</v>
      </c>
      <c r="I58" s="21">
        <f>F58*$W$15</f>
        <v>1.0070938560120617</v>
      </c>
      <c r="J58" s="21">
        <f t="shared" si="5"/>
        <v>61638.055032039199</v>
      </c>
      <c r="K58" s="21">
        <f t="shared" si="6"/>
        <v>6445.4006784771946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8.5232422844980498</v>
      </c>
      <c r="I60" s="21">
        <f>F60*$W$16</f>
        <v>0.99875133025895713</v>
      </c>
      <c r="J60" s="21">
        <f t="shared" si="5"/>
        <v>54919.426427740334</v>
      </c>
      <c r="K60" s="21">
        <f t="shared" si="6"/>
        <v>6435.4442090102875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21.320886075949364</v>
      </c>
      <c r="I61" s="21">
        <f>$F61*$W$34</f>
        <v>1.655886075949367</v>
      </c>
      <c r="J61" s="21">
        <f t="shared" si="5"/>
        <v>136453.67088607594</v>
      </c>
      <c r="K61" s="21">
        <f t="shared" si="6"/>
        <v>10597.670886075948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36.116656822209087</v>
      </c>
      <c r="I62" s="21">
        <f>F62*$W$30</f>
        <v>2.8506792675723562</v>
      </c>
      <c r="J62" s="21">
        <f t="shared" si="5"/>
        <v>230484.9465091553</v>
      </c>
      <c r="K62" s="21">
        <f t="shared" si="6"/>
        <v>18192.122868281156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33.330799220272901</v>
      </c>
      <c r="I64" s="21">
        <f>F64*$W$21</f>
        <v>2.128849902534113</v>
      </c>
      <c r="J64" s="21">
        <f t="shared" si="5"/>
        <v>108680.07047758283</v>
      </c>
      <c r="K64" s="21">
        <f t="shared" si="6"/>
        <v>6941.434434697856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24.151295472389428</v>
      </c>
      <c r="I65" s="21">
        <f>F65*$W$19</f>
        <v>1.8443601151531013</v>
      </c>
      <c r="J65" s="21">
        <f t="shared" si="5"/>
        <v>157140.4039911018</v>
      </c>
      <c r="K65" s="21">
        <f t="shared" si="6"/>
        <v>12000.329089243653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31.643810916179334</v>
      </c>
      <c r="I66" s="21">
        <f>F66*$W$21</f>
        <v>2.021101364522417</v>
      </c>
      <c r="J66" s="21">
        <f t="shared" ref="J66:J99" si="7">H66*(-$M66)</f>
        <v>101875.3506159844</v>
      </c>
      <c r="K66" s="21">
        <f t="shared" ref="K66:K99" si="8">I66*(-$M66)</f>
        <v>6506.8145769980501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22.9172226360397</v>
      </c>
      <c r="I67" s="21">
        <f>F67*$W$19</f>
        <v>1.7501177702172206</v>
      </c>
      <c r="J67" s="21">
        <f t="shared" si="7"/>
        <v>141491.62007158817</v>
      </c>
      <c r="K67" s="21">
        <f t="shared" si="8"/>
        <v>10805.279616854226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11.37262462429937</v>
      </c>
      <c r="I68" s="21">
        <f>F68*$W$17</f>
        <v>1.2736616934282849</v>
      </c>
      <c r="J68" s="21">
        <f t="shared" si="7"/>
        <v>72098.687151931983</v>
      </c>
      <c r="K68" s="21">
        <f t="shared" si="8"/>
        <v>8074.5948279764953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29.517318435754188</v>
      </c>
      <c r="I69" s="21">
        <f>F69*$W$24</f>
        <v>3.5559242891686815</v>
      </c>
      <c r="J69" s="21">
        <f t="shared" si="7"/>
        <v>189414.99378770948</v>
      </c>
      <c r="K69" s="21">
        <f t="shared" si="8"/>
        <v>22818.650637538562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9.6235205427817565</v>
      </c>
      <c r="I71" s="21">
        <f>F71*$W$15</f>
        <v>1.0063173765548437</v>
      </c>
      <c r="J71" s="21">
        <f t="shared" si="7"/>
        <v>61590.531473803239</v>
      </c>
      <c r="K71" s="21">
        <f t="shared" si="8"/>
        <v>6440.4312099509998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22.49283551967709</v>
      </c>
      <c r="I74" s="21">
        <f>E74*$W$26</f>
        <v>2.9990447359569457</v>
      </c>
      <c r="J74" s="21">
        <f t="shared" si="7"/>
        <v>143954.14732593339</v>
      </c>
      <c r="K74" s="21">
        <f t="shared" si="8"/>
        <v>19193.886310124453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29.267247804099018</v>
      </c>
      <c r="I75" s="21">
        <f>F75*$W$25</f>
        <v>3.5257985094490287</v>
      </c>
      <c r="J75" s="21">
        <f t="shared" si="7"/>
        <v>187310.38594623373</v>
      </c>
      <c r="K75" s="21">
        <f t="shared" si="8"/>
        <v>22565.110460473785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25.051345442314162</v>
      </c>
      <c r="I76" s="21">
        <f>E76*$W$26</f>
        <v>2.9963717905594796</v>
      </c>
      <c r="J76" s="21">
        <f t="shared" si="7"/>
        <v>160328.61083081065</v>
      </c>
      <c r="K76" s="21">
        <f t="shared" si="8"/>
        <v>19176.77945958067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32.319551092734784</v>
      </c>
      <c r="I77" s="21">
        <f>F77*$W$30</f>
        <v>2.5509746012994681</v>
      </c>
      <c r="J77" s="21">
        <f t="shared" si="7"/>
        <v>205864.87500885996</v>
      </c>
      <c r="K77" s="21">
        <f t="shared" si="8"/>
        <v>16248.866388659182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22.939498319006301</v>
      </c>
      <c r="I78" s="21">
        <f>F78*$W$19</f>
        <v>1.7518188955770742</v>
      </c>
      <c r="J78" s="21">
        <f t="shared" si="7"/>
        <v>141767.0171913917</v>
      </c>
      <c r="K78" s="21">
        <f t="shared" si="8"/>
        <v>10826.310847422141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22.863760996919854</v>
      </c>
      <c r="I79" s="21">
        <f>F79*$W$19</f>
        <v>1.7460350693535722</v>
      </c>
      <c r="J79" s="21">
        <f t="shared" si="7"/>
        <v>11735.968519718961</v>
      </c>
      <c r="K79" s="21">
        <f t="shared" si="8"/>
        <v>896.23980109918853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22.591997664727316</v>
      </c>
      <c r="I81" s="21">
        <f>F81*$W$19</f>
        <v>1.7252813399633602</v>
      </c>
      <c r="J81" s="21">
        <f t="shared" si="7"/>
        <v>148963.04764209932</v>
      </c>
      <c r="K81" s="21">
        <f t="shared" si="8"/>
        <v>11375.84954880921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11.444214887222119</v>
      </c>
      <c r="I82" s="21">
        <f>F82*$W$17</f>
        <v>1.2816793479732473</v>
      </c>
      <c r="J82" s="21">
        <f t="shared" si="7"/>
        <v>73009.284410224485</v>
      </c>
      <c r="K82" s="21">
        <f t="shared" si="8"/>
        <v>8176.5759347431695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29.905701754385962</v>
      </c>
      <c r="I84" s="21">
        <f>F84*$W$21</f>
        <v>1.9100877192982453</v>
      </c>
      <c r="J84" s="21">
        <f t="shared" si="7"/>
        <v>94490.952434210514</v>
      </c>
      <c r="K84" s="21">
        <f t="shared" si="8"/>
        <v>6035.1704605263149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22.164304551768566</v>
      </c>
      <c r="I85" s="21">
        <f>F85*$W$19</f>
        <v>1.6926197330541741</v>
      </c>
      <c r="J85" s="21">
        <f t="shared" si="7"/>
        <v>143376.23164143498</v>
      </c>
      <c r="K85" s="21">
        <f t="shared" si="8"/>
        <v>10949.20160298351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11.588753358409457</v>
      </c>
      <c r="I86" s="21">
        <f>F86*$W$18</f>
        <v>1.2978667383127351</v>
      </c>
      <c r="J86" s="21">
        <f t="shared" si="7"/>
        <v>74168.021493820532</v>
      </c>
      <c r="K86" s="21">
        <f t="shared" si="8"/>
        <v>8306.3471252015042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22.836141944164144</v>
      </c>
      <c r="I88" s="21">
        <f>E88*$W$26</f>
        <v>3.0448189258885523</v>
      </c>
      <c r="J88" s="21">
        <f t="shared" si="7"/>
        <v>146151.30844265051</v>
      </c>
      <c r="K88" s="21">
        <f t="shared" si="8"/>
        <v>19486.841125686733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7.7189466615502695</v>
      </c>
      <c r="I89" s="21">
        <f>F89*$W$33</f>
        <v>1.0262183422870299</v>
      </c>
      <c r="J89" s="21">
        <f t="shared" si="7"/>
        <v>49401.258633921723</v>
      </c>
      <c r="K89" s="21">
        <f t="shared" si="8"/>
        <v>6567.7973906369916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47.27876075731497</v>
      </c>
      <c r="I90" s="21">
        <f>F90*$W$22</f>
        <v>4.0716351118760752</v>
      </c>
      <c r="J90" s="21">
        <f t="shared" si="7"/>
        <v>302962.29893287434</v>
      </c>
      <c r="K90" s="21">
        <f t="shared" si="8"/>
        <v>26091.037796901888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20.622827290479737</v>
      </c>
      <c r="I91" s="21">
        <f>F91*$W$19</f>
        <v>1.574901858152316</v>
      </c>
      <c r="J91" s="21">
        <f t="shared" si="7"/>
        <v>133675.10421416059</v>
      </c>
      <c r="K91" s="21">
        <f t="shared" si="8"/>
        <v>10208.356354357496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26.177615118445569</v>
      </c>
      <c r="I92" s="21">
        <f>F92*$W$25</f>
        <v>3.153593292520628</v>
      </c>
      <c r="J92" s="21">
        <f t="shared" si="7"/>
        <v>167536.73675805164</v>
      </c>
      <c r="K92" s="21">
        <f t="shared" si="8"/>
        <v>20182.997072132021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20.906087350079201</v>
      </c>
      <c r="I93" s="21">
        <f>F93*$W$27</f>
        <v>1.0934600588368408</v>
      </c>
      <c r="J93" s="21">
        <f t="shared" si="7"/>
        <v>133464.0435211586</v>
      </c>
      <c r="K93" s="21">
        <f t="shared" si="8"/>
        <v>6980.6271464132151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23.081378192908886</v>
      </c>
      <c r="I94" s="21">
        <f>F94*$W$29</f>
        <v>1.9090545177277929</v>
      </c>
      <c r="J94" s="21">
        <f t="shared" si="7"/>
        <v>147720.82043461688</v>
      </c>
      <c r="K94" s="21">
        <f t="shared" si="8"/>
        <v>12217.948913457874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26.031559755123773</v>
      </c>
      <c r="I95" s="21">
        <f>F95*$W$25</f>
        <v>3.1359981368112861</v>
      </c>
      <c r="J95" s="21">
        <f t="shared" si="7"/>
        <v>166601.98243279214</v>
      </c>
      <c r="K95" s="21">
        <f t="shared" si="8"/>
        <v>20070.388075592233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9.4156049754994342</v>
      </c>
      <c r="I96" s="21">
        <f>F96*$W$15</f>
        <v>0.98457595175273283</v>
      </c>
      <c r="J96" s="21">
        <f t="shared" si="7"/>
        <v>60259.871843196379</v>
      </c>
      <c r="K96" s="21">
        <f t="shared" si="8"/>
        <v>6301.2860912174901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10.587506716818913</v>
      </c>
      <c r="I97" s="21">
        <f>F97*$W$18</f>
        <v>1.1857334766254701</v>
      </c>
      <c r="J97" s="21">
        <f t="shared" si="7"/>
        <v>67760.042987641049</v>
      </c>
      <c r="K97" s="21">
        <f t="shared" si="8"/>
        <v>7588.6942504030085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19.762379912663754</v>
      </c>
      <c r="I98" s="21">
        <f>F98*$W$20</f>
        <v>1.509192139737991</v>
      </c>
      <c r="J98" s="21">
        <f t="shared" si="7"/>
        <v>126479.23144104802</v>
      </c>
      <c r="K98" s="21">
        <f t="shared" si="8"/>
        <v>9658.8296943231435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21.269219330855019</v>
      </c>
      <c r="I99" s="21">
        <f>F99*$W$32</f>
        <v>4.0755390334572494</v>
      </c>
      <c r="J99" s="21">
        <f t="shared" si="7"/>
        <v>136123.00371747214</v>
      </c>
      <c r="K99" s="21">
        <f t="shared" si="8"/>
        <v>26083.449814126398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43.678004200343665</v>
      </c>
      <c r="I100" s="21">
        <f>F100*$W$23</f>
        <v>3.7615388531788967</v>
      </c>
      <c r="J100" s="21">
        <f>H100*(-M100)</f>
        <v>279539.22688219947</v>
      </c>
      <c r="K100" s="21">
        <f>I100*(-$M100)</f>
        <v>24073.848660344938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20.13980827447023</v>
      </c>
      <c r="I102" s="21">
        <f>E102*$W$26</f>
        <v>2.6853077699293642</v>
      </c>
      <c r="J102" s="21">
        <f>H102*(-$M102)</f>
        <v>128894.77295660948</v>
      </c>
      <c r="K102" s="21">
        <f>I102*(-$M102)</f>
        <v>17185.96972754793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9.5566905390124379</v>
      </c>
      <c r="I104" s="21">
        <f>F104*$W$15</f>
        <v>0.99932906143987932</v>
      </c>
      <c r="J104" s="21">
        <f>H104*(-$M104)</f>
        <v>61162.819449679606</v>
      </c>
      <c r="K104" s="21">
        <f>I104*(-$M104)</f>
        <v>6395.7059932152279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21.393138646288207</v>
      </c>
      <c r="I106" s="21">
        <f>F106*$W$20</f>
        <v>1.6337281659388643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10.96635679742074</v>
      </c>
      <c r="I107" s="21">
        <f>F107*$W$18</f>
        <v>1.2281622783449759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18.336975982532749</v>
      </c>
      <c r="I109" s="21">
        <f>F109*$W$20</f>
        <v>1.4003384279475981</v>
      </c>
      <c r="J109" s="21">
        <f t="shared" si="11"/>
        <v>117356.64628820959</v>
      </c>
      <c r="K109" s="21">
        <f t="shared" si="12"/>
        <v>8962.1659388646276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9.4297535721681509</v>
      </c>
      <c r="I110" s="21">
        <f>F110*$W$35</f>
        <v>1.0310664733899357</v>
      </c>
      <c r="J110" s="21">
        <f t="shared" si="11"/>
        <v>60350.422861876163</v>
      </c>
      <c r="K110" s="21">
        <f t="shared" si="12"/>
        <v>6598.8254296955884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19.219077757685348</v>
      </c>
      <c r="I113" s="21">
        <f>$F113*$W$34</f>
        <v>1.492649186256781</v>
      </c>
      <c r="J113" s="21">
        <f t="shared" si="11"/>
        <v>123002.09764918622</v>
      </c>
      <c r="K113" s="21">
        <f t="shared" si="12"/>
        <v>9552.9547920433979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9.4156049754994342</v>
      </c>
      <c r="I115" s="21">
        <f>F115*$W$15</f>
        <v>0.98457595175273283</v>
      </c>
      <c r="J115" s="21">
        <f t="shared" si="11"/>
        <v>60259.871843196379</v>
      </c>
      <c r="K115" s="21">
        <f t="shared" si="12"/>
        <v>6301.2860912174901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20.362832156071306</v>
      </c>
      <c r="I116" s="21">
        <f>E116*$W$26</f>
        <v>2.7150442874761742</v>
      </c>
      <c r="J116" s="21">
        <f t="shared" si="11"/>
        <v>130322.12579885636</v>
      </c>
      <c r="K116" s="21">
        <f t="shared" si="12"/>
        <v>17376.283439847513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10.959591617409995</v>
      </c>
      <c r="I119" s="21">
        <f>F119*$W$18</f>
        <v>1.2274046211714134</v>
      </c>
      <c r="J119" s="21">
        <f t="shared" si="11"/>
        <v>70141.386351423964</v>
      </c>
      <c r="K119" s="21">
        <f t="shared" si="12"/>
        <v>7855.3895754970454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25.977901475650761</v>
      </c>
      <c r="I121" s="21">
        <f>F121*$W$19</f>
        <v>1.9838523946610835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18.738155515370703</v>
      </c>
      <c r="I122" s="21">
        <f>$F122*$W$34</f>
        <v>1.4552983725135624</v>
      </c>
      <c r="J122" s="21">
        <f t="shared" ref="J122:J128" si="13">H122*(-$M122)</f>
        <v>119924.19529837251</v>
      </c>
      <c r="K122" s="21">
        <f t="shared" ref="K122:K128" si="14">I122*(-$M122)</f>
        <v>9313.9095840867994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35.546370673287569</v>
      </c>
      <c r="I124" s="21">
        <f>$F124*$W$31</f>
        <v>2.8056667153497883</v>
      </c>
      <c r="J124" s="21">
        <f t="shared" si="13"/>
        <v>227496.77230904045</v>
      </c>
      <c r="K124" s="21">
        <f t="shared" si="14"/>
        <v>17956.266978238644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33.251003717472116</v>
      </c>
      <c r="I126" s="21">
        <f>F126*$W$32</f>
        <v>6.371449814126394</v>
      </c>
      <c r="J126" s="21">
        <f t="shared" si="13"/>
        <v>-330529.60739330854</v>
      </c>
      <c r="K126" s="21">
        <f t="shared" si="14"/>
        <v>-63335.014590334576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12.668067477187188</v>
      </c>
      <c r="I128" s="21">
        <f>F128*$W$17</f>
        <v>1.4187430613847445</v>
      </c>
      <c r="J128" s="21">
        <f t="shared" si="13"/>
        <v>80042.677631908155</v>
      </c>
      <c r="K128" s="21">
        <f t="shared" si="14"/>
        <v>8964.271283637052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22.943953455599623</v>
      </c>
      <c r="I133" s="21">
        <f>F133*$W$19</f>
        <v>1.7521591206490448</v>
      </c>
      <c r="J133" s="21">
        <f t="shared" si="17"/>
        <v>141822.08285789061</v>
      </c>
      <c r="K133" s="21">
        <f t="shared" si="18"/>
        <v>10830.516042920701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31.950536062378166</v>
      </c>
      <c r="I134" s="21">
        <f>F134*$W$21</f>
        <v>2.0406920077972708</v>
      </c>
      <c r="J134" s="21">
        <f t="shared" si="17"/>
        <v>203725.56408382065</v>
      </c>
      <c r="K134" s="21">
        <f t="shared" si="18"/>
        <v>13012.023635477581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32.206140350877192</v>
      </c>
      <c r="I138" s="21">
        <f>F138*$W$21</f>
        <v>2.057017543859649</v>
      </c>
      <c r="J138" s="21">
        <f t="shared" ref="J138:J140" si="23">H138*(-$M138)</f>
        <v>-1314783.4736842106</v>
      </c>
      <c r="K138" s="21">
        <f t="shared" ref="K138:K140" si="24">I138*(-$M138)</f>
        <v>-83975.684210526306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23.019690777686066</v>
      </c>
      <c r="I139" s="21">
        <f>F139*$W$19</f>
        <v>1.7579429468725463</v>
      </c>
      <c r="J139" s="21">
        <f t="shared" si="23"/>
        <v>939647.66376160085</v>
      </c>
      <c r="K139" s="21">
        <f t="shared" si="24"/>
        <v>71758.000531274534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>
      <c r="A141" s="3"/>
      <c r="B141" s="128"/>
      <c r="C141" s="128"/>
      <c r="D141" s="3"/>
      <c r="E141" s="60"/>
      <c r="F141" s="60"/>
      <c r="G141" s="61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5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6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7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8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9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0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1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1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1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1"/>
        <v>0</v>
      </c>
      <c r="K172" s="21"/>
      <c r="L172" s="8" t="s">
        <v>128</v>
      </c>
      <c r="M172" s="1">
        <f>SUM(T4:T6)+T8</f>
        <v>909782.39999999991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1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1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1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1"/>
        <v>0</v>
      </c>
      <c r="K176" s="21"/>
      <c r="L176" s="8" t="s">
        <v>26</v>
      </c>
      <c r="M176" s="12">
        <f>XIRR($M2:$M175,$A2:$A175)</f>
        <v>0.16167932152748107</v>
      </c>
      <c r="N176" s="12"/>
      <c r="O176" s="12"/>
    </row>
    <row r="177" spans="10:14">
      <c r="J177" s="21">
        <f t="shared" si="31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1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39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8" priority="138" operator="greaterThan">
      <formula>3</formula>
    </cfRule>
  </conditionalFormatting>
  <conditionalFormatting sqref="O43:O47 O172:O174">
    <cfRule type="cellIs" dxfId="97" priority="137" operator="greaterThan">
      <formula>3</formula>
    </cfRule>
  </conditionalFormatting>
  <conditionalFormatting sqref="O48">
    <cfRule type="cellIs" dxfId="96" priority="135" operator="greaterThan">
      <formula>3</formula>
    </cfRule>
  </conditionalFormatting>
  <conditionalFormatting sqref="O49">
    <cfRule type="cellIs" dxfId="95" priority="134" operator="greaterThan">
      <formula>3</formula>
    </cfRule>
  </conditionalFormatting>
  <conditionalFormatting sqref="O50">
    <cfRule type="cellIs" dxfId="94" priority="133" operator="greaterThan">
      <formula>3</formula>
    </cfRule>
  </conditionalFormatting>
  <conditionalFormatting sqref="O52">
    <cfRule type="cellIs" dxfId="93" priority="132" operator="greaterThan">
      <formula>3</formula>
    </cfRule>
  </conditionalFormatting>
  <conditionalFormatting sqref="O53">
    <cfRule type="cellIs" dxfId="92" priority="131" operator="greaterThan">
      <formula>3</formula>
    </cfRule>
  </conditionalFormatting>
  <conditionalFormatting sqref="O54 O60 O78">
    <cfRule type="cellIs" dxfId="91" priority="130" operator="greaterThan">
      <formula>3</formula>
    </cfRule>
  </conditionalFormatting>
  <conditionalFormatting sqref="O51">
    <cfRule type="cellIs" dxfId="90" priority="129" operator="greaterThan">
      <formula>3</formula>
    </cfRule>
  </conditionalFormatting>
  <conditionalFormatting sqref="O25">
    <cfRule type="cellIs" dxfId="89" priority="127" operator="greaterThan">
      <formula>3</formula>
    </cfRule>
  </conditionalFormatting>
  <conditionalFormatting sqref="O55">
    <cfRule type="cellIs" dxfId="88" priority="125" operator="greaterThan">
      <formula>3</formula>
    </cfRule>
  </conditionalFormatting>
  <conditionalFormatting sqref="O56">
    <cfRule type="cellIs" dxfId="87" priority="124" operator="greaterThan">
      <formula>3</formula>
    </cfRule>
  </conditionalFormatting>
  <conditionalFormatting sqref="O57">
    <cfRule type="cellIs" dxfId="86" priority="122" operator="greaterThan">
      <formula>3</formula>
    </cfRule>
  </conditionalFormatting>
  <conditionalFormatting sqref="O58">
    <cfRule type="cellIs" dxfId="85" priority="121" operator="greaterThan">
      <formula>3</formula>
    </cfRule>
  </conditionalFormatting>
  <conditionalFormatting sqref="O59">
    <cfRule type="cellIs" dxfId="84" priority="120" operator="greaterThan">
      <formula>3</formula>
    </cfRule>
  </conditionalFormatting>
  <conditionalFormatting sqref="O70">
    <cfRule type="cellIs" dxfId="83" priority="119" operator="greaterThan">
      <formula>3</formula>
    </cfRule>
  </conditionalFormatting>
  <conditionalFormatting sqref="O61">
    <cfRule type="cellIs" dxfId="82" priority="117" operator="greaterThan">
      <formula>3</formula>
    </cfRule>
  </conditionalFormatting>
  <conditionalFormatting sqref="O62:O63 O69">
    <cfRule type="cellIs" dxfId="81" priority="116" operator="greaterThan">
      <formula>3</formula>
    </cfRule>
  </conditionalFormatting>
  <conditionalFormatting sqref="O66">
    <cfRule type="cellIs" dxfId="80" priority="112" operator="greaterThan">
      <formula>3</formula>
    </cfRule>
  </conditionalFormatting>
  <conditionalFormatting sqref="O65">
    <cfRule type="cellIs" dxfId="79" priority="113" operator="greaterThan">
      <formula>3</formula>
    </cfRule>
  </conditionalFormatting>
  <conditionalFormatting sqref="O64">
    <cfRule type="cellIs" dxfId="78" priority="114" operator="greaterThan">
      <formula>3</formula>
    </cfRule>
  </conditionalFormatting>
  <conditionalFormatting sqref="O68">
    <cfRule type="cellIs" dxfId="77" priority="110" operator="greaterThan">
      <formula>3</formula>
    </cfRule>
  </conditionalFormatting>
  <conditionalFormatting sqref="O67">
    <cfRule type="cellIs" dxfId="76" priority="111" operator="greaterThan">
      <formula>3</formula>
    </cfRule>
  </conditionalFormatting>
  <conditionalFormatting sqref="O17:O18">
    <cfRule type="cellIs" dxfId="75" priority="109" operator="greaterThan">
      <formula>3</formula>
    </cfRule>
  </conditionalFormatting>
  <conditionalFormatting sqref="O77">
    <cfRule type="cellIs" dxfId="74" priority="108" operator="greaterThan">
      <formula>3</formula>
    </cfRule>
  </conditionalFormatting>
  <conditionalFormatting sqref="O71">
    <cfRule type="cellIs" dxfId="73" priority="107" operator="greaterThan">
      <formula>3</formula>
    </cfRule>
  </conditionalFormatting>
  <conditionalFormatting sqref="O74">
    <cfRule type="cellIs" dxfId="72" priority="106" operator="greaterThan">
      <formula>3</formula>
    </cfRule>
  </conditionalFormatting>
  <conditionalFormatting sqref="O76">
    <cfRule type="cellIs" dxfId="71" priority="105" operator="greaterThan">
      <formula>3</formula>
    </cfRule>
  </conditionalFormatting>
  <conditionalFormatting sqref="O72">
    <cfRule type="cellIs" dxfId="70" priority="102" operator="greaterThan">
      <formula>3</formula>
    </cfRule>
  </conditionalFormatting>
  <conditionalFormatting sqref="O79">
    <cfRule type="cellIs" dxfId="69" priority="101" operator="greaterThan">
      <formula>3</formula>
    </cfRule>
  </conditionalFormatting>
  <conditionalFormatting sqref="O81">
    <cfRule type="cellIs" dxfId="68" priority="100" operator="greaterThan">
      <formula>3</formula>
    </cfRule>
  </conditionalFormatting>
  <conditionalFormatting sqref="O82">
    <cfRule type="cellIs" dxfId="67" priority="99" operator="greaterThan">
      <formula>3</formula>
    </cfRule>
  </conditionalFormatting>
  <conditionalFormatting sqref="O84">
    <cfRule type="cellIs" dxfId="66" priority="98" operator="greaterThan">
      <formula>3</formula>
    </cfRule>
  </conditionalFormatting>
  <conditionalFormatting sqref="O166:O171">
    <cfRule type="cellIs" dxfId="65" priority="93" operator="greaterThan">
      <formula>3</formula>
    </cfRule>
  </conditionalFormatting>
  <conditionalFormatting sqref="O85">
    <cfRule type="cellIs" dxfId="64" priority="92" operator="greaterThan">
      <formula>3</formula>
    </cfRule>
  </conditionalFormatting>
  <conditionalFormatting sqref="O86">
    <cfRule type="cellIs" dxfId="63" priority="91" operator="greaterThan">
      <formula>3</formula>
    </cfRule>
  </conditionalFormatting>
  <conditionalFormatting sqref="O87">
    <cfRule type="cellIs" dxfId="62" priority="90" operator="greaterThan">
      <formula>3</formula>
    </cfRule>
  </conditionalFormatting>
  <conditionalFormatting sqref="O88">
    <cfRule type="cellIs" dxfId="61" priority="89" operator="greaterThan">
      <formula>3</formula>
    </cfRule>
  </conditionalFormatting>
  <conditionalFormatting sqref="O89">
    <cfRule type="cellIs" dxfId="60" priority="87" operator="greaterThan">
      <formula>3</formula>
    </cfRule>
  </conditionalFormatting>
  <conditionalFormatting sqref="O90">
    <cfRule type="cellIs" dxfId="59" priority="86" operator="greaterThan">
      <formula>3</formula>
    </cfRule>
  </conditionalFormatting>
  <conditionalFormatting sqref="O75">
    <cfRule type="cellIs" dxfId="58" priority="83" operator="greaterThan">
      <formula>3</formula>
    </cfRule>
  </conditionalFormatting>
  <conditionalFormatting sqref="O92">
    <cfRule type="cellIs" dxfId="57" priority="82" operator="greaterThan">
      <formula>3</formula>
    </cfRule>
  </conditionalFormatting>
  <conditionalFormatting sqref="O91">
    <cfRule type="cellIs" dxfId="56" priority="81" operator="greaterThan">
      <formula>3</formula>
    </cfRule>
  </conditionalFormatting>
  <conditionalFormatting sqref="O93">
    <cfRule type="cellIs" dxfId="55" priority="80" operator="greaterThan">
      <formula>3</formula>
    </cfRule>
  </conditionalFormatting>
  <conditionalFormatting sqref="O95">
    <cfRule type="cellIs" dxfId="54" priority="77" operator="greaterThan">
      <formula>3</formula>
    </cfRule>
  </conditionalFormatting>
  <conditionalFormatting sqref="O94">
    <cfRule type="cellIs" dxfId="53" priority="78" operator="greaterThan">
      <formula>3</formula>
    </cfRule>
  </conditionalFormatting>
  <conditionalFormatting sqref="O96">
    <cfRule type="cellIs" dxfId="52" priority="75" operator="greaterThan">
      <formula>3</formula>
    </cfRule>
  </conditionalFormatting>
  <conditionalFormatting sqref="O97">
    <cfRule type="cellIs" dxfId="51" priority="74" operator="greaterThan">
      <formula>3</formula>
    </cfRule>
  </conditionalFormatting>
  <conditionalFormatting sqref="O98">
    <cfRule type="cellIs" dxfId="50" priority="72" operator="greaterThan">
      <formula>3</formula>
    </cfRule>
  </conditionalFormatting>
  <conditionalFormatting sqref="O99">
    <cfRule type="cellIs" dxfId="49" priority="71" operator="greaterThan">
      <formula>3</formula>
    </cfRule>
  </conditionalFormatting>
  <conditionalFormatting sqref="O100">
    <cfRule type="cellIs" dxfId="48" priority="70" operator="greaterThan">
      <formula>3</formula>
    </cfRule>
  </conditionalFormatting>
  <conditionalFormatting sqref="O101">
    <cfRule type="cellIs" dxfId="47" priority="69" operator="greaterThan">
      <formula>3</formula>
    </cfRule>
  </conditionalFormatting>
  <conditionalFormatting sqref="O102">
    <cfRule type="cellIs" dxfId="46" priority="68" operator="greaterThan">
      <formula>3</formula>
    </cfRule>
  </conditionalFormatting>
  <conditionalFormatting sqref="O103">
    <cfRule type="cellIs" dxfId="45" priority="65" operator="greaterThan">
      <formula>3</formula>
    </cfRule>
  </conditionalFormatting>
  <conditionalFormatting sqref="O104">
    <cfRule type="cellIs" dxfId="44" priority="64" operator="greaterThan">
      <formula>3</formula>
    </cfRule>
  </conditionalFormatting>
  <conditionalFormatting sqref="O164:O165">
    <cfRule type="cellIs" dxfId="43" priority="63" operator="greaterThan">
      <formula>3</formula>
    </cfRule>
  </conditionalFormatting>
  <conditionalFormatting sqref="O106">
    <cfRule type="cellIs" dxfId="42" priority="59" operator="greaterThan">
      <formula>3</formula>
    </cfRule>
  </conditionalFormatting>
  <conditionalFormatting sqref="O107">
    <cfRule type="cellIs" dxfId="41" priority="57" operator="greaterThan">
      <formula>3</formula>
    </cfRule>
  </conditionalFormatting>
  <conditionalFormatting sqref="O108">
    <cfRule type="cellIs" dxfId="40" priority="52" operator="greaterThan">
      <formula>3</formula>
    </cfRule>
  </conditionalFormatting>
  <conditionalFormatting sqref="O109">
    <cfRule type="cellIs" dxfId="39" priority="51" operator="greaterThan">
      <formula>3</formula>
    </cfRule>
  </conditionalFormatting>
  <conditionalFormatting sqref="O110">
    <cfRule type="cellIs" dxfId="38" priority="50" operator="greaterThan">
      <formula>3</formula>
    </cfRule>
  </conditionalFormatting>
  <conditionalFormatting sqref="O113">
    <cfRule type="cellIs" dxfId="37" priority="46" operator="greaterThan">
      <formula>3</formula>
    </cfRule>
  </conditionalFormatting>
  <conditionalFormatting sqref="O111">
    <cfRule type="cellIs" dxfId="36" priority="48" operator="greaterThan">
      <formula>3</formula>
    </cfRule>
  </conditionalFormatting>
  <conditionalFormatting sqref="O112">
    <cfRule type="cellIs" dxfId="35" priority="47" operator="greaterThan">
      <formula>3</formula>
    </cfRule>
  </conditionalFormatting>
  <conditionalFormatting sqref="O114">
    <cfRule type="cellIs" dxfId="34" priority="45" operator="greaterThan">
      <formula>3</formula>
    </cfRule>
  </conditionalFormatting>
  <conditionalFormatting sqref="O115">
    <cfRule type="cellIs" dxfId="33" priority="44" operator="greaterThan">
      <formula>3</formula>
    </cfRule>
  </conditionalFormatting>
  <conditionalFormatting sqref="O116">
    <cfRule type="cellIs" dxfId="32" priority="43" operator="greaterThan">
      <formula>3</formula>
    </cfRule>
  </conditionalFormatting>
  <conditionalFormatting sqref="O117">
    <cfRule type="cellIs" dxfId="31" priority="42" operator="greaterThan">
      <formula>3</formula>
    </cfRule>
  </conditionalFormatting>
  <conditionalFormatting sqref="O118">
    <cfRule type="cellIs" dxfId="30" priority="41" operator="greaterThan">
      <formula>3</formula>
    </cfRule>
  </conditionalFormatting>
  <conditionalFormatting sqref="O119">
    <cfRule type="cellIs" dxfId="29" priority="40" operator="greaterThan">
      <formula>3</formula>
    </cfRule>
  </conditionalFormatting>
  <conditionalFormatting sqref="O120">
    <cfRule type="cellIs" dxfId="28" priority="38" operator="greaterThan">
      <formula>3</formula>
    </cfRule>
  </conditionalFormatting>
  <conditionalFormatting sqref="O73">
    <cfRule type="cellIs" dxfId="27" priority="36" operator="greaterThan">
      <formula>3</formula>
    </cfRule>
  </conditionalFormatting>
  <conditionalFormatting sqref="O80">
    <cfRule type="cellIs" dxfId="26" priority="35" operator="greaterThan">
      <formula>3</formula>
    </cfRule>
  </conditionalFormatting>
  <conditionalFormatting sqref="O83">
    <cfRule type="cellIs" dxfId="25" priority="34" operator="greaterThan">
      <formula>3</formula>
    </cfRule>
  </conditionalFormatting>
  <conditionalFormatting sqref="O122">
    <cfRule type="cellIs" dxfId="24" priority="33" operator="greaterThan">
      <formula>3</formula>
    </cfRule>
  </conditionalFormatting>
  <conditionalFormatting sqref="O123">
    <cfRule type="cellIs" dxfId="23" priority="32" operator="greaterThan">
      <formula>3</formula>
    </cfRule>
  </conditionalFormatting>
  <conditionalFormatting sqref="O121">
    <cfRule type="cellIs" dxfId="22" priority="31" operator="greaterThan">
      <formula>3</formula>
    </cfRule>
  </conditionalFormatting>
  <conditionalFormatting sqref="O130">
    <cfRule type="cellIs" dxfId="21" priority="25" operator="greaterThan">
      <formula>3</formula>
    </cfRule>
  </conditionalFormatting>
  <conditionalFormatting sqref="O127">
    <cfRule type="cellIs" dxfId="20" priority="29" operator="greaterThan">
      <formula>3</formula>
    </cfRule>
  </conditionalFormatting>
  <conditionalFormatting sqref="O128">
    <cfRule type="cellIs" dxfId="19" priority="28" operator="greaterThan">
      <formula>3</formula>
    </cfRule>
  </conditionalFormatting>
  <conditionalFormatting sqref="O129">
    <cfRule type="cellIs" dxfId="18" priority="27" operator="greaterThan">
      <formula>3</formula>
    </cfRule>
  </conditionalFormatting>
  <conditionalFormatting sqref="O131">
    <cfRule type="cellIs" dxfId="17" priority="24" operator="greaterThan">
      <formula>3</formula>
    </cfRule>
  </conditionalFormatting>
  <conditionalFormatting sqref="O159">
    <cfRule type="cellIs" dxfId="16" priority="22" operator="greaterThan">
      <formula>3</formula>
    </cfRule>
  </conditionalFormatting>
  <conditionalFormatting sqref="O132">
    <cfRule type="cellIs" dxfId="15" priority="20" operator="greaterThan">
      <formula>3</formula>
    </cfRule>
  </conditionalFormatting>
  <conditionalFormatting sqref="O134">
    <cfRule type="cellIs" dxfId="14" priority="17" operator="greaterThan">
      <formula>3</formula>
    </cfRule>
  </conditionalFormatting>
  <conditionalFormatting sqref="O133">
    <cfRule type="cellIs" dxfId="13" priority="18" operator="greaterThan">
      <formula>3</formula>
    </cfRule>
  </conditionalFormatting>
  <conditionalFormatting sqref="O125">
    <cfRule type="cellIs" dxfId="12" priority="16" operator="greaterThan">
      <formula>3</formula>
    </cfRule>
  </conditionalFormatting>
  <conditionalFormatting sqref="O135">
    <cfRule type="cellIs" dxfId="11" priority="15" operator="greaterThan">
      <formula>3</formula>
    </cfRule>
  </conditionalFormatting>
  <conditionalFormatting sqref="O154:O157 O152">
    <cfRule type="cellIs" dxfId="10" priority="14" operator="greaterThan">
      <formula>3</formula>
    </cfRule>
  </conditionalFormatting>
  <conditionalFormatting sqref="O153">
    <cfRule type="cellIs" dxfId="9" priority="13" operator="greaterThan">
      <formula>3</formula>
    </cfRule>
  </conditionalFormatting>
  <conditionalFormatting sqref="O145:O148 O143">
    <cfRule type="cellIs" dxfId="8" priority="12" operator="greaterThan">
      <formula>3</formula>
    </cfRule>
  </conditionalFormatting>
  <conditionalFormatting sqref="O149:O150">
    <cfRule type="cellIs" dxfId="7" priority="11" operator="greaterThan">
      <formula>3</formula>
    </cfRule>
  </conditionalFormatting>
  <conditionalFormatting sqref="O144">
    <cfRule type="cellIs" dxfId="6" priority="10" operator="greaterThan">
      <formula>3</formula>
    </cfRule>
  </conditionalFormatting>
  <conditionalFormatting sqref="O141:O142">
    <cfRule type="cellIs" dxfId="5" priority="9" operator="greaterThan">
      <formula>3</formula>
    </cfRule>
  </conditionalFormatting>
  <conditionalFormatting sqref="O136">
    <cfRule type="cellIs" dxfId="4" priority="7" operator="greaterThan">
      <formula>3</formula>
    </cfRule>
  </conditionalFormatting>
  <conditionalFormatting sqref="O137">
    <cfRule type="cellIs" dxfId="3" priority="6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9">
    <cfRule type="cellIs" dxfId="1" priority="2" operator="greaterThan">
      <formula>3</formula>
    </cfRule>
  </conditionalFormatting>
  <conditionalFormatting sqref="O140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J35" sqref="J35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43686</v>
      </c>
      <c r="B1" t="s">
        <v>111</v>
      </c>
      <c r="C1">
        <v>100032</v>
      </c>
      <c r="D1">
        <v>2.653</v>
      </c>
      <c r="F1" s="25"/>
    </row>
    <row r="2" spans="1:6">
      <c r="A2" s="15">
        <v>43686</v>
      </c>
      <c r="B2" t="s">
        <v>112</v>
      </c>
      <c r="C2">
        <v>510050</v>
      </c>
      <c r="D2">
        <v>2.819</v>
      </c>
      <c r="F2" s="25"/>
    </row>
    <row r="3" spans="1:6">
      <c r="A3" s="15">
        <v>43686</v>
      </c>
      <c r="B3" t="s">
        <v>113</v>
      </c>
      <c r="C3">
        <v>510300</v>
      </c>
      <c r="D3">
        <v>3.6930999999999998</v>
      </c>
      <c r="F3" s="25"/>
    </row>
    <row r="4" spans="1:6">
      <c r="A4" s="15">
        <v>43686</v>
      </c>
      <c r="B4" t="s">
        <v>7620</v>
      </c>
      <c r="C4">
        <v>100038</v>
      </c>
      <c r="D4">
        <v>1.861</v>
      </c>
      <c r="F4" s="25"/>
    </row>
    <row r="5" spans="1:6">
      <c r="A5" s="15">
        <v>43686</v>
      </c>
      <c r="B5" t="s">
        <v>18</v>
      </c>
      <c r="C5">
        <v>510500</v>
      </c>
      <c r="D5">
        <v>4.9672999999999998</v>
      </c>
      <c r="F5" s="25"/>
    </row>
    <row r="6" spans="1:6">
      <c r="A6" s="15">
        <v>43686</v>
      </c>
      <c r="B6" t="s">
        <v>7621</v>
      </c>
      <c r="C6">
        <v>161017</v>
      </c>
      <c r="D6">
        <v>1.8320000000000001</v>
      </c>
      <c r="F6" s="25"/>
    </row>
    <row r="7" spans="1:6">
      <c r="A7" s="15">
        <v>43686</v>
      </c>
      <c r="B7" t="s">
        <v>19</v>
      </c>
      <c r="C7">
        <v>512100</v>
      </c>
      <c r="D7">
        <v>0.61560000000000004</v>
      </c>
      <c r="F7" s="25"/>
    </row>
    <row r="8" spans="1:6">
      <c r="A8" s="15">
        <v>43686</v>
      </c>
      <c r="B8" t="s">
        <v>114</v>
      </c>
      <c r="C8">
        <v>159915</v>
      </c>
      <c r="D8">
        <v>1.4524999999999999</v>
      </c>
      <c r="F8" s="25"/>
    </row>
    <row r="9" spans="1:6">
      <c r="A9" s="15">
        <v>43686</v>
      </c>
      <c r="B9" t="s">
        <v>7622</v>
      </c>
      <c r="C9">
        <v>110026</v>
      </c>
      <c r="D9">
        <v>1.5712999999999999</v>
      </c>
      <c r="F9" s="25"/>
    </row>
    <row r="10" spans="1:6">
      <c r="A10" s="15">
        <v>43686</v>
      </c>
      <c r="B10" t="s">
        <v>115</v>
      </c>
      <c r="C10">
        <v>159938</v>
      </c>
      <c r="D10">
        <v>1.1993</v>
      </c>
      <c r="F10" s="25"/>
    </row>
    <row r="11" spans="1:6">
      <c r="A11" s="15">
        <v>43686</v>
      </c>
      <c r="B11" t="s">
        <v>116</v>
      </c>
      <c r="C11">
        <v>1180</v>
      </c>
      <c r="D11">
        <v>0.75139999999999996</v>
      </c>
      <c r="F11" s="25"/>
    </row>
    <row r="12" spans="1:6">
      <c r="A12" s="15">
        <v>43686</v>
      </c>
      <c r="B12" t="s">
        <v>117</v>
      </c>
      <c r="C12">
        <v>968</v>
      </c>
      <c r="D12">
        <v>0.89190000000000003</v>
      </c>
      <c r="F12" s="25"/>
    </row>
    <row r="13" spans="1:6">
      <c r="A13" s="15">
        <v>43686</v>
      </c>
      <c r="B13" t="s">
        <v>22</v>
      </c>
      <c r="C13">
        <v>512880</v>
      </c>
      <c r="D13">
        <v>0.88380000000000003</v>
      </c>
      <c r="F13" s="25"/>
    </row>
    <row r="14" spans="1:6">
      <c r="A14" s="15">
        <v>43686</v>
      </c>
      <c r="B14" t="s">
        <v>20</v>
      </c>
      <c r="C14">
        <v>512580</v>
      </c>
      <c r="D14">
        <v>0.69650000000000001</v>
      </c>
      <c r="F14" s="25"/>
    </row>
    <row r="15" spans="1:6">
      <c r="A15" s="15">
        <v>43686</v>
      </c>
      <c r="B15" t="s">
        <v>118</v>
      </c>
      <c r="C15">
        <v>1064</v>
      </c>
      <c r="D15">
        <v>0.52459999999999996</v>
      </c>
      <c r="F15" s="25"/>
    </row>
    <row r="16" spans="1:6">
      <c r="A16" s="15">
        <v>43686</v>
      </c>
      <c r="B16" t="s">
        <v>23</v>
      </c>
      <c r="C16">
        <v>512980</v>
      </c>
      <c r="D16">
        <v>0.67720000000000002</v>
      </c>
      <c r="F16" s="25"/>
    </row>
    <row r="17" spans="1:6">
      <c r="A17" s="15">
        <v>43686</v>
      </c>
      <c r="B17" t="s">
        <v>7623</v>
      </c>
      <c r="C17">
        <v>4752</v>
      </c>
      <c r="D17">
        <v>0.68469999999999998</v>
      </c>
      <c r="F17" s="25"/>
    </row>
    <row r="18" spans="1:6">
      <c r="A18" s="15">
        <v>43686</v>
      </c>
      <c r="B18" t="s">
        <v>7288</v>
      </c>
      <c r="C18">
        <v>110022</v>
      </c>
      <c r="D18">
        <v>2.69</v>
      </c>
      <c r="F18" s="25"/>
    </row>
    <row r="19" spans="1:6">
      <c r="A19" s="15">
        <v>43686</v>
      </c>
      <c r="B19" t="s">
        <v>119</v>
      </c>
      <c r="C19">
        <v>1469</v>
      </c>
      <c r="D19">
        <v>1.0424</v>
      </c>
      <c r="F19" s="25"/>
    </row>
    <row r="20" spans="1:6">
      <c r="A20" s="15">
        <v>43685</v>
      </c>
      <c r="B20" t="s">
        <v>120</v>
      </c>
      <c r="C20">
        <v>614</v>
      </c>
      <c r="D20">
        <v>1.1060000000000001</v>
      </c>
      <c r="F20" s="25"/>
    </row>
    <row r="21" spans="1:6">
      <c r="A21" s="15">
        <v>43686</v>
      </c>
      <c r="B21" t="s">
        <v>121</v>
      </c>
      <c r="C21">
        <v>71</v>
      </c>
      <c r="D21">
        <v>1.4487000000000001</v>
      </c>
      <c r="F21" s="25"/>
    </row>
    <row r="22" spans="1:6">
      <c r="A22" s="15">
        <v>43685</v>
      </c>
      <c r="B22" t="s">
        <v>7297</v>
      </c>
      <c r="C22">
        <v>164906</v>
      </c>
      <c r="D22">
        <v>1.107</v>
      </c>
      <c r="F22" s="25"/>
    </row>
    <row r="23" spans="1:6">
      <c r="A23" s="15">
        <v>43686</v>
      </c>
      <c r="B23" t="s">
        <v>122</v>
      </c>
      <c r="C23">
        <v>3376</v>
      </c>
      <c r="D23">
        <v>1.0799000000000001</v>
      </c>
      <c r="F23" s="25"/>
    </row>
    <row r="24" spans="1:6">
      <c r="A24" s="15">
        <v>43685</v>
      </c>
      <c r="B24" t="s">
        <v>123</v>
      </c>
      <c r="C24">
        <v>1061</v>
      </c>
      <c r="D24">
        <v>1.518</v>
      </c>
      <c r="F24" s="25"/>
    </row>
    <row r="25" spans="1:6">
      <c r="A25" s="15">
        <v>43686</v>
      </c>
      <c r="B25" t="s">
        <v>7624</v>
      </c>
      <c r="C25">
        <v>340001</v>
      </c>
      <c r="D25">
        <v>3.7423999999999999</v>
      </c>
      <c r="F25" s="25"/>
    </row>
    <row r="26" spans="1:6">
      <c r="A26" s="15">
        <v>43686</v>
      </c>
      <c r="B26" t="s">
        <v>7625</v>
      </c>
      <c r="C26">
        <v>519977</v>
      </c>
      <c r="D26">
        <v>2.2717000000000001</v>
      </c>
      <c r="F26" s="25"/>
    </row>
    <row r="27" spans="1:6">
      <c r="A27" s="15">
        <v>43686</v>
      </c>
      <c r="B27" t="s">
        <v>7626</v>
      </c>
      <c r="C27">
        <v>110027</v>
      </c>
      <c r="D27">
        <v>2.5510000000000002</v>
      </c>
      <c r="F27" s="25"/>
    </row>
    <row r="28" spans="1:6">
      <c r="A28" s="15">
        <v>43685</v>
      </c>
      <c r="B28" t="s">
        <v>7627</v>
      </c>
      <c r="C28">
        <v>162411</v>
      </c>
      <c r="D28">
        <v>0.40200000000000002</v>
      </c>
      <c r="F28" s="25"/>
    </row>
    <row r="29" spans="1:6">
      <c r="A29" s="15">
        <v>43686</v>
      </c>
      <c r="B29" t="s">
        <v>21</v>
      </c>
      <c r="C29">
        <v>518880</v>
      </c>
      <c r="D29">
        <v>1.2831999999999999</v>
      </c>
      <c r="F29" s="25"/>
    </row>
    <row r="30" spans="1:6">
      <c r="A30" s="15"/>
      <c r="F30" s="25"/>
    </row>
    <row r="31" spans="1:6">
      <c r="A31" s="15" t="s">
        <v>7628</v>
      </c>
      <c r="B31">
        <v>9.85</v>
      </c>
      <c r="C31">
        <v>1.03</v>
      </c>
      <c r="D31">
        <v>0.13300000000000001</v>
      </c>
      <c r="F31" s="25"/>
    </row>
    <row r="32" spans="1:6">
      <c r="A32" s="15" t="s">
        <v>7629</v>
      </c>
      <c r="B32">
        <v>10.07</v>
      </c>
      <c r="C32">
        <v>1.18</v>
      </c>
      <c r="D32">
        <v>0.1237</v>
      </c>
    </row>
    <row r="33" spans="1:4">
      <c r="A33" t="s">
        <v>7630</v>
      </c>
      <c r="B33">
        <v>12.59</v>
      </c>
      <c r="C33">
        <v>1.41</v>
      </c>
      <c r="D33">
        <v>0.12039999999999999</v>
      </c>
    </row>
    <row r="34" spans="1:4">
      <c r="A34" t="s">
        <v>7630</v>
      </c>
      <c r="B34">
        <v>12.59</v>
      </c>
      <c r="C34">
        <v>1.41</v>
      </c>
      <c r="D34">
        <v>0.12039999999999999</v>
      </c>
    </row>
    <row r="35" spans="1:4">
      <c r="A35" t="s">
        <v>7631</v>
      </c>
      <c r="B35">
        <v>22.13</v>
      </c>
      <c r="C35">
        <v>1.69</v>
      </c>
      <c r="D35">
        <v>7.7899999999999997E-2</v>
      </c>
    </row>
    <row r="36" spans="1:4">
      <c r="A36" t="s">
        <v>7631</v>
      </c>
      <c r="B36">
        <v>22.13</v>
      </c>
      <c r="C36">
        <v>1.69</v>
      </c>
      <c r="D36">
        <v>7.7899999999999997E-2</v>
      </c>
    </row>
    <row r="37" spans="1:4">
      <c r="A37" t="s">
        <v>7632</v>
      </c>
      <c r="B37">
        <v>31.47</v>
      </c>
      <c r="C37">
        <v>2.0099999999999998</v>
      </c>
      <c r="D37">
        <v>5.8900000000000001E-2</v>
      </c>
    </row>
    <row r="38" spans="1:4">
      <c r="A38" t="s">
        <v>7633</v>
      </c>
      <c r="B38">
        <v>51.44</v>
      </c>
      <c r="C38">
        <v>4.43</v>
      </c>
      <c r="D38">
        <v>9.1399999999999995E-2</v>
      </c>
    </row>
    <row r="39" spans="1:4">
      <c r="A39" t="s">
        <v>7633</v>
      </c>
      <c r="B39">
        <v>51.44</v>
      </c>
      <c r="C39">
        <v>4.43</v>
      </c>
      <c r="D39">
        <v>9.1399999999999995E-2</v>
      </c>
    </row>
    <row r="40" spans="1:4">
      <c r="A40" t="s">
        <v>7634</v>
      </c>
      <c r="B40">
        <v>28.14</v>
      </c>
      <c r="C40">
        <v>3.39</v>
      </c>
      <c r="D40">
        <v>0.1031</v>
      </c>
    </row>
    <row r="41" spans="1:4">
      <c r="A41" t="s">
        <v>7634</v>
      </c>
      <c r="B41">
        <v>28.14</v>
      </c>
      <c r="C41">
        <v>3.39</v>
      </c>
      <c r="D41">
        <v>0.1031</v>
      </c>
    </row>
    <row r="42" spans="1:4">
      <c r="A42" t="s">
        <v>7635</v>
      </c>
      <c r="B42">
        <v>22.35</v>
      </c>
      <c r="C42">
        <v>2.98</v>
      </c>
      <c r="D42">
        <v>0.13789999999999999</v>
      </c>
    </row>
    <row r="43" spans="1:4">
      <c r="A43" t="s">
        <v>7636</v>
      </c>
      <c r="B43">
        <v>28.87</v>
      </c>
      <c r="C43">
        <v>1.51</v>
      </c>
      <c r="D43">
        <v>5.2400000000000002E-2</v>
      </c>
    </row>
    <row r="44" spans="1:4">
      <c r="A44" t="s">
        <v>7637</v>
      </c>
      <c r="B44">
        <v>25.39</v>
      </c>
      <c r="C44">
        <v>2.1</v>
      </c>
      <c r="D44">
        <v>0.1003</v>
      </c>
    </row>
    <row r="45" spans="1:4">
      <c r="A45" t="s">
        <v>7637</v>
      </c>
      <c r="B45">
        <v>25.39</v>
      </c>
      <c r="C45">
        <v>2.1</v>
      </c>
      <c r="D45">
        <v>0.1003</v>
      </c>
    </row>
    <row r="46" spans="1:4">
      <c r="A46" t="s">
        <v>7638</v>
      </c>
      <c r="B46">
        <v>29.9</v>
      </c>
      <c r="C46">
        <v>2.36</v>
      </c>
      <c r="D46">
        <v>7.5999999999999998E-2</v>
      </c>
    </row>
    <row r="47" spans="1:4">
      <c r="A47" t="s">
        <v>7638</v>
      </c>
      <c r="B47">
        <v>29.9</v>
      </c>
      <c r="C47">
        <v>2.36</v>
      </c>
      <c r="D47">
        <v>7.5999999999999998E-2</v>
      </c>
    </row>
    <row r="48" spans="1:4">
      <c r="A48" t="s">
        <v>7639</v>
      </c>
      <c r="B48">
        <v>33.4</v>
      </c>
      <c r="C48">
        <v>6.4</v>
      </c>
      <c r="D48">
        <v>0.19520000000000001</v>
      </c>
    </row>
    <row r="50" spans="1:3">
      <c r="A50" t="s">
        <v>7629</v>
      </c>
      <c r="B50">
        <v>16</v>
      </c>
      <c r="C50">
        <v>2772.15</v>
      </c>
    </row>
    <row r="51" spans="1:3">
      <c r="A51" t="s">
        <v>7630</v>
      </c>
      <c r="B51">
        <v>300</v>
      </c>
      <c r="C51">
        <v>3633.53</v>
      </c>
    </row>
    <row r="52" spans="1:3">
      <c r="A52" t="s">
        <v>7631</v>
      </c>
      <c r="B52">
        <v>905</v>
      </c>
      <c r="C52">
        <v>4600.3500000000004</v>
      </c>
    </row>
    <row r="53" spans="1:3">
      <c r="A53" t="s">
        <v>7632</v>
      </c>
      <c r="B53">
        <v>852</v>
      </c>
      <c r="C53">
        <v>4869.79</v>
      </c>
    </row>
    <row r="54" spans="1:3">
      <c r="A54" t="s">
        <v>114</v>
      </c>
      <c r="B54">
        <v>399006</v>
      </c>
      <c r="C54">
        <v>1507.71</v>
      </c>
    </row>
    <row r="55" spans="1:3">
      <c r="A55" t="s">
        <v>7628</v>
      </c>
      <c r="B55">
        <v>922</v>
      </c>
      <c r="C55">
        <v>4091.69</v>
      </c>
    </row>
    <row r="56" spans="1:3">
      <c r="A56" t="s">
        <v>7635</v>
      </c>
      <c r="B56">
        <v>399812</v>
      </c>
      <c r="C56">
        <v>6625.83</v>
      </c>
    </row>
    <row r="57" spans="1:3">
      <c r="A57" t="s">
        <v>7634</v>
      </c>
      <c r="B57">
        <v>991</v>
      </c>
      <c r="C57">
        <v>8653.7199999999993</v>
      </c>
    </row>
    <row r="58" spans="1:3">
      <c r="A58" t="s">
        <v>7638</v>
      </c>
      <c r="B58">
        <v>399971</v>
      </c>
      <c r="C58">
        <v>1116.74</v>
      </c>
    </row>
    <row r="59" spans="1:3">
      <c r="A59" t="s">
        <v>7637</v>
      </c>
      <c r="B59">
        <v>827</v>
      </c>
      <c r="C59">
        <v>1117.5</v>
      </c>
    </row>
    <row r="60" spans="1:3">
      <c r="A60" t="s">
        <v>7640</v>
      </c>
      <c r="B60">
        <v>990</v>
      </c>
      <c r="C60">
        <v>13088.78</v>
      </c>
    </row>
    <row r="61" spans="1:3">
      <c r="A61" t="s">
        <v>7641</v>
      </c>
      <c r="B61">
        <v>992</v>
      </c>
      <c r="C61">
        <v>5654.85</v>
      </c>
    </row>
    <row r="62" spans="1:3">
      <c r="A62" t="s">
        <v>7636</v>
      </c>
      <c r="B62">
        <v>399975</v>
      </c>
      <c r="C62">
        <v>670.21</v>
      </c>
    </row>
    <row r="63" spans="1:3">
      <c r="A63" t="s">
        <v>7642</v>
      </c>
      <c r="B63" t="s">
        <v>7643</v>
      </c>
      <c r="C63">
        <v>25939.3</v>
      </c>
    </row>
    <row r="64" spans="1:3">
      <c r="A64" t="s">
        <v>120</v>
      </c>
      <c r="B64" t="s">
        <v>7644</v>
      </c>
      <c r="C64">
        <v>11693.8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G26" sqref="G26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64" t="str">
        <f>"A股"&amp;" , "&amp;TEXT(SUM(E2:E20),"0.00%")</f>
        <v>A股 , 48.49%</v>
      </c>
      <c r="B2" s="164" t="str">
        <f>"大盘股"&amp;" , "&amp;TEXT(SUM(E2:E4),"0.00%")</f>
        <v>大盘股 , 5.26%</v>
      </c>
      <c r="C2" s="117" t="str">
        <f>"上证50"&amp;" , "&amp;TEXT(SUM(E2:E2),"0.00%")</f>
        <v>上证50 , 0.63%</v>
      </c>
      <c r="D2" s="117" t="s">
        <v>7541</v>
      </c>
      <c r="E2" s="118">
        <f t="shared" ref="E2:E33" si="0">F2/$F$34</f>
        <v>6.309726383949609E-3</v>
      </c>
      <c r="F2" s="35">
        <f t="shared" ref="F2:F25" si="1">SUM(G2:H2)</f>
        <v>8000.1</v>
      </c>
      <c r="G2" s="140">
        <v>8000.1</v>
      </c>
      <c r="H2" s="35"/>
      <c r="I2" s="139">
        <v>510050</v>
      </c>
      <c r="K2" s="115">
        <f>K4+K6+K8+K10</f>
        <v>1215931.75</v>
      </c>
      <c r="M2" s="125"/>
      <c r="N2" s="139"/>
      <c r="O2"/>
    </row>
    <row r="3" spans="1:15">
      <c r="A3" s="164"/>
      <c r="B3" s="165"/>
      <c r="C3" s="164" t="str">
        <f>"沪深300"&amp;" , "&amp;TEXT(SUM(E3:E4),"0.00%")</f>
        <v>沪深300 , 4.63%</v>
      </c>
      <c r="D3" s="117" t="s">
        <v>7542</v>
      </c>
      <c r="E3" s="118">
        <f t="shared" si="0"/>
        <v>2.7826097628056014E-2</v>
      </c>
      <c r="F3" s="35">
        <f t="shared" si="1"/>
        <v>35280.699999999997</v>
      </c>
      <c r="G3" s="140">
        <v>35280.699999999997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64"/>
      <c r="B4" s="165"/>
      <c r="C4" s="165"/>
      <c r="D4" s="117" t="s">
        <v>7543</v>
      </c>
      <c r="E4" s="118">
        <f t="shared" si="0"/>
        <v>1.8445095107564785E-2</v>
      </c>
      <c r="F4" s="35">
        <f t="shared" si="1"/>
        <v>23386.53</v>
      </c>
      <c r="G4" s="151">
        <v>23386.53</v>
      </c>
      <c r="I4" s="139">
        <v>100038</v>
      </c>
      <c r="K4" s="115">
        <v>800000</v>
      </c>
      <c r="M4" s="115"/>
      <c r="N4" s="139"/>
      <c r="O4"/>
    </row>
    <row r="5" spans="1:15">
      <c r="A5" s="164"/>
      <c r="B5" s="164" t="str">
        <f>"中小盘股"&amp;" , "&amp;TEXT(SUM(E5:E9),"0.00%")</f>
        <v>中小盘股 , 18.84%</v>
      </c>
      <c r="C5" s="164" t="str">
        <f>"中证500"&amp;" , "&amp;TEXT(SUM(E5:E6),"0.00%")</f>
        <v>中证500 , 17.08%</v>
      </c>
      <c r="D5" s="117" t="s">
        <v>7545</v>
      </c>
      <c r="E5" s="118">
        <f t="shared" si="0"/>
        <v>0.15892819027234234</v>
      </c>
      <c r="F5" s="35">
        <f t="shared" si="1"/>
        <v>201505</v>
      </c>
      <c r="G5" s="140">
        <v>201505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64"/>
      <c r="B6" s="164"/>
      <c r="C6" s="164"/>
      <c r="D6" s="117" t="s">
        <v>7544</v>
      </c>
      <c r="E6" s="118">
        <f t="shared" si="0"/>
        <v>1.1845519290970399E-2</v>
      </c>
      <c r="F6" s="35">
        <f t="shared" si="1"/>
        <v>15018.93</v>
      </c>
      <c r="G6" s="141">
        <v>15018.93</v>
      </c>
      <c r="H6" s="35"/>
      <c r="I6" s="139">
        <v>161017</v>
      </c>
      <c r="K6" s="115">
        <v>100000</v>
      </c>
      <c r="N6" s="139"/>
      <c r="O6"/>
    </row>
    <row r="7" spans="1:15">
      <c r="A7" s="164"/>
      <c r="B7" s="164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64"/>
      <c r="B8" s="164"/>
      <c r="C8" s="164" t="str">
        <f>"创业板"&amp;" , "&amp;TEXT(SUM(E8:E9),"0.00%")</f>
        <v>创业板 , 1.76%</v>
      </c>
      <c r="D8" s="117" t="s">
        <v>7547</v>
      </c>
      <c r="E8" s="118">
        <f t="shared" si="0"/>
        <v>1.1283227165758315E-2</v>
      </c>
      <c r="F8" s="35">
        <f t="shared" si="1"/>
        <v>14306</v>
      </c>
      <c r="G8" s="140">
        <v>14306</v>
      </c>
      <c r="H8" s="35"/>
      <c r="I8" s="139">
        <v>159915</v>
      </c>
      <c r="K8" s="115">
        <v>0</v>
      </c>
      <c r="N8" s="139"/>
      <c r="O8"/>
    </row>
    <row r="9" spans="1:15">
      <c r="A9" s="164"/>
      <c r="B9" s="164"/>
      <c r="C9" s="164"/>
      <c r="D9" s="117" t="s">
        <v>7453</v>
      </c>
      <c r="E9" s="118">
        <f t="shared" si="0"/>
        <v>6.338167120116059E-3</v>
      </c>
      <c r="F9" s="35">
        <f t="shared" si="1"/>
        <v>8036.16</v>
      </c>
      <c r="G9" s="141">
        <v>8036.16</v>
      </c>
      <c r="H9" s="35"/>
      <c r="I9" s="139">
        <v>110026</v>
      </c>
      <c r="K9" s="115" t="s">
        <v>7438</v>
      </c>
      <c r="N9" s="139"/>
      <c r="O9"/>
    </row>
    <row r="10" spans="1:15">
      <c r="A10" s="164"/>
      <c r="B10" s="117" t="str">
        <f>"红利价值"&amp;" , "&amp;TEXT(SUM(E10:E10),"0.00%")</f>
        <v>红利价值 , 5.63%</v>
      </c>
      <c r="C10" s="117" t="str">
        <f>"中证红利"&amp;" , "&amp;TEXT(SUM(E10:E10),"0.00%")</f>
        <v>中证红利 , 5.63%</v>
      </c>
      <c r="D10" s="117" t="s">
        <v>7454</v>
      </c>
      <c r="E10" s="118">
        <f t="shared" si="0"/>
        <v>5.6294335970605645E-2</v>
      </c>
      <c r="F10" s="35">
        <f t="shared" si="1"/>
        <v>71375.570000000007</v>
      </c>
      <c r="G10" s="141">
        <v>71375.570000000007</v>
      </c>
      <c r="H10" s="35"/>
      <c r="I10" s="139">
        <v>100032</v>
      </c>
      <c r="K10" s="115">
        <v>315931.75</v>
      </c>
      <c r="N10" s="139"/>
      <c r="O10"/>
    </row>
    <row r="11" spans="1:15">
      <c r="A11" s="164"/>
      <c r="B11" s="164" t="str">
        <f>"行业股"&amp;" , "&amp;TEXT(SUM(E11:E20),"0.00%")</f>
        <v>行业股 , 18.76%</v>
      </c>
      <c r="C11" s="117" t="str">
        <f>"养老产业"&amp;" , "&amp;TEXT(SUM(E11:E11),"0.00%")</f>
        <v>养老产业 , 4.74%</v>
      </c>
      <c r="D11" s="117" t="s">
        <v>7456</v>
      </c>
      <c r="E11" s="118">
        <f t="shared" si="0"/>
        <v>4.7395926840173415E-2</v>
      </c>
      <c r="F11" s="35">
        <f t="shared" si="1"/>
        <v>60093.279999999999</v>
      </c>
      <c r="G11" s="141">
        <v>60093.279999999999</v>
      </c>
      <c r="H11" s="35"/>
      <c r="I11" s="139">
        <v>968</v>
      </c>
      <c r="N11" s="139"/>
      <c r="O11"/>
    </row>
    <row r="12" spans="1:15">
      <c r="A12" s="164"/>
      <c r="B12" s="164"/>
      <c r="C12" s="164" t="str">
        <f>"全指医药"&amp;" , "&amp;TEXT(SUM(E12:E13),"0.00%")</f>
        <v>全指医药 , 4.14%</v>
      </c>
      <c r="D12" s="117" t="s">
        <v>7548</v>
      </c>
      <c r="E12" s="118">
        <f t="shared" si="0"/>
        <v>1.4855434105444642E-2</v>
      </c>
      <c r="F12" s="35">
        <f t="shared" si="1"/>
        <v>18835.2</v>
      </c>
      <c r="G12" s="140">
        <v>18835.2</v>
      </c>
      <c r="H12" s="35"/>
      <c r="I12" s="139">
        <v>159938</v>
      </c>
      <c r="N12" s="139"/>
      <c r="O12"/>
    </row>
    <row r="13" spans="1:15">
      <c r="A13" s="164"/>
      <c r="B13" s="164"/>
      <c r="C13" s="164"/>
      <c r="D13" s="117" t="s">
        <v>7457</v>
      </c>
      <c r="E13" s="118">
        <f t="shared" si="0"/>
        <v>2.6500030558411616E-2</v>
      </c>
      <c r="F13" s="35">
        <f t="shared" si="1"/>
        <v>33599.379999999997</v>
      </c>
      <c r="G13" s="151">
        <v>33599.379999999997</v>
      </c>
      <c r="I13" s="139">
        <v>1180</v>
      </c>
      <c r="N13" s="139"/>
      <c r="O13"/>
    </row>
    <row r="14" spans="1:15">
      <c r="A14" s="164"/>
      <c r="B14" s="164"/>
      <c r="C14" s="162" t="str">
        <f>"中证传媒"&amp;" , "&amp;TEXT(SUM(E14:E15),"0.00%")</f>
        <v>中证传媒 , 2.41%</v>
      </c>
      <c r="D14" s="157" t="s">
        <v>7562</v>
      </c>
      <c r="E14" s="118">
        <f t="shared" si="0"/>
        <v>4.5337814466029488E-3</v>
      </c>
      <c r="F14" s="35">
        <f t="shared" si="1"/>
        <v>5748.38</v>
      </c>
      <c r="G14" s="151">
        <v>5748.38</v>
      </c>
      <c r="H14" s="156"/>
      <c r="I14" s="139">
        <v>4752</v>
      </c>
      <c r="N14" s="139"/>
      <c r="O14"/>
    </row>
    <row r="15" spans="1:15">
      <c r="A15" s="164"/>
      <c r="B15" s="164"/>
      <c r="C15" s="162"/>
      <c r="D15" s="117" t="s">
        <v>49</v>
      </c>
      <c r="E15" s="118">
        <f t="shared" si="0"/>
        <v>1.9525677453642688E-2</v>
      </c>
      <c r="F15" s="35">
        <f t="shared" si="1"/>
        <v>24756.6</v>
      </c>
      <c r="G15" s="140">
        <v>24756.6</v>
      </c>
      <c r="H15" s="35"/>
      <c r="I15" s="139">
        <v>512980</v>
      </c>
      <c r="K15" s="121"/>
      <c r="N15" s="139"/>
      <c r="O15"/>
    </row>
    <row r="16" spans="1:15">
      <c r="A16" s="164"/>
      <c r="B16" s="164"/>
      <c r="C16" s="164" t="str">
        <f>"中证环保"&amp;" , "&amp;TEXT(SUM(E16:E17),"0.00%")</f>
        <v>中证环保 , 3.25%</v>
      </c>
      <c r="D16" s="117" t="s">
        <v>7461</v>
      </c>
      <c r="E16" s="118">
        <f t="shared" si="0"/>
        <v>1.946053034306729E-2</v>
      </c>
      <c r="F16" s="35">
        <f t="shared" si="1"/>
        <v>24674</v>
      </c>
      <c r="G16" s="140">
        <v>24674</v>
      </c>
      <c r="I16" s="139">
        <v>512580</v>
      </c>
      <c r="N16" s="139"/>
      <c r="O16"/>
    </row>
    <row r="17" spans="1:15">
      <c r="A17" s="164"/>
      <c r="B17" s="164"/>
      <c r="C17" s="164"/>
      <c r="D17" s="117" t="s">
        <v>7549</v>
      </c>
      <c r="E17" s="118">
        <f t="shared" si="0"/>
        <v>1.3029769145692739E-2</v>
      </c>
      <c r="F17" s="35">
        <f t="shared" si="1"/>
        <v>16520.440000000002</v>
      </c>
      <c r="G17" s="151">
        <v>7348.02</v>
      </c>
      <c r="H17" s="35">
        <f>交易明细!T5</f>
        <v>9172.42</v>
      </c>
      <c r="I17" s="139">
        <v>1064</v>
      </c>
      <c r="N17" s="139"/>
      <c r="O17"/>
    </row>
    <row r="18" spans="1:15">
      <c r="A18" s="164"/>
      <c r="B18" s="164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64"/>
      <c r="B19" s="164"/>
      <c r="C19" s="117" t="str">
        <f>"金融地产"&amp;" , "&amp;TEXT(SUM(E19:E19),"0.00%")</f>
        <v>金融地产 , 1.80%</v>
      </c>
      <c r="D19" s="117" t="s">
        <v>7551</v>
      </c>
      <c r="E19" s="118">
        <f t="shared" si="0"/>
        <v>1.7997433503551589E-2</v>
      </c>
      <c r="F19" s="35">
        <f t="shared" si="1"/>
        <v>22818.94</v>
      </c>
      <c r="G19" s="141">
        <v>22818.94</v>
      </c>
      <c r="H19" s="35"/>
      <c r="I19" s="139">
        <v>1469</v>
      </c>
      <c r="N19" s="139"/>
      <c r="O19"/>
    </row>
    <row r="20" spans="1:15">
      <c r="A20" s="164"/>
      <c r="B20" s="164"/>
      <c r="C20" s="117" t="str">
        <f>"证券公司"&amp;" , "&amp;TEXT(SUM(E20:E20),"0.00%")</f>
        <v>证券公司 , 2.43%</v>
      </c>
      <c r="D20" s="117" t="s">
        <v>7552</v>
      </c>
      <c r="E20" s="118">
        <f t="shared" si="0"/>
        <v>2.429482452661259E-2</v>
      </c>
      <c r="F20" s="35">
        <f t="shared" si="1"/>
        <v>30803.4</v>
      </c>
      <c r="G20" s="140">
        <v>30803.4</v>
      </c>
      <c r="H20" s="35"/>
      <c r="I20" s="139">
        <v>512880</v>
      </c>
      <c r="N20" s="139"/>
      <c r="O20"/>
    </row>
    <row r="21" spans="1:15">
      <c r="A21" s="164" t="str">
        <f>"海外新兴"&amp;" , "&amp;TEXT(SUM(E21:E22),"0.00%")</f>
        <v>海外新兴 , 2.04%</v>
      </c>
      <c r="B21" s="117" t="str">
        <f>"香港"&amp;" , "&amp;TEXT(SUM(E21:E21),"0.00%")</f>
        <v>香港 , 0.51%</v>
      </c>
      <c r="C21" s="117" t="str">
        <f>"恒生"&amp;" , "&amp;TEXT(SUM(E21:E21),"0.00%")</f>
        <v>恒生 , 0.51%</v>
      </c>
      <c r="D21" s="117" t="s">
        <v>7553</v>
      </c>
      <c r="E21" s="118">
        <f t="shared" si="0"/>
        <v>5.1125890741812417E-3</v>
      </c>
      <c r="F21" s="35">
        <f t="shared" si="1"/>
        <v>6482.25</v>
      </c>
      <c r="G21" s="141">
        <v>6482.25</v>
      </c>
      <c r="H21" s="35"/>
      <c r="I21" s="139">
        <v>71</v>
      </c>
      <c r="N21" s="139"/>
      <c r="O21"/>
    </row>
    <row r="22" spans="1:15">
      <c r="A22" s="164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1.5337364982514749E-2</v>
      </c>
      <c r="F22" s="35">
        <f t="shared" si="1"/>
        <v>19446.240000000002</v>
      </c>
      <c r="G22" s="141">
        <v>19446.240000000002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1.79%</v>
      </c>
      <c r="B23" s="117" t="str">
        <f>"海外成熟"&amp;" , "&amp;TEXT(SUM(E23:E23),"0.00%")</f>
        <v>海外成熟 , 1.79%</v>
      </c>
      <c r="C23" s="117" t="str">
        <f>"德国30"&amp;" , "&amp;TEXT(SUM(E23:E23),"0.00%")</f>
        <v>德国30 , 1.79%</v>
      </c>
      <c r="D23" s="117" t="s">
        <v>7554</v>
      </c>
      <c r="E23" s="118">
        <f t="shared" si="0"/>
        <v>1.7907899605337074E-2</v>
      </c>
      <c r="F23" s="35">
        <f t="shared" si="1"/>
        <v>22705.42</v>
      </c>
      <c r="G23" s="141">
        <v>22705.42</v>
      </c>
      <c r="H23" s="35"/>
      <c r="I23" s="139">
        <v>614</v>
      </c>
      <c r="N23" s="139"/>
      <c r="O23"/>
    </row>
    <row r="24" spans="1:15">
      <c r="A24" s="164" t="str">
        <f>"商品"&amp;" , "&amp;TEXT(SUM(E24:E26),"0.00%")</f>
        <v>商品 , 2.36%</v>
      </c>
      <c r="B24" s="117" t="str">
        <f>"原油"&amp;" , "&amp;TEXT(SUM(E24:E24),"0.00%")</f>
        <v>原油 , 1.16%</v>
      </c>
      <c r="C24" s="117" t="str">
        <f>"原油"&amp;" , "&amp;TEXT(SUM(E24:E24),"0.00%")</f>
        <v>原油 , 1.16%</v>
      </c>
      <c r="D24" s="117" t="s">
        <v>7555</v>
      </c>
      <c r="E24" s="118">
        <f t="shared" si="0"/>
        <v>1.1580861126022695E-2</v>
      </c>
      <c r="F24" s="35">
        <f t="shared" si="1"/>
        <v>14683.37</v>
      </c>
      <c r="G24" s="141">
        <v>14683.37</v>
      </c>
      <c r="H24" s="35"/>
      <c r="I24" s="139">
        <v>162411</v>
      </c>
      <c r="N24" s="139"/>
      <c r="O24"/>
    </row>
    <row r="25" spans="1:15">
      <c r="A25" s="164"/>
      <c r="B25" s="117" t="str">
        <f>"黄金"&amp;" , "&amp;TEXT(SUM(E25:E25),"0.00%")</f>
        <v>黄金 , 1.21%</v>
      </c>
      <c r="C25" s="117" t="str">
        <f>"黄金"&amp;" , "&amp;TEXT(SUM(E25:E25),"0.00%")</f>
        <v>黄金 , 1.21%</v>
      </c>
      <c r="D25" s="117" t="s">
        <v>7556</v>
      </c>
      <c r="E25" s="118">
        <f t="shared" si="0"/>
        <v>1.2060102515840235E-2</v>
      </c>
      <c r="F25" s="35">
        <f t="shared" si="1"/>
        <v>15291</v>
      </c>
      <c r="G25" s="140">
        <v>15291</v>
      </c>
      <c r="H25" s="35"/>
      <c r="I25" s="139">
        <v>518880</v>
      </c>
      <c r="N25" s="139"/>
      <c r="O25"/>
    </row>
    <row r="26" spans="1:15">
      <c r="A26" s="164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64" t="str">
        <f>"债券"&amp;" , "&amp;TEXT(SUM(E27:E30),"0.00%")</f>
        <v>债券 , 6.66%</v>
      </c>
      <c r="B27" s="164" t="str">
        <f>"国内债券"&amp;" , "&amp;TEXT(SUM(E27:E29),"0.00%")</f>
        <v>国内债券 , 6.08%</v>
      </c>
      <c r="C27" s="164" t="str">
        <f>"可转债"&amp;" , "&amp;TEXT(SUM(E27:E29),"0.00%")</f>
        <v>可转债 , 6.08%</v>
      </c>
      <c r="D27" s="117" t="s">
        <v>7474</v>
      </c>
      <c r="E27" s="118">
        <f t="shared" si="0"/>
        <v>2.8818983760757672E-2</v>
      </c>
      <c r="F27" s="35">
        <f t="shared" ref="F27:F32" si="2">SUM(G27:H27)</f>
        <v>36539.58</v>
      </c>
      <c r="G27" s="141">
        <v>36539.58</v>
      </c>
      <c r="H27" s="35"/>
      <c r="I27" s="139">
        <v>340001</v>
      </c>
      <c r="J27" s="118"/>
      <c r="N27" s="139"/>
      <c r="O27"/>
    </row>
    <row r="28" spans="1:15">
      <c r="A28" s="164"/>
      <c r="B28" s="164"/>
      <c r="C28" s="164"/>
      <c r="D28" s="117" t="s">
        <v>7475</v>
      </c>
      <c r="E28" s="118">
        <f t="shared" si="0"/>
        <v>5.6034717636609232E-3</v>
      </c>
      <c r="F28" s="35">
        <f t="shared" si="2"/>
        <v>7104.64</v>
      </c>
      <c r="G28" s="141">
        <v>7104.64</v>
      </c>
      <c r="H28" s="35"/>
      <c r="I28" s="139">
        <v>519977</v>
      </c>
      <c r="N28" s="139"/>
      <c r="O28"/>
    </row>
    <row r="29" spans="1:15">
      <c r="A29" s="164"/>
      <c r="B29" s="164"/>
      <c r="C29" s="164"/>
      <c r="D29" s="117" t="s">
        <v>7477</v>
      </c>
      <c r="E29" s="118">
        <f t="shared" si="0"/>
        <v>2.6377662831949481E-2</v>
      </c>
      <c r="F29" s="35">
        <f t="shared" si="2"/>
        <v>33444.230000000003</v>
      </c>
      <c r="G29" s="141">
        <v>33444.230000000003</v>
      </c>
      <c r="H29" s="35"/>
      <c r="I29" s="139">
        <v>110027</v>
      </c>
      <c r="N29" s="139"/>
      <c r="O29"/>
    </row>
    <row r="30" spans="1:15">
      <c r="A30" s="164"/>
      <c r="B30" s="117" t="str">
        <f>"海外债券"&amp;" , "&amp;TEXT(SUM(E30:E30),"0.00%")</f>
        <v>海外债券 , 0.58%</v>
      </c>
      <c r="C30" s="117" t="str">
        <f>"美元债"&amp;" , "&amp;TEXT(SUM(E30:E30),"0.00%")</f>
        <v>美元债 , 0.58%</v>
      </c>
      <c r="D30" s="117" t="s">
        <v>7558</v>
      </c>
      <c r="E30" s="118">
        <f t="shared" si="0"/>
        <v>5.8491536637122104E-3</v>
      </c>
      <c r="F30" s="35">
        <f t="shared" si="2"/>
        <v>7416.14</v>
      </c>
      <c r="G30" s="141">
        <v>7416.14</v>
      </c>
      <c r="H30" s="35"/>
      <c r="I30" s="139">
        <v>1061</v>
      </c>
      <c r="N30" s="139"/>
      <c r="O30"/>
    </row>
    <row r="31" spans="1:15">
      <c r="A31" s="164" t="str">
        <f>"现金"&amp;" , "&amp;TEXT(SUM(E31:E32),"0.00%")</f>
        <v>现金 , 13.73%</v>
      </c>
      <c r="B31" s="117" t="str">
        <f>"低风险理财"&amp;" , "&amp;TEXT(SUM(E31:E31),"0.00%")</f>
        <v>低风险理财 , 5.18%</v>
      </c>
      <c r="C31" s="117" t="str">
        <f>"货币基金"&amp;" , "&amp;TEXT(SUM(E31:E31),"0.00%")</f>
        <v>货币基金 , 5.18%</v>
      </c>
      <c r="D31" s="117" t="s">
        <v>7559</v>
      </c>
      <c r="E31" s="118">
        <f t="shared" si="0"/>
        <v>5.1815172410290176E-2</v>
      </c>
      <c r="F31" s="35">
        <f t="shared" si="2"/>
        <v>65696.44</v>
      </c>
      <c r="G31" s="35">
        <f>交易明细!T8</f>
        <v>65696.44</v>
      </c>
      <c r="H31" s="35"/>
      <c r="I31" s="139"/>
      <c r="O31" s="120"/>
    </row>
    <row r="32" spans="1:15">
      <c r="A32" s="164"/>
      <c r="B32" s="117" t="str">
        <f>"中低风险理财"&amp;" , "&amp;TEXT(SUM(E32:E32),"0.00%")</f>
        <v>中低风险理财 , 8.55%</v>
      </c>
      <c r="C32" s="117" t="str">
        <f>"地产定期"&amp;" , "&amp;TEXT(SUM(E32:E32),"0.00%")</f>
        <v>地产定期 , 8.55%</v>
      </c>
      <c r="D32" s="117" t="s">
        <v>7431</v>
      </c>
      <c r="E32" s="118">
        <f t="shared" si="0"/>
        <v>8.549572380596962E-2</v>
      </c>
      <c r="F32" s="35">
        <f t="shared" si="2"/>
        <v>108400</v>
      </c>
      <c r="G32" s="35">
        <f>100000+8400</f>
        <v>108400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24.92%</v>
      </c>
      <c r="B33" s="117" t="str">
        <f>"住房公积金"&amp;" , "&amp;TEXT(SUM(E33:E33),"0.00%")</f>
        <v>住房公积金 , 24.92%</v>
      </c>
      <c r="C33" s="117" t="str">
        <f>"公积金"&amp;" , "&amp;TEXT(SUM(E33:E33),"0.00%")</f>
        <v>公积金 , 24.92%</v>
      </c>
      <c r="D33" s="117" t="s">
        <v>7560</v>
      </c>
      <c r="E33" s="118">
        <f t="shared" si="0"/>
        <v>0.2491772475972015</v>
      </c>
      <c r="F33" s="35">
        <f>K10</f>
        <v>315931.75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1.0000000000000004</v>
      </c>
      <c r="F34" s="35">
        <f>SUM(F2:F33)</f>
        <v>1267899.6699999997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4.2739175122287643E-2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O38" s="119"/>
    </row>
    <row r="39" spans="1:16">
      <c r="A39" s="115" t="str">
        <f>C2</f>
        <v>上证50 , 0.63%</v>
      </c>
      <c r="B39" s="35">
        <f>SUMIFS(交易明细!M:M,交易明细!M:M,"&lt;0",交易明细!C:C,"=50ETF")*-1 - SUMIFS(交易明细!M:M,交易明细!M:M,"&gt;0",交易明细!C:C,"=50ETF")</f>
        <v>6443.49</v>
      </c>
      <c r="C39" s="35">
        <f>F2</f>
        <v>8000.1</v>
      </c>
      <c r="D39" s="34">
        <f t="shared" ref="D39:D63" si="3">C39/B39-1</f>
        <v>0.24157870967441575</v>
      </c>
      <c r="E39" s="34">
        <f t="shared" ref="E39:E62" si="4">B39/$K$2</f>
        <v>5.2992201248137482E-3</v>
      </c>
      <c r="F39" s="34">
        <f t="shared" ref="F39:F62" si="5">(C39-B39)/$K$2</f>
        <v>1.2801787600332014E-3</v>
      </c>
      <c r="G39" s="137"/>
      <c r="P39" s="120"/>
    </row>
    <row r="40" spans="1:16">
      <c r="A40" s="115" t="str">
        <f>C3</f>
        <v>沪深300 , 4.63%</v>
      </c>
      <c r="B40" s="35">
        <f>SUMIFS(交易明细!M:M,交易明细!M:M,"&lt;0",交易明细!C:C,"=300ETF")*-1 - SUMIFS(交易明细!M:M,交易明细!M:M,"&gt;0",交易明细!C:C,"=300ETF")</f>
        <v>51004.06</v>
      </c>
      <c r="C40" s="35">
        <f>F3+F4</f>
        <v>58667.229999999996</v>
      </c>
      <c r="D40" s="34">
        <f t="shared" si="3"/>
        <v>0.15024627451226436</v>
      </c>
      <c r="E40" s="34">
        <f t="shared" si="4"/>
        <v>4.19464826048008E-2</v>
      </c>
      <c r="F40" s="34">
        <f t="shared" si="5"/>
        <v>6.30230274026482E-3</v>
      </c>
      <c r="G40" s="137"/>
    </row>
    <row r="41" spans="1:16">
      <c r="A41" s="115" t="str">
        <f>C5</f>
        <v>中证500 , 17.08%</v>
      </c>
      <c r="B41" s="35">
        <f>SUMIFS(交易明细!M:M,交易明细!M:M,"&lt;0",交易明细!C:C,"=500ETF")*-1 - SUMIFS(交易明细!M:M,交易明细!M:M,"&gt;0",交易明细!C:C,"=500ETF")</f>
        <v>226925.85</v>
      </c>
      <c r="C41" s="35">
        <f>F5+F6</f>
        <v>216523.93</v>
      </c>
      <c r="D41" s="34">
        <f t="shared" si="3"/>
        <v>-4.5838409330624996E-2</v>
      </c>
      <c r="E41" s="34">
        <f t="shared" si="4"/>
        <v>0.18662712771502185</v>
      </c>
      <c r="F41" s="34">
        <f t="shared" si="5"/>
        <v>-8.5546906724000039E-3</v>
      </c>
      <c r="G41" s="137"/>
    </row>
    <row r="42" spans="1:16">
      <c r="A42" s="115" t="str">
        <f>C7</f>
        <v>中证1000 , 0.00%</v>
      </c>
      <c r="B42" s="35">
        <f>SUMIFS(交易明细!M:M,交易明细!M:M,"&lt;0",交易明细!C:C,"=1000ETF")*-1 - SUMIFS(交易明细!M:M,交易明细!M:M,"&gt;0",交易明细!C:C,"=1000ETF")</f>
        <v>5250.8099999999977</v>
      </c>
      <c r="C42" s="35">
        <f>F7</f>
        <v>0</v>
      </c>
      <c r="D42" s="34">
        <f t="shared" si="3"/>
        <v>-1</v>
      </c>
      <c r="E42" s="34">
        <f t="shared" si="4"/>
        <v>4.318342703034112E-3</v>
      </c>
      <c r="F42" s="34">
        <f t="shared" si="5"/>
        <v>-4.318342703034112E-3</v>
      </c>
      <c r="G42" s="137"/>
    </row>
    <row r="43" spans="1:16">
      <c r="A43" s="115" t="str">
        <f>C8</f>
        <v>创业板 , 1.76%</v>
      </c>
      <c r="B43" s="35">
        <f>SUMIFS(交易明细!M:M,交易明细!M:M,"&lt;0",交易明细!C:C,"=创业板")*-1 - SUMIFS(交易明细!M:M,交易明细!M:M,"&gt;0",交易明细!C:C,"=创业板")</f>
        <v>19268.489999999998</v>
      </c>
      <c r="C43" s="35">
        <f>F8+F9</f>
        <v>22342.16</v>
      </c>
      <c r="D43" s="34">
        <f t="shared" si="3"/>
        <v>0.15951794873391756</v>
      </c>
      <c r="E43" s="34">
        <f t="shared" si="4"/>
        <v>1.5846687118746591E-2</v>
      </c>
      <c r="F43" s="34">
        <f t="shared" si="5"/>
        <v>2.5278310234106492E-3</v>
      </c>
      <c r="G43" s="137"/>
    </row>
    <row r="44" spans="1:16">
      <c r="A44" s="115" t="str">
        <f>C10</f>
        <v>中证红利 , 5.63%</v>
      </c>
      <c r="B44" s="35">
        <f>SUMIFS(交易明细!M:M,交易明细!M:M,"&lt;0",交易明细!C:C,"=红利")*-1 - SUMIFS(交易明细!M:M,交易明细!M:M,"&gt;0",交易明细!C:C,"=红利")</f>
        <v>66320</v>
      </c>
      <c r="C44" s="35">
        <f>F10</f>
        <v>71375.570000000007</v>
      </c>
      <c r="D44" s="34">
        <f t="shared" si="3"/>
        <v>7.6229945717732228E-2</v>
      </c>
      <c r="E44" s="34">
        <f t="shared" si="4"/>
        <v>5.4542534973694039E-2</v>
      </c>
      <c r="F44" s="34">
        <f t="shared" si="5"/>
        <v>4.1577744803522132E-3</v>
      </c>
    </row>
    <row r="45" spans="1:16">
      <c r="A45" s="115" t="str">
        <f>C11</f>
        <v>养老产业 , 4.74%</v>
      </c>
      <c r="B45" s="35">
        <f>SUMIFS(交易明细!M:M,交易明细!M:M,"&lt;0",交易明细!C:C,"=养老")*-1 - SUMIFS(交易明细!M:M,交易明细!M:M,"&gt;0",交易明细!C:C,"=养老")</f>
        <v>58200</v>
      </c>
      <c r="C45" s="35">
        <f>F11</f>
        <v>60093.279999999999</v>
      </c>
      <c r="D45" s="34">
        <f t="shared" si="3"/>
        <v>3.2530584192439926E-2</v>
      </c>
      <c r="E45" s="34">
        <f t="shared" si="4"/>
        <v>4.7864528580654299E-2</v>
      </c>
      <c r="F45" s="34">
        <f t="shared" si="5"/>
        <v>1.5570610768244179E-3</v>
      </c>
    </row>
    <row r="46" spans="1:16">
      <c r="A46" s="115" t="str">
        <f>C12</f>
        <v>全指医药 , 4.14%</v>
      </c>
      <c r="B46" s="35">
        <f>SUMIFS(交易明细!M:M,交易明细!M:M,"&lt;0",交易明细!C:C,"=医药")*-1 - SUMIFS(交易明细!M:M,交易明细!M:M,"&gt;0",交易明细!C:C,"=医药")</f>
        <v>48860.979999999996</v>
      </c>
      <c r="C46" s="35">
        <f>F12+F13</f>
        <v>52434.58</v>
      </c>
      <c r="D46" s="34">
        <f t="shared" si="3"/>
        <v>7.3138115526950154E-2</v>
      </c>
      <c r="E46" s="34">
        <f t="shared" si="4"/>
        <v>4.0183982365786561E-2</v>
      </c>
      <c r="F46" s="34">
        <f t="shared" si="5"/>
        <v>2.9389807446018297E-3</v>
      </c>
    </row>
    <row r="47" spans="1:16">
      <c r="A47" s="115" t="str">
        <f>C14</f>
        <v>中证传媒 , 2.41%</v>
      </c>
      <c r="B47" s="35">
        <f>SUMIFS(交易明细!M:M,交易明细!M:M,"&lt;0",交易明细!C:C,"=传媒")*-1 - SUMIFS(交易明细!M:M,交易明细!M:M,"&gt;0",交易明细!C:C,"=传媒")</f>
        <v>36020.33</v>
      </c>
      <c r="C47" s="35">
        <f>F15</f>
        <v>24756.6</v>
      </c>
      <c r="D47" s="34">
        <f t="shared" si="3"/>
        <v>-0.31270479754072222</v>
      </c>
      <c r="E47" s="34">
        <f t="shared" si="4"/>
        <v>2.9623644583670096E-2</v>
      </c>
      <c r="F47" s="34">
        <f t="shared" si="5"/>
        <v>-9.2634557819548692E-3</v>
      </c>
    </row>
    <row r="48" spans="1:16">
      <c r="A48" s="115" t="str">
        <f>C16</f>
        <v>中证环保 , 3.25%</v>
      </c>
      <c r="B48" s="35">
        <f>SUMIFS(交易明细!M:M,交易明细!M:M,"&lt;0",交易明细!C:C,"=环保")*-1 - SUMIFS(交易明细!M:M,交易明细!M:M,"&gt;0",交易明细!C:C,"=环保")</f>
        <v>48055.229999999996</v>
      </c>
      <c r="C48" s="35">
        <f>F16+F17</f>
        <v>41194.44</v>
      </c>
      <c r="D48" s="34">
        <f t="shared" si="3"/>
        <v>-0.14276885159013897</v>
      </c>
      <c r="E48" s="34">
        <f t="shared" si="4"/>
        <v>3.9521321817610235E-2</v>
      </c>
      <c r="F48" s="34">
        <f t="shared" si="5"/>
        <v>-5.6424137292245173E-3</v>
      </c>
    </row>
    <row r="49" spans="1:6">
      <c r="A49" s="115" t="str">
        <f t="shared" ref="A49:A58" si="6">C18</f>
        <v>全指消费 , 0.00%</v>
      </c>
      <c r="B49" s="35">
        <f>SUMIFS(交易明细!M:M,交易明细!M:M,"&lt;0",交易明细!C:C,"=消费")*-1 - SUMIFS(交易明细!M:M,交易明细!M:M,"&gt;0",交易明细!C:C,"=消费")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4"/>
        <v>-2.9117094771149783E-3</v>
      </c>
      <c r="F49" s="34">
        <f t="shared" si="5"/>
        <v>2.9117094771149783E-3</v>
      </c>
    </row>
    <row r="50" spans="1:6">
      <c r="A50" s="115" t="str">
        <f t="shared" si="6"/>
        <v>金融地产 , 1.80%</v>
      </c>
      <c r="B50" s="35">
        <f>SUMIFS(交易明细!M:M,交易明细!M:M,"&lt;0",交易明细!C:C,"=金融地产")*-1 - SUMIFS(交易明细!M:M,交易明细!M:M,"&gt;0",交易明细!C:C,"=金融地产")</f>
        <v>19200</v>
      </c>
      <c r="C50" s="35">
        <f t="shared" si="7"/>
        <v>22818.94</v>
      </c>
      <c r="D50" s="34">
        <f t="shared" si="3"/>
        <v>0.18848645833333322</v>
      </c>
      <c r="E50" s="34">
        <f t="shared" si="4"/>
        <v>1.5790359944133376E-2</v>
      </c>
      <c r="F50" s="34">
        <f t="shared" si="5"/>
        <v>2.9762690216782305E-3</v>
      </c>
    </row>
    <row r="51" spans="1:6">
      <c r="A51" s="115" t="str">
        <f t="shared" si="6"/>
        <v>证券公司 , 2.43%</v>
      </c>
      <c r="B51" s="35">
        <f>SUMIFS(交易明细!M:M,交易明细!M:M,"&lt;0",交易明细!C:C,"=证券")*-1 - SUMIFS(交易明细!M:M,交易明细!M:M,"&gt;0",交易明细!C:C,"=证券")</f>
        <v>25572.12</v>
      </c>
      <c r="C51" s="35">
        <f t="shared" si="7"/>
        <v>30803.4</v>
      </c>
      <c r="D51" s="34">
        <f t="shared" si="3"/>
        <v>0.20456966414986333</v>
      </c>
      <c r="E51" s="34">
        <f t="shared" si="4"/>
        <v>2.1030884340342292E-2</v>
      </c>
      <c r="F51" s="34">
        <f t="shared" si="5"/>
        <v>4.3022809462784422E-3</v>
      </c>
    </row>
    <row r="52" spans="1:6">
      <c r="A52" s="115" t="str">
        <f t="shared" si="6"/>
        <v>恒生 , 0.51%</v>
      </c>
      <c r="B52" s="35">
        <f>SUMIFS(交易明细!M:M,交易明细!M:M,"&lt;0",交易明细!C:C,"=恒生")*-1 - SUMIFS(交易明细!M:M,交易明细!M:M,"&gt;0",交易明细!C:C,"=恒生")</f>
        <v>6400</v>
      </c>
      <c r="C52" s="35">
        <f t="shared" si="7"/>
        <v>6482.25</v>
      </c>
      <c r="D52" s="34">
        <f t="shared" si="3"/>
        <v>1.285156250000008E-2</v>
      </c>
      <c r="E52" s="34">
        <f t="shared" si="4"/>
        <v>5.2634533147111256E-3</v>
      </c>
      <c r="F52" s="34">
        <f t="shared" si="5"/>
        <v>6.7643599239842198E-5</v>
      </c>
    </row>
    <row r="53" spans="1:6">
      <c r="A53" s="115" t="str">
        <f t="shared" si="6"/>
        <v>海外互联网 , 1.53%</v>
      </c>
      <c r="B53" s="35">
        <f>SUMIFS(交易明细!M:M,交易明细!M:M,"&lt;0",交易明细!C:C,"=海外互联网")*-1 - SUMIFS(交易明细!M:M,交易明细!M:M,"&gt;0",交易明细!C:C,"=海外互联网")</f>
        <v>19200</v>
      </c>
      <c r="C53" s="35">
        <f t="shared" si="7"/>
        <v>19446.240000000002</v>
      </c>
      <c r="D53" s="34">
        <f t="shared" si="3"/>
        <v>1.2825000000000086E-2</v>
      </c>
      <c r="E53" s="34">
        <f t="shared" si="4"/>
        <v>1.5790359944133376E-2</v>
      </c>
      <c r="F53" s="34">
        <f t="shared" si="5"/>
        <v>2.0251136628351188E-4</v>
      </c>
    </row>
    <row r="54" spans="1:6">
      <c r="A54" s="115" t="str">
        <f t="shared" si="6"/>
        <v>德国30 , 1.79%</v>
      </c>
      <c r="B54" s="35">
        <f>SUMIFS(交易明细!M:M,交易明细!M:M,"&lt;0",交易明细!C:C,"=德国30")*-1 - SUMIFS(交易明细!M:M,交易明细!M:M,"&gt;0",交易明细!C:C,"=德国30")</f>
        <v>22600</v>
      </c>
      <c r="C54" s="35">
        <f t="shared" si="7"/>
        <v>22705.42</v>
      </c>
      <c r="D54" s="34">
        <f t="shared" si="3"/>
        <v>4.6646017699114584E-3</v>
      </c>
      <c r="E54" s="34">
        <f t="shared" si="4"/>
        <v>1.8586569517573662E-2</v>
      </c>
      <c r="F54" s="34">
        <f t="shared" si="5"/>
        <v>8.6698945068255888E-5</v>
      </c>
    </row>
    <row r="55" spans="1:6">
      <c r="A55" s="115" t="str">
        <f t="shared" si="6"/>
        <v>原油 , 1.16%</v>
      </c>
      <c r="B55" s="35">
        <f>SUMIFS(交易明细!M:M,交易明细!M:M,"&lt;0",交易明细!C:C,"=原油")*-1 - SUMIFS(交易明细!M:M,交易明细!M:M,"&gt;0",交易明细!C:C,"=原油")</f>
        <v>19200</v>
      </c>
      <c r="C55" s="35">
        <f t="shared" si="7"/>
        <v>14683.37</v>
      </c>
      <c r="D55" s="34">
        <f t="shared" si="3"/>
        <v>-0.23524114583333333</v>
      </c>
      <c r="E55" s="34">
        <f t="shared" si="4"/>
        <v>1.5790359944133376E-2</v>
      </c>
      <c r="F55" s="34">
        <f t="shared" si="5"/>
        <v>-3.7145423663787042E-3</v>
      </c>
    </row>
    <row r="56" spans="1:6">
      <c r="A56" s="115" t="str">
        <f t="shared" si="6"/>
        <v>黄金 , 1.21%</v>
      </c>
      <c r="B56" s="35">
        <f>SUMIFS(交易明细!M:M,交易明细!M:M,"&lt;0",交易明细!C:C,"=黄金")*-1 - SUMIFS(交易明细!M:M,交易明细!M:M,"&gt;0",交易明细!C:C,"=黄金")</f>
        <v>12852.09</v>
      </c>
      <c r="C56" s="35">
        <f t="shared" si="7"/>
        <v>15291</v>
      </c>
      <c r="D56" s="34">
        <f t="shared" si="3"/>
        <v>0.18976757865841276</v>
      </c>
      <c r="E56" s="34">
        <f t="shared" si="4"/>
        <v>1.0569746204916517E-2</v>
      </c>
      <c r="F56" s="34">
        <f t="shared" si="5"/>
        <v>2.0057951443409549E-3</v>
      </c>
    </row>
    <row r="57" spans="1:6">
      <c r="A57" s="115" t="str">
        <f t="shared" si="6"/>
        <v>白银 , 0.00%</v>
      </c>
      <c r="B57" s="35">
        <f>SUMIFS(交易明细!M:M,交易明细!M:M,"&lt;0",交易明细!C:C,"=白银")*-1 - SUMIFS(交易明细!M:M,交易明细!M:M,"&gt;0",交易明细!C:C,"=白银")</f>
        <v>-1251.2729999999974</v>
      </c>
      <c r="C57" s="35">
        <f t="shared" si="7"/>
        <v>0</v>
      </c>
      <c r="D57" s="34">
        <f t="shared" si="3"/>
        <v>-1</v>
      </c>
      <c r="E57" s="34">
        <f t="shared" si="4"/>
        <v>-1.0290651592903938E-3</v>
      </c>
      <c r="F57" s="34">
        <f t="shared" si="5"/>
        <v>1.0290651592903938E-3</v>
      </c>
    </row>
    <row r="58" spans="1:6">
      <c r="A58" s="115" t="str">
        <f t="shared" si="6"/>
        <v>可转债 , 6.08%</v>
      </c>
      <c r="B58" s="35">
        <f>SUMIFS(交易明细!M:M,交易明细!M:M,"&lt;0",交易明细!C:C,"=可转债")*-1 - SUMIFS(交易明细!M:M,交易明细!M:M,"&gt;0",交易明细!C:C,"=可转债")</f>
        <v>70400</v>
      </c>
      <c r="C58" s="35">
        <f>F27+F28+F29</f>
        <v>77088.450000000012</v>
      </c>
      <c r="D58" s="34">
        <f t="shared" si="3"/>
        <v>9.5006392045454691E-2</v>
      </c>
      <c r="E58" s="34">
        <f t="shared" si="4"/>
        <v>5.7897986461822384E-2</v>
      </c>
      <c r="F58" s="34">
        <f t="shared" si="5"/>
        <v>5.5006788004343266E-3</v>
      </c>
    </row>
    <row r="59" spans="1:6">
      <c r="A59" s="115" t="str">
        <f>C30</f>
        <v>美元债 , 0.58%</v>
      </c>
      <c r="B59" s="35">
        <f>SUMIFS(交易明细!M:M,交易明细!M:M,"&lt;0",交易明细!C:C,"=海外债")*-1 - SUMIFS(交易明细!M:M,交易明细!M:M,"&gt;0",交易明细!C:C,"=海外债")</f>
        <v>5145.119999999999</v>
      </c>
      <c r="C59" s="35">
        <f>F30</f>
        <v>7416.14</v>
      </c>
      <c r="D59" s="34">
        <f t="shared" si="3"/>
        <v>0.4413930092981313</v>
      </c>
      <c r="E59" s="34">
        <f t="shared" si="4"/>
        <v>4.2314217060291414E-3</v>
      </c>
      <c r="F59" s="34">
        <f t="shared" si="5"/>
        <v>1.8677199604336357E-3</v>
      </c>
    </row>
    <row r="60" spans="1:6">
      <c r="A60" s="115" t="str">
        <f>C31</f>
        <v>货币基金 , 5.18%</v>
      </c>
      <c r="B60" s="35">
        <f>G31</f>
        <v>65696.44</v>
      </c>
      <c r="C60" s="35">
        <f>F31</f>
        <v>65696.44</v>
      </c>
      <c r="D60" s="34">
        <f t="shared" si="3"/>
        <v>0</v>
      </c>
      <c r="E60" s="34">
        <f t="shared" si="4"/>
        <v>5.4029710137925097E-2</v>
      </c>
      <c r="F60" s="34">
        <f t="shared" si="5"/>
        <v>0</v>
      </c>
    </row>
    <row r="61" spans="1:6">
      <c r="A61" s="115" t="str">
        <f>C32</f>
        <v>地产定期 , 8.55%</v>
      </c>
      <c r="B61" s="115">
        <f>K6</f>
        <v>100000</v>
      </c>
      <c r="C61" s="35">
        <f>F32</f>
        <v>108400</v>
      </c>
      <c r="D61" s="34">
        <f t="shared" si="3"/>
        <v>8.4000000000000075E-2</v>
      </c>
      <c r="E61" s="34">
        <f t="shared" si="4"/>
        <v>8.224145804236134E-2</v>
      </c>
      <c r="F61" s="34">
        <f t="shared" si="5"/>
        <v>6.9082824755583531E-3</v>
      </c>
    </row>
    <row r="62" spans="1:6">
      <c r="A62" s="115" t="str">
        <f>C33</f>
        <v>公积金 , 24.92%</v>
      </c>
      <c r="B62" s="115">
        <f>K10</f>
        <v>315931.75</v>
      </c>
      <c r="C62" s="35">
        <f>F33</f>
        <v>315931.75</v>
      </c>
      <c r="D62" s="34">
        <f t="shared" si="3"/>
        <v>0</v>
      </c>
      <c r="E62" s="34">
        <f t="shared" si="4"/>
        <v>0.25982687761874795</v>
      </c>
      <c r="F62" s="34">
        <f t="shared" si="5"/>
        <v>0</v>
      </c>
    </row>
    <row r="63" spans="1:6">
      <c r="A63" s="115" t="str">
        <f>D34</f>
        <v>总市值</v>
      </c>
      <c r="B63" s="115">
        <f>SUM(B38:B62)</f>
        <v>1243755.047</v>
      </c>
      <c r="C63" s="78">
        <f>SUM(C38:C62)</f>
        <v>1262151.29</v>
      </c>
      <c r="D63" s="77">
        <f t="shared" si="3"/>
        <v>1.4790889125935847E-2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8000.1</v>
      </c>
      <c r="D68" s="34">
        <f t="shared" ref="D68:D96" si="8">C68/$C$97</f>
        <v>1.0040322686917413E-2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35280.699999999997</v>
      </c>
      <c r="D69" s="34">
        <f t="shared" si="8"/>
        <v>4.4278148100689627E-2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23386.53</v>
      </c>
      <c r="D70" s="34">
        <f t="shared" si="8"/>
        <v>2.9350671582514549E-2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201505</v>
      </c>
      <c r="D71" s="34">
        <f t="shared" si="8"/>
        <v>0.25289374170664031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15018.93</v>
      </c>
      <c r="D72" s="34">
        <f t="shared" si="8"/>
        <v>1.8849127337436346E-2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14306</v>
      </c>
      <c r="D74" s="34">
        <f t="shared" si="8"/>
        <v>1.7954382615097374E-2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8036.16</v>
      </c>
      <c r="D75" s="34">
        <f t="shared" si="8"/>
        <v>1.0085578875726331E-2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71375.570000000007</v>
      </c>
      <c r="D76" s="34">
        <f t="shared" si="8"/>
        <v>8.9578099619087498E-2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60093.279999999999</v>
      </c>
      <c r="D77" s="34">
        <f t="shared" si="8"/>
        <v>7.5418547582565262E-2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18835.2</v>
      </c>
      <c r="D78" s="34">
        <f t="shared" si="8"/>
        <v>2.3638640251075215E-2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33599.379999999997</v>
      </c>
      <c r="D79" s="34">
        <f t="shared" si="8"/>
        <v>4.2168050059419149E-2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24756.6</v>
      </c>
      <c r="D80" s="34">
        <f t="shared" si="8"/>
        <v>3.1070143202077422E-2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24674</v>
      </c>
      <c r="D81" s="34">
        <f t="shared" si="8"/>
        <v>3.0966478166147948E-2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24674</v>
      </c>
      <c r="D82" s="34">
        <f t="shared" si="8"/>
        <v>3.0966478166147948E-2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16520.440000000002</v>
      </c>
      <c r="D83" s="34">
        <f t="shared" si="8"/>
        <v>2.0733559396739779E-2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22818.94</v>
      </c>
      <c r="D85" s="34">
        <f t="shared" si="8"/>
        <v>2.8638332142524116E-2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30803.4</v>
      </c>
      <c r="D86" s="34">
        <f t="shared" si="8"/>
        <v>3.8659026243945925E-2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6482.25</v>
      </c>
      <c r="D87" s="34">
        <f t="shared" si="8"/>
        <v>8.135383524864738E-3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19446.240000000002</v>
      </c>
      <c r="D88" s="34">
        <f t="shared" si="8"/>
        <v>2.4405510512023706E-2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22705.42</v>
      </c>
      <c r="D89" s="34">
        <f t="shared" si="8"/>
        <v>2.8495861744476735E-2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14683.37</v>
      </c>
      <c r="D90" s="34">
        <f t="shared" si="8"/>
        <v>1.8427991266534483E-2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15291</v>
      </c>
      <c r="D91" s="34">
        <f t="shared" si="8"/>
        <v>1.91905818934331E-2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36539.58</v>
      </c>
      <c r="D93" s="34">
        <f t="shared" si="8"/>
        <v>4.5858073529635099E-2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7104.64</v>
      </c>
      <c r="D94" s="34">
        <f t="shared" si="8"/>
        <v>8.9164983155686703E-3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33444.230000000003</v>
      </c>
      <c r="D95" s="34">
        <f t="shared" si="8"/>
        <v>4.1973332985273178E-2</v>
      </c>
    </row>
    <row r="96" spans="1:4">
      <c r="A96" s="115" t="s">
        <v>7430</v>
      </c>
      <c r="B96" s="115" t="s">
        <v>7482</v>
      </c>
      <c r="C96" s="35">
        <f t="shared" si="11"/>
        <v>7416.14</v>
      </c>
      <c r="D96" s="34">
        <f t="shared" si="8"/>
        <v>9.3074384934382932E-3</v>
      </c>
    </row>
    <row r="97" spans="3:4">
      <c r="C97" s="35">
        <f>SUM(C68:C96)</f>
        <v>796797.09999999986</v>
      </c>
      <c r="D97" s="81">
        <f>SUM(D68:D96)</f>
        <v>1.0000000000000002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2" sqref="I2:I10"/>
    </sheetView>
  </sheetViews>
  <sheetFormatPr defaultColWidth="8.875"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>
        <v>510050</v>
      </c>
      <c r="B2" t="s">
        <v>112</v>
      </c>
      <c r="C2">
        <v>2700</v>
      </c>
      <c r="D2">
        <v>2700</v>
      </c>
      <c r="E2">
        <v>0</v>
      </c>
      <c r="F2">
        <v>0</v>
      </c>
      <c r="G2">
        <v>2.3370000000000002</v>
      </c>
      <c r="H2">
        <v>2.9630000000000001</v>
      </c>
      <c r="I2" s="56">
        <v>8000.1</v>
      </c>
      <c r="J2">
        <v>1688.6</v>
      </c>
      <c r="K2">
        <v>26.76</v>
      </c>
      <c r="L2" t="s">
        <v>7645</v>
      </c>
      <c r="M2" t="s">
        <v>7646</v>
      </c>
      <c r="N2">
        <v>666624701961</v>
      </c>
    </row>
    <row r="3" spans="1:14">
      <c r="A3">
        <v>510300</v>
      </c>
      <c r="B3" t="s">
        <v>113</v>
      </c>
      <c r="C3">
        <v>9100</v>
      </c>
      <c r="D3">
        <v>9100</v>
      </c>
      <c r="E3">
        <v>0</v>
      </c>
      <c r="F3">
        <v>0</v>
      </c>
      <c r="G3">
        <v>3.4470000000000001</v>
      </c>
      <c r="H3">
        <v>3.8769999999999998</v>
      </c>
      <c r="I3" s="56">
        <v>35280.699999999997</v>
      </c>
      <c r="J3">
        <v>3905.944</v>
      </c>
      <c r="K3">
        <v>12.45</v>
      </c>
      <c r="L3" t="s">
        <v>7645</v>
      </c>
      <c r="M3" t="s">
        <v>7646</v>
      </c>
      <c r="N3">
        <v>666624701961</v>
      </c>
    </row>
    <row r="4" spans="1:14">
      <c r="A4">
        <v>510500</v>
      </c>
      <c r="B4" t="s">
        <v>18</v>
      </c>
      <c r="C4">
        <v>38200</v>
      </c>
      <c r="D4">
        <v>38200</v>
      </c>
      <c r="E4">
        <v>0</v>
      </c>
      <c r="F4">
        <v>0</v>
      </c>
      <c r="G4">
        <v>5.6059999999999999</v>
      </c>
      <c r="H4">
        <v>5.2750000000000004</v>
      </c>
      <c r="I4" s="56">
        <v>201505</v>
      </c>
      <c r="J4">
        <v>-12684.501</v>
      </c>
      <c r="K4">
        <v>-5.92</v>
      </c>
      <c r="L4" t="s">
        <v>7645</v>
      </c>
      <c r="M4" t="s">
        <v>7646</v>
      </c>
      <c r="N4">
        <v>666624701961</v>
      </c>
    </row>
    <row r="5" spans="1:14">
      <c r="A5">
        <v>512580</v>
      </c>
      <c r="B5" t="s">
        <v>20</v>
      </c>
      <c r="C5">
        <v>33800</v>
      </c>
      <c r="D5">
        <v>33800</v>
      </c>
      <c r="E5">
        <v>0</v>
      </c>
      <c r="F5">
        <v>0</v>
      </c>
      <c r="G5">
        <v>0.877</v>
      </c>
      <c r="H5">
        <v>0.73</v>
      </c>
      <c r="I5" s="56">
        <v>24674</v>
      </c>
      <c r="J5">
        <v>-4973.5349999999999</v>
      </c>
      <c r="K5">
        <v>-16.78</v>
      </c>
      <c r="L5" t="s">
        <v>7645</v>
      </c>
      <c r="M5" t="s">
        <v>7646</v>
      </c>
      <c r="N5">
        <v>666624701961</v>
      </c>
    </row>
    <row r="6" spans="1:14">
      <c r="A6">
        <v>512880</v>
      </c>
      <c r="B6" t="s">
        <v>22</v>
      </c>
      <c r="C6">
        <v>32700</v>
      </c>
      <c r="D6">
        <v>32700</v>
      </c>
      <c r="E6">
        <v>0</v>
      </c>
      <c r="F6">
        <v>0</v>
      </c>
      <c r="G6">
        <v>0.78300000000000003</v>
      </c>
      <c r="H6">
        <v>0.94199999999999995</v>
      </c>
      <c r="I6" s="56">
        <v>30803.4</v>
      </c>
      <c r="J6">
        <v>5193.1390000000001</v>
      </c>
      <c r="K6">
        <v>20.28</v>
      </c>
      <c r="L6" t="s">
        <v>7645</v>
      </c>
      <c r="M6" t="s">
        <v>7646</v>
      </c>
      <c r="N6">
        <v>666624701961</v>
      </c>
    </row>
    <row r="7" spans="1:14">
      <c r="A7">
        <v>512980</v>
      </c>
      <c r="B7" t="s">
        <v>23</v>
      </c>
      <c r="C7">
        <v>34100</v>
      </c>
      <c r="D7">
        <v>34100</v>
      </c>
      <c r="E7">
        <v>0</v>
      </c>
      <c r="F7">
        <v>0</v>
      </c>
      <c r="G7">
        <v>0.86899999999999999</v>
      </c>
      <c r="H7">
        <v>0.72599999999999998</v>
      </c>
      <c r="I7" s="56">
        <v>24756.6</v>
      </c>
      <c r="J7">
        <v>-4881.2510000000002</v>
      </c>
      <c r="K7">
        <v>-16.47</v>
      </c>
      <c r="L7" t="s">
        <v>7645</v>
      </c>
      <c r="M7" t="s">
        <v>7646</v>
      </c>
      <c r="N7">
        <v>666624701961</v>
      </c>
    </row>
    <row r="8" spans="1:14">
      <c r="A8">
        <v>518880</v>
      </c>
      <c r="B8" t="s">
        <v>21</v>
      </c>
      <c r="C8">
        <v>4500</v>
      </c>
      <c r="D8">
        <v>4500</v>
      </c>
      <c r="E8">
        <v>0</v>
      </c>
      <c r="F8">
        <v>0</v>
      </c>
      <c r="G8">
        <v>2.8559999999999999</v>
      </c>
      <c r="H8">
        <v>3.3980000000000001</v>
      </c>
      <c r="I8" s="56">
        <v>15291</v>
      </c>
      <c r="J8">
        <v>2435.942</v>
      </c>
      <c r="K8">
        <v>18.95</v>
      </c>
      <c r="L8" t="s">
        <v>7645</v>
      </c>
      <c r="M8" t="s">
        <v>7646</v>
      </c>
      <c r="N8">
        <v>666624701961</v>
      </c>
    </row>
    <row r="9" spans="1:14">
      <c r="A9">
        <v>159915</v>
      </c>
      <c r="B9" t="s">
        <v>114</v>
      </c>
      <c r="C9">
        <v>9200</v>
      </c>
      <c r="D9">
        <v>9200</v>
      </c>
      <c r="E9">
        <v>0</v>
      </c>
      <c r="F9">
        <v>0</v>
      </c>
      <c r="G9">
        <v>1.399</v>
      </c>
      <c r="H9">
        <v>1.5549999999999999</v>
      </c>
      <c r="I9" s="56">
        <v>14306</v>
      </c>
      <c r="J9">
        <v>1432.3389999999999</v>
      </c>
      <c r="K9">
        <v>11.13</v>
      </c>
      <c r="L9" t="s">
        <v>7647</v>
      </c>
      <c r="M9">
        <v>184500716</v>
      </c>
      <c r="N9">
        <v>666624701961</v>
      </c>
    </row>
    <row r="10" spans="1:14">
      <c r="A10">
        <v>159938</v>
      </c>
      <c r="B10" t="s">
        <v>17</v>
      </c>
      <c r="C10">
        <v>14400</v>
      </c>
      <c r="D10">
        <v>14400</v>
      </c>
      <c r="E10">
        <v>0</v>
      </c>
      <c r="F10">
        <v>0</v>
      </c>
      <c r="G10">
        <v>1.2709999999999999</v>
      </c>
      <c r="H10">
        <v>1.3080000000000001</v>
      </c>
      <c r="I10" s="56">
        <v>18835.2</v>
      </c>
      <c r="J10">
        <v>529.03300000000002</v>
      </c>
      <c r="K10">
        <v>2.89</v>
      </c>
      <c r="L10" t="s">
        <v>7647</v>
      </c>
      <c r="M10">
        <v>184500716</v>
      </c>
      <c r="N10">
        <v>666624701961</v>
      </c>
    </row>
    <row r="11" spans="1:14">
      <c r="I11" s="56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G2" sqref="G2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43700</v>
      </c>
      <c r="E2" s="159">
        <v>1</v>
      </c>
      <c r="F2" s="158">
        <v>6.39</v>
      </c>
      <c r="G2" s="158">
        <v>6.39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43700</v>
      </c>
      <c r="E3" s="159">
        <v>1</v>
      </c>
      <c r="F3" s="158">
        <v>66208.09</v>
      </c>
      <c r="G3" s="158">
        <v>66208.09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43700</v>
      </c>
      <c r="E4" s="159">
        <v>0.94650000000000001</v>
      </c>
      <c r="F4" s="158">
        <v>63490</v>
      </c>
      <c r="G4" s="158">
        <v>60093.279999999999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43700</v>
      </c>
      <c r="E5" s="159">
        <v>1.6773</v>
      </c>
      <c r="F5" s="158">
        <v>4791.13</v>
      </c>
      <c r="G5" s="158">
        <v>8036.16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43699</v>
      </c>
      <c r="E6" s="159">
        <v>1.159</v>
      </c>
      <c r="F6" s="158">
        <v>16778.47</v>
      </c>
      <c r="G6" s="158">
        <v>19446.240000000002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43700</v>
      </c>
      <c r="E7" s="159">
        <v>1.4705999999999999</v>
      </c>
      <c r="F7" s="158">
        <v>4407.8999999999996</v>
      </c>
      <c r="G7" s="158">
        <v>6482.25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43698</v>
      </c>
      <c r="E8" s="159">
        <v>1.0960000000000001</v>
      </c>
      <c r="F8" s="158">
        <v>20716.63</v>
      </c>
      <c r="G8" s="158">
        <v>22705.42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43699</v>
      </c>
      <c r="E9" s="159">
        <v>1.3220000000000001</v>
      </c>
      <c r="F9" s="158">
        <v>5609.79</v>
      </c>
      <c r="G9" s="158">
        <v>7416.14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43700</v>
      </c>
      <c r="E10" s="159">
        <v>0.54820000000000002</v>
      </c>
      <c r="F10" s="158">
        <v>13403.92</v>
      </c>
      <c r="G10" s="158">
        <v>7348.02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43700</v>
      </c>
      <c r="E11" s="159">
        <v>0.81920000000000004</v>
      </c>
      <c r="F11" s="158">
        <v>41014.879999999997</v>
      </c>
      <c r="G11" s="158">
        <v>33599.379999999997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43700</v>
      </c>
      <c r="E12" s="159">
        <v>1.0782</v>
      </c>
      <c r="F12" s="158">
        <v>21163.93</v>
      </c>
      <c r="G12" s="158">
        <v>22818.94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43700</v>
      </c>
      <c r="E13" s="159">
        <v>0.73199999999999998</v>
      </c>
      <c r="F13" s="158">
        <v>7852.99</v>
      </c>
      <c r="G13" s="158">
        <v>5748.38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43700</v>
      </c>
      <c r="E14" s="159">
        <v>1.097</v>
      </c>
      <c r="F14" s="158">
        <v>65064.33</v>
      </c>
      <c r="G14" s="158">
        <v>71375.570000000007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43700</v>
      </c>
      <c r="E15" s="159">
        <v>1.792</v>
      </c>
      <c r="F15" s="158">
        <v>13050.52</v>
      </c>
      <c r="G15" s="158">
        <v>23386.53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43700</v>
      </c>
      <c r="E16" s="159">
        <v>1.665</v>
      </c>
      <c r="F16" s="158">
        <v>20086.63</v>
      </c>
      <c r="G16" s="158">
        <v>33444.230000000003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43700</v>
      </c>
      <c r="E17" s="159">
        <v>1.7549999999999999</v>
      </c>
      <c r="F17" s="158">
        <v>8557.7999999999993</v>
      </c>
      <c r="G17" s="158">
        <v>15018.93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43699</v>
      </c>
      <c r="E18" s="159">
        <v>0.39400000000000002</v>
      </c>
      <c r="F18" s="158">
        <v>37267.449999999997</v>
      </c>
      <c r="G18" s="158">
        <v>14683.37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43700</v>
      </c>
      <c r="E19" s="159">
        <v>1.1288</v>
      </c>
      <c r="F19" s="158">
        <v>32370.29</v>
      </c>
      <c r="G19" s="158">
        <v>36539.58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43700</v>
      </c>
      <c r="E20" s="159">
        <v>1.3332999999999999</v>
      </c>
      <c r="F20" s="158">
        <v>5328.62</v>
      </c>
      <c r="G20" s="158">
        <v>7104.64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49"/>
  <sheetViews>
    <sheetView workbookViewId="0">
      <selection activeCell="D28" sqref="D28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8" max="8" width="11.5" bestFit="1" customWidth="1"/>
  </cols>
  <sheetData>
    <row r="1" spans="1:12">
      <c r="A1" s="139">
        <v>1666</v>
      </c>
      <c r="B1" t="s">
        <v>7596</v>
      </c>
      <c r="C1" s="1">
        <v>6.39</v>
      </c>
      <c r="L1" s="139"/>
    </row>
    <row r="2" spans="1:12">
      <c r="A2" s="142">
        <v>510050</v>
      </c>
      <c r="B2" s="143" t="s">
        <v>38</v>
      </c>
      <c r="C2" s="144">
        <v>8000.1</v>
      </c>
    </row>
    <row r="3" spans="1:12">
      <c r="A3" s="142">
        <v>510300</v>
      </c>
      <c r="B3" s="143" t="s">
        <v>36</v>
      </c>
      <c r="C3" s="144">
        <v>35280.699999999997</v>
      </c>
      <c r="E3" s="138"/>
      <c r="F3" s="159"/>
    </row>
    <row r="4" spans="1:12">
      <c r="A4" s="142">
        <v>510500</v>
      </c>
      <c r="B4" s="143" t="s">
        <v>78</v>
      </c>
      <c r="C4" s="144">
        <v>201505</v>
      </c>
      <c r="E4" s="138"/>
      <c r="F4" s="159"/>
    </row>
    <row r="5" spans="1:12">
      <c r="A5" s="142">
        <v>512580</v>
      </c>
      <c r="B5" s="143" t="s">
        <v>7461</v>
      </c>
      <c r="C5" s="144">
        <v>24674</v>
      </c>
      <c r="E5" s="138"/>
      <c r="F5" s="159"/>
    </row>
    <row r="6" spans="1:12">
      <c r="A6" s="142">
        <v>512880</v>
      </c>
      <c r="B6" s="143" t="s">
        <v>48</v>
      </c>
      <c r="C6" s="144">
        <v>30803.4</v>
      </c>
      <c r="E6" s="138"/>
      <c r="F6" s="159"/>
    </row>
    <row r="7" spans="1:12">
      <c r="A7" s="142">
        <v>512980</v>
      </c>
      <c r="B7" s="143" t="s">
        <v>49</v>
      </c>
      <c r="C7" s="144">
        <v>24756.6</v>
      </c>
      <c r="E7" s="138"/>
      <c r="F7" s="159"/>
    </row>
    <row r="8" spans="1:12">
      <c r="A8" s="142">
        <v>518880</v>
      </c>
      <c r="B8" s="143" t="s">
        <v>7473</v>
      </c>
      <c r="C8" s="144">
        <v>15291</v>
      </c>
      <c r="E8" s="138"/>
      <c r="F8" s="159"/>
    </row>
    <row r="9" spans="1:12">
      <c r="A9" s="142">
        <v>159915</v>
      </c>
      <c r="B9" s="143" t="s">
        <v>143</v>
      </c>
      <c r="C9" s="144">
        <v>14306</v>
      </c>
      <c r="E9" s="138"/>
      <c r="F9" s="159"/>
    </row>
    <row r="10" spans="1:12">
      <c r="A10" s="142">
        <v>159938</v>
      </c>
      <c r="B10" s="143" t="s">
        <v>7457</v>
      </c>
      <c r="C10" s="144">
        <v>18835.2</v>
      </c>
      <c r="E10" s="138"/>
      <c r="F10" s="159"/>
    </row>
    <row r="11" spans="1:12">
      <c r="A11" s="145">
        <v>1666</v>
      </c>
      <c r="B11" s="146" t="s">
        <v>7649</v>
      </c>
      <c r="C11" s="147">
        <v>6.39</v>
      </c>
      <c r="E11" s="138"/>
      <c r="F11" s="159"/>
      <c r="G11" s="138"/>
      <c r="H11" s="159"/>
      <c r="I11" s="158"/>
      <c r="J11" s="158"/>
    </row>
    <row r="12" spans="1:12">
      <c r="A12" s="145">
        <v>3474</v>
      </c>
      <c r="B12" s="146" t="s">
        <v>7650</v>
      </c>
      <c r="C12" s="147">
        <v>66208.09</v>
      </c>
      <c r="E12" s="138"/>
      <c r="F12" s="159"/>
      <c r="G12" s="138"/>
      <c r="H12" s="159"/>
      <c r="I12" s="158"/>
      <c r="J12" s="158"/>
    </row>
    <row r="13" spans="1:12">
      <c r="A13" s="145">
        <v>968</v>
      </c>
      <c r="B13" s="146" t="s">
        <v>7651</v>
      </c>
      <c r="C13" s="147">
        <v>60093.279999999999</v>
      </c>
      <c r="E13" s="138"/>
      <c r="F13" s="159"/>
      <c r="G13" s="138"/>
      <c r="H13" s="159"/>
      <c r="I13" s="158"/>
      <c r="J13" s="158"/>
    </row>
    <row r="14" spans="1:12">
      <c r="A14" s="145">
        <v>110026</v>
      </c>
      <c r="B14" s="146" t="s">
        <v>7652</v>
      </c>
      <c r="C14" s="147">
        <v>8036.16</v>
      </c>
      <c r="E14" s="138"/>
      <c r="F14" s="159"/>
      <c r="G14" s="138"/>
      <c r="H14" s="159"/>
      <c r="I14" s="158"/>
      <c r="J14" s="158"/>
    </row>
    <row r="15" spans="1:12">
      <c r="A15" s="145">
        <v>164906</v>
      </c>
      <c r="B15" s="146" t="s">
        <v>7296</v>
      </c>
      <c r="C15" s="147">
        <v>19446.240000000002</v>
      </c>
      <c r="E15" s="138"/>
      <c r="F15" s="159"/>
      <c r="G15" s="138"/>
      <c r="H15" s="159"/>
      <c r="I15" s="158"/>
      <c r="J15" s="158"/>
    </row>
    <row r="16" spans="1:12">
      <c r="A16" s="145">
        <v>71</v>
      </c>
      <c r="B16" s="146" t="s">
        <v>7653</v>
      </c>
      <c r="C16" s="147">
        <v>6482.25</v>
      </c>
      <c r="E16" s="138"/>
      <c r="F16" s="159"/>
      <c r="G16" s="138"/>
      <c r="H16" s="159"/>
      <c r="I16" s="158"/>
      <c r="J16" s="158"/>
    </row>
    <row r="17" spans="1:11">
      <c r="A17" s="145">
        <v>614</v>
      </c>
      <c r="B17" s="146" t="s">
        <v>7654</v>
      </c>
      <c r="C17" s="147">
        <v>22705.42</v>
      </c>
      <c r="E17" s="138"/>
      <c r="F17" s="159"/>
      <c r="G17" s="138"/>
      <c r="H17" s="159"/>
      <c r="I17" s="158"/>
      <c r="J17" s="158"/>
    </row>
    <row r="18" spans="1:11">
      <c r="A18" s="145">
        <v>1061</v>
      </c>
      <c r="B18" s="146" t="s">
        <v>7655</v>
      </c>
      <c r="C18" s="147">
        <v>7416.14</v>
      </c>
      <c r="E18" s="138"/>
      <c r="F18" s="159"/>
      <c r="G18" s="138"/>
      <c r="H18" s="159"/>
      <c r="I18" s="158"/>
      <c r="J18" s="158"/>
    </row>
    <row r="19" spans="1:11">
      <c r="A19" s="145">
        <v>1064</v>
      </c>
      <c r="B19" s="146" t="s">
        <v>7656</v>
      </c>
      <c r="C19" s="147">
        <v>7348.02</v>
      </c>
      <c r="E19" s="138"/>
      <c r="F19" s="159"/>
      <c r="G19" s="138"/>
      <c r="H19" s="159"/>
      <c r="I19" s="158"/>
      <c r="J19" s="158"/>
    </row>
    <row r="20" spans="1:11">
      <c r="A20" s="145">
        <v>1180</v>
      </c>
      <c r="B20" s="146" t="s">
        <v>7657</v>
      </c>
      <c r="C20" s="147">
        <v>33599.379999999997</v>
      </c>
      <c r="E20" s="138"/>
      <c r="F20" s="159"/>
      <c r="G20" s="138"/>
      <c r="H20" s="159"/>
      <c r="I20" s="158"/>
      <c r="J20" s="158"/>
    </row>
    <row r="21" spans="1:11">
      <c r="A21" s="145">
        <v>1469</v>
      </c>
      <c r="B21" s="146" t="s">
        <v>32</v>
      </c>
      <c r="C21" s="147">
        <v>22818.94</v>
      </c>
      <c r="E21" s="138"/>
      <c r="F21" s="159"/>
      <c r="G21" s="138"/>
      <c r="H21" s="159"/>
      <c r="I21" s="158"/>
      <c r="J21" s="158"/>
    </row>
    <row r="22" spans="1:11">
      <c r="A22" s="145">
        <v>4752</v>
      </c>
      <c r="B22" s="146" t="s">
        <v>7564</v>
      </c>
      <c r="C22" s="147">
        <v>5748.38</v>
      </c>
      <c r="G22" s="138"/>
      <c r="H22" s="159"/>
      <c r="I22" s="158"/>
      <c r="J22" s="158"/>
    </row>
    <row r="23" spans="1:11">
      <c r="A23" s="145">
        <v>100032</v>
      </c>
      <c r="B23" s="146" t="s">
        <v>7658</v>
      </c>
      <c r="C23" s="147">
        <v>71375.570000000007</v>
      </c>
      <c r="G23" s="138"/>
      <c r="H23" s="159"/>
      <c r="I23" s="158"/>
      <c r="J23" s="158"/>
    </row>
    <row r="24" spans="1:11">
      <c r="A24" s="145">
        <v>100038</v>
      </c>
      <c r="B24" s="146" t="s">
        <v>7659</v>
      </c>
      <c r="C24" s="147">
        <v>23386.53</v>
      </c>
      <c r="G24" s="138"/>
      <c r="H24" s="159"/>
      <c r="I24" s="158"/>
      <c r="J24" s="158"/>
    </row>
    <row r="25" spans="1:11">
      <c r="A25" s="145">
        <v>110027</v>
      </c>
      <c r="B25" s="146" t="s">
        <v>7313</v>
      </c>
      <c r="C25" s="147">
        <v>33444.230000000003</v>
      </c>
      <c r="G25" s="138"/>
      <c r="H25" s="159"/>
      <c r="I25" s="158"/>
      <c r="J25" s="158"/>
    </row>
    <row r="26" spans="1:11">
      <c r="A26" s="145">
        <v>161017</v>
      </c>
      <c r="B26" s="146" t="s">
        <v>7660</v>
      </c>
      <c r="C26" s="147">
        <v>15018.93</v>
      </c>
      <c r="G26" s="138"/>
      <c r="H26" s="159"/>
      <c r="I26" s="138"/>
      <c r="J26" s="159"/>
    </row>
    <row r="27" spans="1:11">
      <c r="A27" s="145">
        <v>162411</v>
      </c>
      <c r="B27" s="146" t="s">
        <v>7661</v>
      </c>
      <c r="C27" s="147">
        <v>14683.37</v>
      </c>
      <c r="G27" s="138"/>
      <c r="H27" s="159"/>
      <c r="I27" s="138"/>
      <c r="J27" s="159"/>
    </row>
    <row r="28" spans="1:11">
      <c r="A28" s="145">
        <v>340001</v>
      </c>
      <c r="B28" s="146" t="s">
        <v>31</v>
      </c>
      <c r="C28" s="147">
        <v>36539.58</v>
      </c>
      <c r="G28" s="138"/>
      <c r="H28" s="159"/>
      <c r="I28" s="138"/>
      <c r="J28" s="159"/>
    </row>
    <row r="29" spans="1:11">
      <c r="A29" s="145">
        <v>519977</v>
      </c>
      <c r="B29" s="146" t="s">
        <v>7312</v>
      </c>
      <c r="C29" s="147">
        <v>7104.64</v>
      </c>
      <c r="G29" s="138"/>
      <c r="H29" s="159"/>
      <c r="I29" s="138"/>
      <c r="J29" s="159"/>
    </row>
    <row r="30" spans="1:11">
      <c r="I30" s="138"/>
      <c r="J30" s="159"/>
    </row>
    <row r="31" spans="1:11">
      <c r="I31" s="138"/>
      <c r="J31" s="159"/>
      <c r="K31" s="138"/>
    </row>
    <row r="32" spans="1:11">
      <c r="I32" s="138"/>
      <c r="J32" s="159"/>
      <c r="K32" s="138"/>
    </row>
    <row r="33" spans="9:11">
      <c r="I33" s="138"/>
      <c r="J33" s="159"/>
      <c r="K33" s="138"/>
    </row>
    <row r="34" spans="9:11">
      <c r="I34" s="138"/>
      <c r="J34" s="159"/>
      <c r="K34" s="138"/>
    </row>
    <row r="35" spans="9:11">
      <c r="I35" s="138"/>
      <c r="J35" s="159"/>
      <c r="K35" s="138"/>
    </row>
    <row r="36" spans="9:11">
      <c r="I36" s="138"/>
      <c r="J36" s="159"/>
      <c r="K36" s="138"/>
    </row>
    <row r="37" spans="9:11">
      <c r="I37" s="138"/>
      <c r="J37" s="159"/>
      <c r="K37" s="138"/>
    </row>
    <row r="38" spans="9:11">
      <c r="I38" s="138"/>
      <c r="J38" s="159"/>
      <c r="K38" s="138"/>
    </row>
    <row r="39" spans="9:11">
      <c r="I39" s="138"/>
      <c r="J39" s="159"/>
      <c r="K39" s="138"/>
    </row>
    <row r="40" spans="9:11">
      <c r="I40" s="138"/>
      <c r="J40" s="159"/>
      <c r="K40" s="138"/>
    </row>
    <row r="41" spans="9:11">
      <c r="I41" s="138"/>
      <c r="J41" s="159"/>
      <c r="K41" s="138"/>
    </row>
    <row r="42" spans="9:11">
      <c r="K42" s="138"/>
    </row>
    <row r="43" spans="9:11">
      <c r="K43" s="138"/>
    </row>
    <row r="44" spans="9:11">
      <c r="K44" s="138"/>
    </row>
    <row r="45" spans="9:11">
      <c r="K45" s="138"/>
    </row>
    <row r="46" spans="9:11">
      <c r="K46" s="138"/>
    </row>
    <row r="47" spans="9:11">
      <c r="K47" s="138"/>
    </row>
    <row r="48" spans="9:11">
      <c r="K48" s="138"/>
    </row>
    <row r="49" spans="11:11">
      <c r="K49" s="138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0.28365731249999998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6.5635124999999968E-3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8.0000000000000002E-3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0.28365731249999998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0.20119381576429357</v>
      </c>
    </row>
    <row r="39" spans="1:16">
      <c r="A39" s="96" t="str">
        <f t="shared" ref="A39:B39" si="21">A6</f>
        <v>中证1000</v>
      </c>
      <c r="B39" s="104">
        <f t="shared" si="21"/>
        <v>6.5635124999999968E-3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4.4945662491367505E-3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0.95265857124999997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0.76633689238100178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0.28365731249999998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0.8180982133169642</v>
      </c>
    </row>
    <row r="64" spans="1:16">
      <c r="A64" s="96" t="str">
        <f t="shared" ref="A64:B64" si="66">A39</f>
        <v>中证1000</v>
      </c>
      <c r="B64" s="104">
        <f t="shared" si="66"/>
        <v>6.5635124999999968E-3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1.9229972305611218E-2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0.95265857124999997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2.4126105865354548</v>
      </c>
    </row>
    <row r="83" spans="1:16">
      <c r="P83" s="105" t="s">
        <v>7530</v>
      </c>
    </row>
    <row r="84" spans="1:16">
      <c r="P84" s="111">
        <f>P82*0.7</f>
        <v>1.6888274105748182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0.1237</v>
      </c>
      <c r="D2" s="35">
        <f>交易明细!Y16</f>
        <v>8.5232422844980498</v>
      </c>
      <c r="E2" s="83">
        <v>14.95</v>
      </c>
      <c r="F2" s="34">
        <f t="shared" ref="F2:F15" si="0">$E2*$K$4/$D2-1</f>
        <v>-0.47379179773438418</v>
      </c>
      <c r="G2" s="34">
        <f t="shared" ref="G2:G15" si="1">$E2*$K$6/$D2-1</f>
        <v>-0.12298632955730682</v>
      </c>
      <c r="H2" s="34">
        <f t="shared" ref="H2:H15" si="2">$E2*$K$8/$D2-1</f>
        <v>0.22781913861977032</v>
      </c>
      <c r="I2" s="34">
        <f t="shared" ref="I2:I15" si="3">$E2*$K$10/$D2-1</f>
        <v>0.75402734088538637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0.12039999999999999</v>
      </c>
      <c r="D3" s="35">
        <f>交易明细!Y17</f>
        <v>11.599888305558563</v>
      </c>
      <c r="E3" s="35">
        <v>19</v>
      </c>
      <c r="F3" s="34">
        <f t="shared" si="0"/>
        <v>-0.50861595820119998</v>
      </c>
      <c r="G3" s="34">
        <f t="shared" si="1"/>
        <v>-0.18102659700200008</v>
      </c>
      <c r="H3" s="34">
        <f t="shared" si="2"/>
        <v>0.14656276419719982</v>
      </c>
      <c r="I3" s="34">
        <f t="shared" si="3"/>
        <v>0.63794680599599984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0.28365731249999998</v>
      </c>
      <c r="C4" s="34">
        <f>交易明细!X19</f>
        <v>7.7899999999999997E-2</v>
      </c>
      <c r="D4" s="35">
        <f>交易明细!Y19</f>
        <v>24.866104798327957</v>
      </c>
      <c r="E4" s="35">
        <v>83.24</v>
      </c>
      <c r="F4" s="34">
        <f t="shared" si="0"/>
        <v>4.25861639894487E-3</v>
      </c>
      <c r="G4" s="34">
        <f t="shared" si="1"/>
        <v>0.67376436066490819</v>
      </c>
      <c r="H4" s="34">
        <f t="shared" si="2"/>
        <v>1.3432701049308715</v>
      </c>
      <c r="I4" s="34">
        <f t="shared" si="3"/>
        <v>2.3475287213298164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6.5635124999999968E-3</v>
      </c>
      <c r="C5" s="34">
        <f>交易明细!X21</f>
        <v>5.8900000000000001E-2</v>
      </c>
      <c r="D5" s="35">
        <f>交易明细!Y21</f>
        <v>8.2085602981460717</v>
      </c>
      <c r="E5" s="35">
        <v>144.82</v>
      </c>
      <c r="F5" s="34">
        <f t="shared" si="0"/>
        <v>4.2927673577317096</v>
      </c>
      <c r="G5" s="34">
        <f t="shared" si="1"/>
        <v>7.8212789295528484</v>
      </c>
      <c r="H5" s="34">
        <f t="shared" si="2"/>
        <v>11.349790501373988</v>
      </c>
      <c r="I5" s="34">
        <f t="shared" si="3"/>
        <v>16.642557859105697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9.1399999999999995E-2</v>
      </c>
      <c r="D6" s="35">
        <f>交易明细!Y22</f>
        <v>47.662037062650192</v>
      </c>
      <c r="E6" s="35">
        <v>137.86000000000001</v>
      </c>
      <c r="F6" s="34">
        <f t="shared" si="0"/>
        <v>-0.13226537200589517</v>
      </c>
      <c r="G6" s="34">
        <f t="shared" si="1"/>
        <v>0.44622437999017484</v>
      </c>
      <c r="H6" s="34">
        <f t="shared" si="2"/>
        <v>1.0247141319862449</v>
      </c>
      <c r="I6" s="34">
        <f t="shared" si="3"/>
        <v>1.8924487599803497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0.13300000000000001</v>
      </c>
      <c r="D7" s="35">
        <f>交易明细!Y15</f>
        <v>9.6572736806592161</v>
      </c>
      <c r="E7" s="35">
        <v>21.73</v>
      </c>
      <c r="F7" s="34">
        <f t="shared" si="0"/>
        <v>-0.32496476587841649</v>
      </c>
      <c r="G7" s="34">
        <f t="shared" si="1"/>
        <v>0.12505872353597236</v>
      </c>
      <c r="H7" s="34">
        <f t="shared" si="2"/>
        <v>0.57508221295036122</v>
      </c>
      <c r="I7" s="34">
        <f t="shared" si="3"/>
        <v>1.2501174470719447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0.13789999999999999</v>
      </c>
      <c r="D8" s="35">
        <f>交易明细!Y26</f>
        <v>23.374902334065006</v>
      </c>
      <c r="E8" s="35">
        <v>52.47</v>
      </c>
      <c r="F8" s="34">
        <f t="shared" si="0"/>
        <v>-0.3265854216186338</v>
      </c>
      <c r="G8" s="34">
        <f t="shared" si="1"/>
        <v>0.12235763063561045</v>
      </c>
      <c r="H8" s="34">
        <f t="shared" si="2"/>
        <v>0.57130068288985458</v>
      </c>
      <c r="I8" s="34">
        <f t="shared" si="3"/>
        <v>1.2447152612712209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0.1031</v>
      </c>
      <c r="D9" s="35">
        <f>交易明细!Y24</f>
        <v>28.748277920015322</v>
      </c>
      <c r="E9" s="35">
        <v>74.42</v>
      </c>
      <c r="F9" s="34">
        <f t="shared" si="0"/>
        <v>-0.22339696095479722</v>
      </c>
      <c r="G9" s="34">
        <f t="shared" si="1"/>
        <v>0.29433839840867138</v>
      </c>
      <c r="H9" s="34">
        <f t="shared" si="2"/>
        <v>0.81207375777213975</v>
      </c>
      <c r="I9" s="34">
        <f t="shared" si="3"/>
        <v>1.5886767968173428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7.5999999999999998E-2</v>
      </c>
      <c r="D10" s="35">
        <f>交易明细!Y30</f>
        <v>38.255388682406576</v>
      </c>
      <c r="E10" s="35">
        <v>121.16</v>
      </c>
      <c r="F10" s="34">
        <f t="shared" si="0"/>
        <v>-4.9859346567919571E-2</v>
      </c>
      <c r="G10" s="34">
        <f t="shared" si="1"/>
        <v>0.58356775572013397</v>
      </c>
      <c r="H10" s="34">
        <f t="shared" si="2"/>
        <v>1.2169948580081877</v>
      </c>
      <c r="I10" s="34">
        <f t="shared" si="3"/>
        <v>2.1671355114402679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0.1003</v>
      </c>
      <c r="D11" s="35">
        <f>交易明细!Y28</f>
        <v>31.595382679973955</v>
      </c>
      <c r="E11" s="35">
        <v>71.13</v>
      </c>
      <c r="F11" s="34">
        <f t="shared" si="0"/>
        <v>-0.32461650437532885</v>
      </c>
      <c r="G11" s="34">
        <f t="shared" si="1"/>
        <v>0.12563915937445191</v>
      </c>
      <c r="H11" s="34">
        <f t="shared" si="2"/>
        <v>0.57589482312423246</v>
      </c>
      <c r="I11" s="34">
        <f t="shared" si="3"/>
        <v>1.2512783187489038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0.19520000000000001</v>
      </c>
      <c r="D12" s="35">
        <f>交易明细!Y32</f>
        <v>54.910294674062087</v>
      </c>
      <c r="E12" s="35">
        <v>41.41</v>
      </c>
      <c r="F12" s="34">
        <f t="shared" si="0"/>
        <v>-0.77375827112673945</v>
      </c>
      <c r="G12" s="34">
        <f t="shared" si="1"/>
        <v>-0.62293045187789908</v>
      </c>
      <c r="H12" s="34">
        <f t="shared" si="2"/>
        <v>-0.47210263262905872</v>
      </c>
      <c r="I12" s="34">
        <f t="shared" si="3"/>
        <v>-0.24586090375579805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0.1237</v>
      </c>
      <c r="D13" s="35">
        <f>交易明细!Z33</f>
        <v>1.0018003325658735</v>
      </c>
      <c r="E13" s="35">
        <v>3.5</v>
      </c>
      <c r="F13" s="34">
        <f t="shared" si="0"/>
        <v>4.8113047947063947E-2</v>
      </c>
      <c r="G13" s="34">
        <f t="shared" si="1"/>
        <v>0.74685507991177325</v>
      </c>
      <c r="H13" s="34">
        <f t="shared" si="2"/>
        <v>1.4455971118764821</v>
      </c>
      <c r="I13" s="34">
        <f t="shared" si="3"/>
        <v>2.4937101598235465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1.3614954629140785</v>
      </c>
      <c r="E14" s="83">
        <v>5.04</v>
      </c>
      <c r="F14" s="34">
        <f t="shared" si="0"/>
        <v>0.11054354655269205</v>
      </c>
      <c r="G14" s="34">
        <f t="shared" si="1"/>
        <v>0.85090591092115342</v>
      </c>
      <c r="H14" s="34">
        <f t="shared" si="2"/>
        <v>1.5912682752896146</v>
      </c>
      <c r="I14" s="34">
        <f t="shared" si="3"/>
        <v>2.7018118218423068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9.4297535721681509</v>
      </c>
      <c r="E15" s="35">
        <v>14.46</v>
      </c>
      <c r="F15" s="34">
        <f t="shared" si="0"/>
        <v>-0.53996676935401844</v>
      </c>
      <c r="G15" s="34">
        <f t="shared" si="1"/>
        <v>-0.23327794892336395</v>
      </c>
      <c r="H15" s="34">
        <f t="shared" si="2"/>
        <v>7.3410871507290532E-2</v>
      </c>
      <c r="I15" s="34">
        <f t="shared" si="3"/>
        <v>0.53344410215327209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7.766497461928934E-2</v>
      </c>
      <c r="D17" s="35">
        <f>交易明细!Y34</f>
        <v>19.482473715373903</v>
      </c>
      <c r="E17" s="83">
        <v>24.7</v>
      </c>
      <c r="F17" s="34">
        <f>$E17*$K$4/$D17-1</f>
        <v>-0.61965815490090148</v>
      </c>
      <c r="G17" s="34">
        <f>$E17*$K$6/$D17-1</f>
        <v>-0.3660969248348358</v>
      </c>
      <c r="H17" s="34">
        <f>$E17*$K$8/$D17-1</f>
        <v>-0.11253569476877012</v>
      </c>
      <c r="I17" s="34">
        <f>$E17*$K$10/$D17-1</f>
        <v>0.2678061503303284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6.1842449999999993E-2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0.31430643749999998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8.7999999999999995E-2</v>
      </c>
      <c r="H25" s="34">
        <f>SUM(B18:B18)</f>
        <v>2.4E-2</v>
      </c>
      <c r="I25" s="34">
        <f>SUM(B20:B21)</f>
        <v>6.8273849999999997E-2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0.13030643749999998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-7.1426149999999994E-2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-9.9892310421047792E-2</v>
      </c>
      <c r="D30" s="34">
        <f>($B30/$D$2)^(1/$D$29)-1+$C$2*$K$2</f>
        <v>-2.7733750759979692E-2</v>
      </c>
      <c r="E30" s="34">
        <f>($B30/$D$2)^(1/$E$29)-1+$C$2*$K$2</f>
        <v>5.1331866098046075E-3</v>
      </c>
      <c r="F30" s="34">
        <f>($B30/$D$2)^(1/$F$29)-1+$C$2*$K$2</f>
        <v>3.0586947695283084E-2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-3.0241262649616601E-2</v>
      </c>
      <c r="K30" s="93">
        <f t="shared" si="5"/>
        <v>6.1462799923991424E-2</v>
      </c>
      <c r="L30" s="93">
        <f t="shared" si="5"/>
        <v>0.10355833238237272</v>
      </c>
      <c r="M30" s="93">
        <f t="shared" si="5"/>
        <v>0.13627988978908626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4.997374601977661E-2</v>
      </c>
      <c r="D31" s="34">
        <f>($B31/$D$2)^(1/$D$29)-1+$C$2*$K$2</f>
        <v>6.6869906839639726E-2</v>
      </c>
      <c r="E31" s="34">
        <f>($B31/$D$2)^(1/$E$29)-1+$C$2*$K$2</f>
        <v>7.4202113412347004E-2</v>
      </c>
      <c r="F31" s="34">
        <f>($B31/$D$2)^(1/$F$29)-1+$C$2*$K$2</f>
        <v>7.9737464757216381E-2</v>
      </c>
      <c r="H31" s="83" t="s">
        <v>7503</v>
      </c>
      <c r="I31" s="92">
        <f>K6</f>
        <v>0.5</v>
      </c>
      <c r="J31" s="93">
        <f t="shared" si="5"/>
        <v>0.24544170841944016</v>
      </c>
      <c r="K31" s="93">
        <f t="shared" si="5"/>
        <v>0.23107513465767027</v>
      </c>
      <c r="L31" s="93">
        <f t="shared" si="5"/>
        <v>0.22611599242465846</v>
      </c>
      <c r="M31" s="93">
        <f t="shared" si="5"/>
        <v>0.22284161703666147</v>
      </c>
    </row>
    <row r="32" spans="1:16">
      <c r="B32" s="35">
        <f>E$2*$K$8</f>
        <v>10.464999999999998</v>
      </c>
      <c r="C32" s="34">
        <f>($B32/$D$2)^(1/$C$29)-1+$C$2*$K$2</f>
        <v>0.16358265254650334</v>
      </c>
      <c r="D32" s="34">
        <f>($B32/$D$2)^(1/$D$29)-1+$C$2*$K$2</f>
        <v>0.13467701929662285</v>
      </c>
      <c r="E32" s="34">
        <f>($B32/$D$2)^(1/$E$29)-1+$C$2*$K$2</f>
        <v>0.12252899503840825</v>
      </c>
      <c r="F32" s="34">
        <f>($B32/$D$2)^(1/$F$29)-1+$C$2*$K$2</f>
        <v>0.11351101841838757</v>
      </c>
      <c r="H32" s="83" t="s">
        <v>7504</v>
      </c>
      <c r="I32" s="92">
        <f>K8</f>
        <v>0.7</v>
      </c>
      <c r="J32" s="93">
        <f t="shared" si="5"/>
        <v>0.45442859734556451</v>
      </c>
      <c r="K32" s="93">
        <f t="shared" si="5"/>
        <v>0.3526446695698629</v>
      </c>
      <c r="L32" s="93">
        <f t="shared" si="5"/>
        <v>0.31186844006530456</v>
      </c>
      <c r="M32" s="93">
        <f t="shared" si="5"/>
        <v>0.28232211317296507</v>
      </c>
    </row>
    <row r="33" spans="1:13">
      <c r="B33" s="35">
        <f>E$2*$K$10</f>
        <v>14.95</v>
      </c>
      <c r="C33" s="34">
        <f>($B33/$D$2)^(1/$C$29)-1+$C$2*$K$2</f>
        <v>0.29876984904329301</v>
      </c>
      <c r="D33" s="34">
        <f>($B33/$D$2)^(1/$D$29)-1+$C$2*$K$2</f>
        <v>0.21171621709768423</v>
      </c>
      <c r="E33" s="34">
        <f>($B33/$D$2)^(1/$E$29)-1+$C$2*$K$2</f>
        <v>0.17635838435373169</v>
      </c>
      <c r="F33" s="34">
        <f>($B33/$D$2)^(1/$F$29)-1+$C$2*$K$2</f>
        <v>0.1505751782461961</v>
      </c>
      <c r="I33" s="92">
        <f>K10</f>
        <v>1</v>
      </c>
      <c r="J33" s="93">
        <f t="shared" si="5"/>
        <v>0.70310937847659516</v>
      </c>
      <c r="K33" s="93">
        <f t="shared" si="5"/>
        <v>0.49076616018229607</v>
      </c>
      <c r="L33" s="93">
        <f t="shared" si="5"/>
        <v>0.40738467727066385</v>
      </c>
      <c r="M33" s="93">
        <f t="shared" si="5"/>
        <v>0.34759788005111508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-0.12058490806273797</v>
      </c>
      <c r="D35" s="34">
        <f>($B35/$D$3)^(1/$D$29)-1+$C$3*$K$2</f>
        <v>-4.2170584066417771E-2</v>
      </c>
      <c r="E35" s="34">
        <f>($B35/$D$3)^(1/$E$29)-1+$C$3*$K$2</f>
        <v>-6.2226016404262618E-3</v>
      </c>
      <c r="F35" s="34">
        <f>($B35/$D$3)^(1/$F$29)-1+$C$3*$K$2</f>
        <v>2.1712591676525672E-2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2.5899395661235836E-2</v>
      </c>
      <c r="D36" s="34">
        <f>($B36/$D$3)^(1/$D$29)-1+$C$3*$K$2</f>
        <v>5.1146382865882523E-2</v>
      </c>
      <c r="E36" s="34">
        <f>($B36/$D$3)^(1/$E$29)-1+$C$3*$K$2</f>
        <v>6.2174016278821742E-2</v>
      </c>
      <c r="F36" s="34">
        <f>($B36/$D$3)^(1/$F$29)-1+$C$3*$K$2</f>
        <v>7.0527719902820529E-2</v>
      </c>
    </row>
    <row r="37" spans="1:13">
      <c r="B37" s="35">
        <f>$E$3*$K$8</f>
        <v>13.299999999999999</v>
      </c>
      <c r="C37" s="34">
        <f>($B37/$D$3)^(1/$C$29)-1+$C$3*$K$2</f>
        <v>0.13694469814426208</v>
      </c>
      <c r="D37" s="34">
        <f>($B37/$D$3)^(1/$D$29)-1+$C$3*$K$2</f>
        <v>0.11803126059124985</v>
      </c>
      <c r="E37" s="34">
        <f>($B37/$D$3)^(1/$E$29)-1+$C$3*$K$2</f>
        <v>0.1100304896717858</v>
      </c>
      <c r="F37" s="34">
        <f>($B37/$D$3)^(1/$F$29)-1+$C$3*$K$2</f>
        <v>0.10407081265503487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0.26908137286251316</v>
      </c>
      <c r="D38" s="34">
        <f>($B38/$D$3)^(1/$D$29)-1+$C$3*$K$2</f>
        <v>0.19402265940289037</v>
      </c>
      <c r="E38" s="34">
        <f>($B38/$D$3)^(1/$E$29)-1+$C$3*$K$2</f>
        <v>0.16333590998549913</v>
      </c>
      <c r="F38" s="34">
        <f>($B38/$D$3)^(1/$F$29)-1+$C$3*$K$2</f>
        <v>0.14088205743430166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5.9842528463249826E-2</v>
      </c>
      <c r="D40" s="34">
        <f>($B40/$D$4)^(1/$D$29)-1+$C$4*$K$2</f>
        <v>5.9275276110889279E-2</v>
      </c>
      <c r="E40" s="34">
        <f>($B40/$D$4)^(1/$E$29)-1+$C$4*$K$2</f>
        <v>5.9032266333682241E-2</v>
      </c>
      <c r="F40" s="34">
        <f>($B40/$D$4)^(1/$F$29)-1+$C$4*$K$2</f>
        <v>5.8850047722661496E-2</v>
      </c>
    </row>
    <row r="41" spans="1:13">
      <c r="A41" s="82">
        <f>B4</f>
        <v>0.28365731249999998</v>
      </c>
      <c r="B41" s="83">
        <f>$E$4*$K$6</f>
        <v>41.62</v>
      </c>
      <c r="C41" s="34">
        <f>($B41/$D$4)^(1/$C$29)-1+$C$4*$K$2</f>
        <v>0.24573676732997335</v>
      </c>
      <c r="D41" s="34">
        <f>($B41/$D$4)^(1/$D$29)-1+$C$4*$K$2</f>
        <v>0.16693308045117911</v>
      </c>
      <c r="E41" s="34">
        <f>($B41/$D$4)^(1/$E$29)-1+$C$4*$K$2</f>
        <v>0.13478197850900614</v>
      </c>
      <c r="F41" s="34">
        <f>($B41/$D$4)^(1/$F$29)-1+$C$4*$K$2</f>
        <v>0.1112821035288592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0.38665754491516152</v>
      </c>
      <c r="D42" s="34">
        <f>($B42/$D$4)^(1/$D$29)-1+$C$4*$K$2</f>
        <v>0.24409674442566059</v>
      </c>
      <c r="E42" s="34">
        <f>($B42/$D$4)^(1/$E$29)-1+$C$4*$K$2</f>
        <v>0.18778334313090933</v>
      </c>
      <c r="F42" s="34">
        <f>($B42/$D$4)^(1/$F$29)-1+$C$4*$K$2</f>
        <v>0.14731055157356204</v>
      </c>
    </row>
    <row r="43" spans="1:13">
      <c r="B43" s="83">
        <f>$E$4*$K$10</f>
        <v>83.24</v>
      </c>
      <c r="C43" s="34">
        <f>($B43/$D$4)^(1/$C$29)-1+$C$4*$K$2</f>
        <v>0.55434408844691729</v>
      </c>
      <c r="D43" s="34">
        <f>($B43/$D$4)^(1/$D$29)-1+$C$4*$K$2</f>
        <v>0.3317664085151904</v>
      </c>
      <c r="E43" s="34">
        <f>($B43/$D$4)^(1/$E$29)-1+$C$4*$K$2</f>
        <v>0.24681945294142255</v>
      </c>
      <c r="F43" s="34">
        <f>($B43/$D$4)^(1/$F$29)-1+$C$4*$K$2</f>
        <v>0.18684930340505806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0.78689494533772553</v>
      </c>
      <c r="D45" s="34">
        <f>($B45/$D$5)^(1/$D$29)-1+$C$5*$K$2</f>
        <v>0.43969659388851839</v>
      </c>
      <c r="E45" s="34">
        <f>($B45/$D$5)^(1/$E$29)-1+$C$5*$K$2</f>
        <v>0.31294604192845282</v>
      </c>
      <c r="F45" s="34">
        <f>($B45/$D$5)^(1/$F$29)-1+$C$5*$K$2</f>
        <v>0.22549696876572081</v>
      </c>
      <c r="I45" s="94" t="s">
        <v>7524</v>
      </c>
    </row>
    <row r="46" spans="1:13">
      <c r="A46" s="82">
        <f>B5</f>
        <v>6.5635124999999968E-3</v>
      </c>
      <c r="B46" s="83">
        <f>$E$5*$K$6</f>
        <v>72.41</v>
      </c>
      <c r="C46" s="34">
        <f>($B46/$D$5)^(1/$C$29)-1+$C$5*$K$2</f>
        <v>1.1103979683910143</v>
      </c>
      <c r="D46" s="34">
        <f>($B46/$D$5)^(1/$D$29)-1+$C$5*$K$2</f>
        <v>0.58980774866713148</v>
      </c>
      <c r="E46" s="34">
        <f>($B46/$D$5)^(1/$E$29)-1+$C$5*$K$2</f>
        <v>0.4089967548066617</v>
      </c>
      <c r="F46" s="34">
        <f>($B46/$D$5)^(1/$F$29)-1+$C$5*$K$2</f>
        <v>0.28740979225250601</v>
      </c>
    </row>
    <row r="47" spans="1:13">
      <c r="B47" s="83">
        <f>$E$5*$K$8</f>
        <v>101.374</v>
      </c>
      <c r="C47" s="34">
        <f>($B47/$D$5)^(1/$C$29)-1+$C$5*$K$2</f>
        <v>1.3556357866136275</v>
      </c>
      <c r="D47" s="34">
        <f>($B47/$D$5)^(1/$D$29)-1+$C$5*$K$2</f>
        <v>0.69739982503482134</v>
      </c>
      <c r="E47" s="34">
        <f>($B47/$D$5)^(1/$E$29)-1+$C$5*$K$2</f>
        <v>0.47620253961108333</v>
      </c>
      <c r="F47" s="34">
        <f>($B47/$D$5)^(1/$F$29)-1+$C$5*$K$2</f>
        <v>0.32995290657439019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1.6474528116521086</v>
      </c>
      <c r="D48" s="34">
        <f>($B48/$D$5)^(1/$D$29)-1+$C$5*$K$2</f>
        <v>0.8196407958234796</v>
      </c>
      <c r="E48" s="34">
        <f>($B48/$D$5)^(1/$E$29)-1+$C$5*$K$2</f>
        <v>0.55106038751592623</v>
      </c>
      <c r="F48" s="34">
        <f>($B48/$D$5)^(1/$F$29)-1+$C$5*$K$2</f>
        <v>0.37664105803805742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2.2360962458536582E-2</v>
      </c>
      <c r="D50" s="34">
        <f>($B50/$D$6)^(1/$D$29)-1+$C$6*$K$2</f>
        <v>4.0574890016483067E-2</v>
      </c>
      <c r="E50" s="34">
        <f>($B50/$D$6)^(1/$E$29)-1+$C$6*$K$2</f>
        <v>4.8486947713922257E-2</v>
      </c>
      <c r="F50" s="34">
        <f>($B50/$D$6)^(1/$F$29)-1+$C$6*$K$2</f>
        <v>5.4463226413198673E-2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0.19941794203933039</v>
      </c>
      <c r="D51" s="34">
        <f>($B51/$D$6)^(1/$D$29)-1+$C$6*$K$2</f>
        <v>0.14513205298187748</v>
      </c>
      <c r="E51" s="34">
        <f>($B51/$D$6)^(1/$E$29)-1+$C$6*$K$2</f>
        <v>0.12267183946598836</v>
      </c>
      <c r="F51" s="34">
        <f>($B51/$D$6)^(1/$F$29)-1+$C$6*$K$2</f>
        <v>0.10613472086951881</v>
      </c>
    </row>
    <row r="52" spans="1:6">
      <c r="B52" s="83">
        <f>$E$6*$K$8</f>
        <v>96.50200000000001</v>
      </c>
      <c r="C52" s="34">
        <f>($B52/$D$6)^(1/$C$29)-1+$C$6*$K$2</f>
        <v>0.33363946171374492</v>
      </c>
      <c r="D52" s="34">
        <f>($B52/$D$6)^(1/$D$29)-1+$C$6*$K$2</f>
        <v>0.22007333418881203</v>
      </c>
      <c r="E52" s="34">
        <f>($B52/$D$6)^(1/$E$29)-1+$C$6*$K$2</f>
        <v>0.17457831388383493</v>
      </c>
      <c r="F52" s="34">
        <f>($B52/$D$6)^(1/$F$29)-1+$C$6*$K$2</f>
        <v>0.14164055265099218</v>
      </c>
    </row>
    <row r="53" spans="1:6">
      <c r="B53" s="83">
        <f>$E$6*$K$10</f>
        <v>137.86000000000001</v>
      </c>
      <c r="C53" s="34">
        <f>($B53/$D$6)^(1/$C$29)-1+$C$6*$K$2</f>
        <v>0.49335432482664776</v>
      </c>
      <c r="D53" s="34">
        <f>($B53/$D$6)^(1/$D$29)-1+$C$6*$K$2</f>
        <v>0.30521803327961339</v>
      </c>
      <c r="E53" s="34">
        <f>($B53/$D$6)^(1/$E$29)-1+$C$6*$K$2</f>
        <v>0.23239486908894758</v>
      </c>
      <c r="F53" s="34">
        <f>($B53/$D$6)^(1/$F$29)-1+$C$6*$K$2</f>
        <v>0.1806057689610775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-2.3029415809627696E-2</v>
      </c>
      <c r="D55" s="34">
        <f>($B55/$D$7)^(1/$D$29)-1+$C$7*$K$2</f>
        <v>2.4161390921938586E-2</v>
      </c>
      <c r="E55" s="34">
        <f>($B55/$D$7)^(1/$E$29)-1+$C$7*$K$2</f>
        <v>4.515536632006556E-2</v>
      </c>
      <c r="F55" s="34">
        <f>($B55/$D$7)^(1/$F$29)-1+$C$7*$K$2</f>
        <v>6.1213151099374419E-2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0.13981000748919881</v>
      </c>
      <c r="D56" s="34">
        <f>($B56/$D$7)^(1/$D$29)-1+$C$7*$K$2</f>
        <v>0.12359694390047693</v>
      </c>
      <c r="E56" s="34">
        <f>($B56/$D$7)^(1/$E$29)-1+$C$7*$K$2</f>
        <v>0.11672608821793107</v>
      </c>
      <c r="F56" s="34">
        <f>($B56/$D$7)^(1/$F$29)-1+$C$7*$K$2</f>
        <v>0.11160322250832255</v>
      </c>
    </row>
    <row r="57" spans="1:6">
      <c r="B57" s="83">
        <f>$E$7*$K$8</f>
        <v>15.210999999999999</v>
      </c>
      <c r="C57" s="34">
        <f>($B57/$D$7)^(1/$C$29)-1+$C$7*$K$2</f>
        <v>0.26325362947926134</v>
      </c>
      <c r="D57" s="34">
        <f>($B57/$D$7)^(1/$D$29)-1+$C$7*$K$2</f>
        <v>0.19486731435035254</v>
      </c>
      <c r="E57" s="34">
        <f>($B57/$D$7)^(1/$E$29)-1+$C$7*$K$2</f>
        <v>0.16680345245638351</v>
      </c>
      <c r="F57" s="34">
        <f>($B57/$D$7)^(1/$F$29)-1+$C$7*$K$2</f>
        <v>0.14622853028638505</v>
      </c>
    </row>
    <row r="58" spans="1:6">
      <c r="B58" s="83">
        <f>$E$7*$K$10</f>
        <v>21.73</v>
      </c>
      <c r="C58" s="34">
        <f>($B58/$D$7)^(1/$C$29)-1+$C$7*$K$2</f>
        <v>0.41014349658946103</v>
      </c>
      <c r="D58" s="34">
        <f>($B58/$D$7)^(1/$D$29)-1+$C$7*$K$2</f>
        <v>0.27584130022721953</v>
      </c>
      <c r="E58" s="34">
        <f>($B58/$D$7)^(1/$E$29)-1+$C$7*$K$2</f>
        <v>0.22258263465843164</v>
      </c>
      <c r="F58" s="34">
        <f>($B58/$D$7)^(1/$F$29)-1+$C$7*$K$2</f>
        <v>0.18422743186625112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-2.00570022635288E-2</v>
      </c>
      <c r="D60" s="34">
        <f>($B60/$D$8)^(1/$D$29)-1+$C$8*$K$2</f>
        <v>2.7392090132646651E-2</v>
      </c>
      <c r="E60" s="34">
        <f>($B60/$D$8)^(1/$E$29)-1+$C$8*$K$2</f>
        <v>4.8505778926686061E-2</v>
      </c>
      <c r="F60" s="34">
        <f>($B60/$D$8)^(1/$F$29)-1+$C$8*$K$2</f>
        <v>6.4657068822428831E-2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0.14265199913796345</v>
      </c>
      <c r="D61" s="34">
        <f>($B61/$D$8)^(1/$D$29)-1+$C$8*$K$2</f>
        <v>0.1267798512999786</v>
      </c>
      <c r="E61" s="34">
        <f>($B61/$D$8)^(1/$E$29)-1+$C$8*$K$2</f>
        <v>0.12005192834496692</v>
      </c>
      <c r="F61" s="34">
        <f>($B61/$D$8)^(1/$F$29)-1+$C$8*$K$2</f>
        <v>0.11503502926027698</v>
      </c>
    </row>
    <row r="62" spans="1:6">
      <c r="B62" s="83">
        <f>$E$8*$K$8</f>
        <v>36.728999999999999</v>
      </c>
      <c r="C62" s="34">
        <f>($B62/$D$8)^(1/$C$29)-1+$C$8*$K$2</f>
        <v>0.26599675224807295</v>
      </c>
      <c r="D62" s="34">
        <f>($B62/$D$8)^(1/$D$29)-1+$C$8*$K$2</f>
        <v>0.19801596699904211</v>
      </c>
      <c r="E62" s="34">
        <f>($B62/$D$8)^(1/$E$29)-1+$C$8*$K$2</f>
        <v>0.17011209944944261</v>
      </c>
      <c r="F62" s="34">
        <f>($B62/$D$8)^(1/$F$29)-1+$C$8*$K$2</f>
        <v>0.14965201503977721</v>
      </c>
    </row>
    <row r="63" spans="1:6">
      <c r="B63" s="83">
        <f>$E$8*$K$10</f>
        <v>52.47</v>
      </c>
      <c r="C63" s="34">
        <f>($B63/$D$8)^(1/$C$29)-1+$C$8*$K$2</f>
        <v>0.41276897183300132</v>
      </c>
      <c r="D63" s="34">
        <f>($B63/$D$8)^(1/$D$29)-1+$C$8*$K$2</f>
        <v>0.27895103426652079</v>
      </c>
      <c r="E63" s="34">
        <f>($B63/$D$8)^(1/$E$29)-1+$C$8*$K$2</f>
        <v>0.22587213090409619</v>
      </c>
      <c r="F63" s="34">
        <f>($B63/$D$8)^(1/$F$29)-1+$C$8*$K$2</f>
        <v>0.18764178379672802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-3.4968433273146748E-3</v>
      </c>
      <c r="D65" s="34">
        <f>($B65/$D$9)^(1/$D$29)-1+$C$9*$K$2</f>
        <v>2.8016951343826341E-2</v>
      </c>
      <c r="E65" s="34">
        <f>($B65/$D$9)^(1/$E$29)-1+$C$9*$K$2</f>
        <v>4.1851479750879467E-2</v>
      </c>
      <c r="F65" s="34">
        <f>($B65/$D$9)^(1/$F$29)-1+$C$9*$K$2</f>
        <v>5.2359333417970638E-2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0.16713121036753079</v>
      </c>
      <c r="D66" s="34">
        <f>($B66/$D$9)^(1/$D$29)-1+$C$9*$K$2</f>
        <v>0.13027940810546293</v>
      </c>
      <c r="E66" s="34">
        <f>($B66/$D$9)^(1/$E$29)-1+$C$9*$K$2</f>
        <v>0.11486974144541576</v>
      </c>
      <c r="F66" s="34">
        <f>($B66/$D$9)^(1/$F$29)-1+$C$9*$K$2</f>
        <v>0.10346066749502617</v>
      </c>
    </row>
    <row r="67" spans="1:6">
      <c r="B67" s="83">
        <f>$E$9*$K$8</f>
        <v>52.094000000000001</v>
      </c>
      <c r="C67" s="34">
        <f>($B67/$D$9)^(1/$C$29)-1+$C$9*$K$2</f>
        <v>0.29647915654978918</v>
      </c>
      <c r="D67" s="34">
        <f>($B67/$D$9)^(1/$D$29)-1+$C$9*$K$2</f>
        <v>0.20357596007505188</v>
      </c>
      <c r="E67" s="34">
        <f>($B67/$D$9)^(1/$E$29)-1+$C$9*$K$2</f>
        <v>0.16595993573120196</v>
      </c>
      <c r="F67" s="34">
        <f>($B67/$D$9)^(1/$F$29)-1+$C$9*$K$2</f>
        <v>0.13857471617195341</v>
      </c>
    </row>
    <row r="68" spans="1:6">
      <c r="B68" s="83">
        <f>$E$9*$K$10</f>
        <v>74.42</v>
      </c>
      <c r="C68" s="34">
        <f>($B68/$D$9)^(1/$C$29)-1+$C$9*$K$2</f>
        <v>0.45039478474821248</v>
      </c>
      <c r="D68" s="34">
        <f>($B68/$D$9)^(1/$D$29)-1+$C$9*$K$2</f>
        <v>0.28685199647762205</v>
      </c>
      <c r="E68" s="34">
        <f>($B68/$D$9)^(1/$E$29)-1+$C$9*$K$2</f>
        <v>0.22286726899729051</v>
      </c>
      <c r="F68" s="34">
        <f>($B68/$D$9)^(1/$F$29)-1+$C$9*$K$2</f>
        <v>0.17710997738313475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4.0096085541266147E-2</v>
      </c>
      <c r="D70" s="34">
        <f>($B70/$D$10)^(1/$D$29)-1+$C$10*$K$2</f>
        <v>4.6823088981377381E-2</v>
      </c>
      <c r="E70" s="34">
        <f>($B70/$D$10)^(1/$E$29)-1+$C$10*$K$2</f>
        <v>4.9720163161758146E-2</v>
      </c>
      <c r="F70" s="34">
        <f>($B70/$D$10)^(1/$F$29)-1+$C$10*$K$2</f>
        <v>5.1898532002825626E-2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0.22258929477737316</v>
      </c>
      <c r="D71" s="34">
        <f>($B71/$D$10)^(1/$D$29)-1+$C$10*$K$2</f>
        <v>0.15329473912583086</v>
      </c>
      <c r="E71" s="34">
        <f>($B71/$D$10)^(1/$E$29)-1+$C$10*$K$2</f>
        <v>0.12487279213044139</v>
      </c>
      <c r="F71" s="34">
        <f>($B71/$D$10)^(1/$F$29)-1+$C$10*$K$2</f>
        <v>0.10404094434068384</v>
      </c>
    </row>
    <row r="72" spans="1:6">
      <c r="B72" s="83">
        <f>$E$10*$K$8</f>
        <v>84.811999999999998</v>
      </c>
      <c r="C72" s="34">
        <f>($B72/$D$10)^(1/$C$29)-1+$C$10*$K$2</f>
        <v>0.36093185507590092</v>
      </c>
      <c r="D72" s="34">
        <f>($B72/$D$10)^(1/$D$29)-1+$C$10*$K$2</f>
        <v>0.22960822782179641</v>
      </c>
      <c r="E72" s="34">
        <f>($B72/$D$10)^(1/$E$29)-1+$C$10*$K$2</f>
        <v>0.17745638322111962</v>
      </c>
      <c r="F72" s="34">
        <f>($B72/$D$10)^(1/$F$29)-1+$C$10*$K$2</f>
        <v>0.13987036519695956</v>
      </c>
    </row>
    <row r="73" spans="1:6">
      <c r="B73" s="83">
        <f>$E$10*$K$10</f>
        <v>121.16</v>
      </c>
      <c r="C73" s="34">
        <f>($B73/$D$10)^(1/$C$29)-1+$C$10*$K$2</f>
        <v>0.52555048802213289</v>
      </c>
      <c r="D73" s="34">
        <f>($B73/$D$10)^(1/$D$29)-1+$C$10*$K$2</f>
        <v>0.31631196342574547</v>
      </c>
      <c r="E73" s="34">
        <f>($B73/$D$10)^(1/$E$29)-1+$C$10*$K$2</f>
        <v>0.23602715172879513</v>
      </c>
      <c r="F73" s="34">
        <f>($B73/$D$10)^(1/$F$29)-1+$C$10*$K$2</f>
        <v>0.17919069833328477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-4.7403584356205383E-2</v>
      </c>
      <c r="D75" s="34">
        <f>($B75/$D$11)^(1/$D$29)-1+$C$11*$K$2</f>
        <v>-2.6824502362453317E-4</v>
      </c>
      <c r="E75" s="34">
        <f>($B75/$D$11)^(1/$E$29)-1+$C$11*$K$2</f>
        <v>2.0700029460054128E-2</v>
      </c>
      <c r="F75" s="34">
        <f>($B75/$D$11)^(1/$F$29)-1+$C$11*$K$2</f>
        <v>3.673774301299583E-2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0.11546383795146044</v>
      </c>
      <c r="D76" s="34">
        <f>($B76/$D$11)^(1/$D$29)-1+$C$11*$K$2</f>
        <v>9.9177565917527036E-2</v>
      </c>
      <c r="E76" s="34">
        <f>($B76/$D$11)^(1/$E$29)-1+$C$11*$K$2</f>
        <v>9.2276025118146157E-2</v>
      </c>
      <c r="F76" s="34">
        <f>($B76/$D$11)^(1/$F$29)-1+$C$11*$K$2</f>
        <v>8.7130413523184416E-2</v>
      </c>
    </row>
    <row r="77" spans="1:6">
      <c r="B77" s="35">
        <f>$E$11*$K$8</f>
        <v>49.790999999999997</v>
      </c>
      <c r="C77" s="34">
        <f>($B77/$D$11)^(1/$C$29)-1+$C$11*$K$2</f>
        <v>0.23892868513990073</v>
      </c>
      <c r="D77" s="34">
        <f>($B77/$D$11)^(1/$D$29)-1+$C$11*$K$2</f>
        <v>0.17045528875569438</v>
      </c>
      <c r="E77" s="34">
        <f>($B77/$D$11)^(1/$E$29)-1+$C$11*$K$2</f>
        <v>0.14235707935726849</v>
      </c>
      <c r="F77" s="34">
        <f>($B77/$D$11)^(1/$F$29)-1+$C$11*$K$2</f>
        <v>0.12175750726181191</v>
      </c>
    </row>
    <row r="78" spans="1:6">
      <c r="A78" s="82"/>
      <c r="B78" s="35">
        <f>$E$11*$K$10</f>
        <v>71.13</v>
      </c>
      <c r="C78" s="34">
        <f>($B78/$D$11)^(1/$C$29)-1+$C$11*$K$2</f>
        <v>0.38584380885322667</v>
      </c>
      <c r="D78" s="34">
        <f>($B78/$D$11)^(1/$D$29)-1+$C$11*$K$2</f>
        <v>0.25143762806445624</v>
      </c>
      <c r="E78" s="34">
        <f>($B78/$D$11)^(1/$E$29)-1+$C$11*$K$2</f>
        <v>0.19814037170414622</v>
      </c>
      <c r="F78" s="34">
        <f>($B78/$D$11)^(1/$F$29)-1+$C$11*$K$2</f>
        <v>0.15975836881096306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-0.24426297158260055</v>
      </c>
      <c r="D80" s="34">
        <f>($B80/$D$12)^(1/$D$29)-1+$C$12*$K$2</f>
        <v>-0.11072705450117823</v>
      </c>
      <c r="E80" s="34">
        <f>($B80/$D$12)^(1/$E$29)-1+$C$12*$K$2</f>
        <v>-4.4883876946123696E-2</v>
      </c>
      <c r="F80" s="34">
        <f>($B80/$D$12)^(1/$F$29)-1+$C$12*$K$2</f>
        <v>8.3007747408177235E-3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-0.13115106781476024</v>
      </c>
      <c r="D81" s="34">
        <f>($B81/$D$12)^(1/$D$29)-1+$C$12*$K$2</f>
        <v>-3.0818928255783778E-2</v>
      </c>
      <c r="E81" s="34">
        <f>($B81/$D$12)^(1/$E$29)-1+$C$12*$K$2</f>
        <v>1.6338958040211377E-2</v>
      </c>
      <c r="F81" s="34">
        <f>($B81/$D$12)^(1/$F$29)-1+$C$12*$K$2</f>
        <v>5.3472803993271617E-2</v>
      </c>
    </row>
    <row r="82" spans="1:11">
      <c r="A82" s="82"/>
      <c r="B82" s="35">
        <f>$E$12*$K$8</f>
        <v>28.986999999999995</v>
      </c>
      <c r="C82" s="34">
        <f>($B82/$D$12)^(1/$C$29)-1+$C$12*$K$2</f>
        <v>-4.5404368345859453E-2</v>
      </c>
      <c r="D82" s="34">
        <f>($B82/$D$12)^(1/$D$29)-1+$C$12*$K$2</f>
        <v>2.6455171287805973E-2</v>
      </c>
      <c r="E82" s="34">
        <f>($B82/$D$12)^(1/$E$29)-1+$C$12*$K$2</f>
        <v>5.9176002658770571E-2</v>
      </c>
      <c r="F82" s="34">
        <f>($B82/$D$12)^(1/$F$29)-1+$C$12*$K$2</f>
        <v>8.4512557899000723E-2</v>
      </c>
    </row>
    <row r="83" spans="1:11">
      <c r="B83" s="35">
        <f>$E$12*$K$10</f>
        <v>41.41</v>
      </c>
      <c r="C83" s="34">
        <f>($B83/$D$12)^(1/$C$29)-1+$C$12*$K$2</f>
        <v>5.6628617134257292E-2</v>
      </c>
      <c r="D83" s="34">
        <f>($B83/$D$12)^(1/$D$29)-1+$C$12*$K$2</f>
        <v>9.1527263635278661E-2</v>
      </c>
      <c r="E83" s="34">
        <f>($B83/$D$12)^(1/$E$29)-1+$C$12*$K$2</f>
        <v>0.10689048110851998</v>
      </c>
      <c r="F83" s="34">
        <f>($B83/$D$12)^(1/$F$29)-1+$C$12*$K$2</f>
        <v>0.11857655990837315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0.10856213738010728</v>
      </c>
      <c r="D85" s="34">
        <f>($B85/$D$13)^(1/$D$29)-1+$C$13*$K$2</f>
        <v>0.102217592660728</v>
      </c>
      <c r="E85" s="34">
        <f>($B85/$D$13)^(1/$E$29)-1+$C$13*$K$2</f>
        <v>9.9510647444827682E-2</v>
      </c>
      <c r="F85" s="34">
        <f>($B85/$D$13)^(1/$F$29)-1+$C$13*$K$2</f>
        <v>9.7485203322693559E-2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0.29712382257814379</v>
      </c>
      <c r="D86" s="34">
        <f>($B86/$D$13)^(1/$D$29)-1+$C$13*$K$2</f>
        <v>0.2107996410723158</v>
      </c>
      <c r="E86" s="34">
        <f>($B86/$D$13)^(1/$E$29)-1+$C$13*$K$2</f>
        <v>0.17572430098944708</v>
      </c>
      <c r="F86" s="34">
        <f>($B86/$D$13)^(1/$F$29)-1+$C$13*$K$2</f>
        <v>0.15014184318750784</v>
      </c>
    </row>
    <row r="87" spans="1:11">
      <c r="B87" s="35">
        <f>$E$13*$K$8</f>
        <v>2.4499999999999997</v>
      </c>
      <c r="C87" s="34">
        <f>($B87/$D$13)^(1/$C$29)-1+$C$13*$K$2</f>
        <v>0.44006671022691929</v>
      </c>
      <c r="D87" s="34">
        <f>($B87/$D$13)^(1/$D$29)-1+$C$13*$K$2</f>
        <v>0.28862575640724492</v>
      </c>
      <c r="E87" s="34">
        <f>($B87/$D$13)^(1/$E$29)-1+$C$13*$K$2</f>
        <v>0.22905028104513975</v>
      </c>
      <c r="F87" s="34">
        <f>($B87/$D$13)^(1/$F$29)-1+$C$13*$K$2</f>
        <v>0.18632461314393262</v>
      </c>
    </row>
    <row r="88" spans="1:11">
      <c r="B88" s="35">
        <f>$E$13*$K$10</f>
        <v>3.5</v>
      </c>
      <c r="C88" s="34">
        <f>($B88/$D$13)^(1/$C$29)-1+$C$13*$K$2</f>
        <v>0.61015943298230924</v>
      </c>
      <c r="D88" s="34">
        <f>($B88/$D$13)^(1/$D$29)-1+$C$13*$K$2</f>
        <v>0.37704806604591962</v>
      </c>
      <c r="E88" s="34">
        <f>($B88/$D$13)^(1/$E$29)-1+$C$13*$K$2</f>
        <v>0.28844796706283343</v>
      </c>
      <c r="F88" s="34">
        <f>($B88/$D$13)^(1/$F$29)-1+$C$13*$K$2</f>
        <v>0.22603272269414493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7.2392783110307168E-2</v>
      </c>
      <c r="D90" s="34">
        <f>($B90/$D$14)^(1/$D$29)-1+$C$14*$K$2</f>
        <v>5.8016329052608895E-2</v>
      </c>
      <c r="E90" s="34">
        <f>($B90/$D$14)^(1/$E$29)-1+$C$14*$K$2</f>
        <v>5.1916251092460564E-2</v>
      </c>
      <c r="F90" s="34">
        <f>($B90/$D$14)^(1/$F$29)-1+$C$14*$K$2</f>
        <v>4.7365117487974229E-2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0.26462637136355627</v>
      </c>
      <c r="D91" s="34">
        <f>($B91/$D$14)^(1/$D$29)-1+$C$14*$K$2</f>
        <v>0.16786214607565919</v>
      </c>
      <c r="E91" s="34">
        <f>($B91/$D$14)^(1/$E$29)-1+$C$14*$K$2</f>
        <v>0.12876245508184969</v>
      </c>
      <c r="F91" s="34">
        <f>($B91/$D$14)^(1/$F$29)-1+$C$14*$K$2</f>
        <v>0.10032730186664807</v>
      </c>
    </row>
    <row r="92" spans="1:11">
      <c r="B92" s="35">
        <f>$E$14*$K$8</f>
        <v>3.5279999999999996</v>
      </c>
      <c r="C92" s="34">
        <f>($B92/$D$14)^(1/$C$29)-1+$C$14*$K$2</f>
        <v>0.41035281721678485</v>
      </c>
      <c r="D92" s="34">
        <f>($B92/$D$14)^(1/$D$29)-1+$C$14*$K$2</f>
        <v>0.24659406677299545</v>
      </c>
      <c r="E92" s="34">
        <f>($B92/$D$14)^(1/$E$29)-1+$C$14*$K$2</f>
        <v>0.1825310247633275</v>
      </c>
      <c r="F92" s="34">
        <f>($B92/$D$14)^(1/$F$29)-1+$C$14*$K$2</f>
        <v>0.13672002534241667</v>
      </c>
    </row>
    <row r="93" spans="1:11">
      <c r="B93" s="35">
        <f>$E$14*$K$10</f>
        <v>5.04</v>
      </c>
      <c r="C93" s="34">
        <f>($B93/$D$14)^(1/$C$29)-1+$C$14*$K$2</f>
        <v>0.58375779287073681</v>
      </c>
      <c r="D93" s="34">
        <f>($B93/$D$14)^(1/$D$29)-1+$C$14*$K$2</f>
        <v>0.33604550913765097</v>
      </c>
      <c r="E93" s="34">
        <f>($B93/$D$14)^(1/$E$29)-1+$C$14*$K$2</f>
        <v>0.24242169374353983</v>
      </c>
      <c r="F93" s="34">
        <f>($B93/$D$14)^(1/$F$29)-1+$C$14*$K$2</f>
        <v>0.17665854448693563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-0.14433714895598493</v>
      </c>
      <c r="D95" s="34">
        <f>($B95/$D$15)^(1/$D$29)-1+$C$15*$K$2</f>
        <v>-6.0134268756353526E-2</v>
      </c>
      <c r="E95" s="34">
        <f>($B95/$D$15)^(1/$E$29)-1+$C$15*$K$2</f>
        <v>-2.1291769366032054E-2</v>
      </c>
      <c r="F95" s="34">
        <f>($B95/$D$15)^(1/$F$29)-1+$C$15*$K$2</f>
        <v>8.9922409939718895E-3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-1.0368346021610853E-3</v>
      </c>
      <c r="D96" s="34">
        <f>($B96/$D$15)^(1/$D$29)-1+$C$15*$K$2</f>
        <v>3.1960348168023733E-2</v>
      </c>
      <c r="E96" s="34">
        <f>($B96/$D$15)^(1/$E$29)-1+$C$15*$K$2</f>
        <v>4.6463700883031755E-2</v>
      </c>
      <c r="F96" s="34">
        <f>($B96/$D$15)^(1/$F$29)-1+$C$15*$K$2</f>
        <v>5.7486602992680158E-2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0.10759478222497887</v>
      </c>
      <c r="D97" s="34">
        <f>($B97/$D$15)^(1/$D$29)-1+$C$15*$K$2</f>
        <v>9.7969107289184509E-2</v>
      </c>
      <c r="E97" s="34">
        <f>($B97/$D$15)^(1/$E$29)-1+$C$15*$K$2</f>
        <v>9.3871569252055198E-2</v>
      </c>
      <c r="F97" s="34">
        <f>($B97/$D$15)^(1/$F$29)-1+$C$15*$K$2</f>
        <v>9.0809282694377935E-2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0.23685932827815026</v>
      </c>
      <c r="D98" s="34">
        <f>($B98/$D$15)^(1/$D$29)-1+$C$15*$K$2</f>
        <v>0.17296510204952453</v>
      </c>
      <c r="E98" s="34">
        <f>($B98/$D$15)^(1/$E$29)-1+$C$15*$K$2</f>
        <v>0.14667730629074638</v>
      </c>
      <c r="F98" s="34">
        <f>($B98/$D$15)^(1/$F$29)-1+$C$15*$K$2</f>
        <v>0.12737863926091941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-0.21721849351344483</v>
      </c>
      <c r="D105" s="34">
        <f>($B105/$D$17)^(1/$D$29)-1+$C$17*$K$2</f>
        <v>-0.11754707185216054</v>
      </c>
      <c r="E105" s="34">
        <f>($B105/$D$17)^(1/$E$29)-1+$C$17*$K$2</f>
        <v>-7.0737796226054278E-2</v>
      </c>
      <c r="F105" s="34">
        <f>($B105/$D$17)^(1/$F$29)-1+$C$17*$K$2</f>
        <v>-3.3894343532746257E-2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-8.2722676322827288E-2</v>
      </c>
      <c r="D106" s="34">
        <f t="shared" ref="D106:D108" si="8">($B106/$D$17)^(1/$D$29)-1+$C$17*$K$2</f>
        <v>-2.8890440271252676E-2</v>
      </c>
      <c r="E106" s="34">
        <f t="shared" ref="E106:E108" si="9">($B106/$D$17)^(1/$E$29)-1+$C$17*$K$2</f>
        <v>-4.7988188809261756E-3</v>
      </c>
      <c r="F106" s="34">
        <f t="shared" ref="F106:F108" si="10">($B106/$D$17)^(1/$F$29)-1+$C$17*$K$2</f>
        <v>1.3686237431677156E-2</v>
      </c>
    </row>
    <row r="107" spans="1:11">
      <c r="A107" s="83" t="s">
        <v>7499</v>
      </c>
      <c r="B107" s="35">
        <f>$E$17*$K$8</f>
        <v>17.29</v>
      </c>
      <c r="C107" s="34">
        <f t="shared" si="7"/>
        <v>1.9234518563914754E-2</v>
      </c>
      <c r="D107" s="34">
        <f t="shared" si="8"/>
        <v>3.4654145003726627E-2</v>
      </c>
      <c r="E107" s="34">
        <f t="shared" si="9"/>
        <v>4.1338066404864343E-2</v>
      </c>
      <c r="F107" s="34">
        <f t="shared" si="10"/>
        <v>4.6381016662722957E-2</v>
      </c>
    </row>
    <row r="108" spans="1:11">
      <c r="B108" s="35">
        <f>$E$17*$K$10</f>
        <v>24.7</v>
      </c>
      <c r="C108" s="34">
        <f t="shared" si="7"/>
        <v>0.14055693738477457</v>
      </c>
      <c r="D108" s="34">
        <f t="shared" si="8"/>
        <v>0.106850463307226</v>
      </c>
      <c r="E108" s="34">
        <f t="shared" si="9"/>
        <v>9.2728105991153748E-2</v>
      </c>
      <c r="F108" s="34">
        <f t="shared" si="10"/>
        <v>8.2261295507870952E-2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6.1842449999999993E-2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1.2459343301249998E-2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6.9322917899999989E-2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0.11851927324749999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0.28365731249999998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9.1015713901250003E-2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6.5635124999999968E-3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5.1450161417499994E-2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0.11578882864250001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0.18018517281250002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9.5477935946250009E-2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1.38701446875E-3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2.7574535291250001E-2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2019-08-24T01:21:53Z</dcterms:modified>
</cp:coreProperties>
</file>