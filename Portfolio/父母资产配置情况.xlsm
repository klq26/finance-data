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202559B6-282B-4602-875A-CE000EB89BD5}" xr6:coauthVersionLast="44" xr6:coauthVersionMax="44" xr10:uidLastSave="{00000000-0000-0000-0000-000000000000}"/>
  <bookViews>
    <workbookView xWindow="-120" yWindow="-120" windowWidth="38640" windowHeight="21240" tabRatio="711" xr2:uid="{00000000-000D-0000-FFFF-FFFF00000000}"/>
  </bookViews>
  <sheets>
    <sheet name="养老金计划" sheetId="13" r:id="rId1"/>
    <sheet name="螺丝钉计划" sheetId="16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" i="11" l="1"/>
  <c r="K6" i="11"/>
  <c r="I16" i="16"/>
  <c r="I15" i="16"/>
  <c r="H20" i="11"/>
  <c r="H21" i="11"/>
  <c r="H22" i="11"/>
  <c r="H23" i="11"/>
  <c r="H24" i="11"/>
  <c r="H25" i="11"/>
  <c r="H26" i="11"/>
  <c r="H27" i="11"/>
  <c r="H28" i="11"/>
  <c r="H29" i="11"/>
  <c r="H19" i="11"/>
  <c r="F4" i="16" l="1"/>
  <c r="E4" i="16"/>
  <c r="C4" i="16"/>
  <c r="B4" i="16"/>
  <c r="J5" i="16" l="1"/>
  <c r="J6" i="16"/>
  <c r="J7" i="16"/>
  <c r="J8" i="16"/>
  <c r="J9" i="16"/>
  <c r="J10" i="16"/>
  <c r="J11" i="16"/>
  <c r="J4" i="16"/>
  <c r="J12" i="16"/>
  <c r="J13" i="16"/>
  <c r="J3" i="16"/>
  <c r="I6" i="16"/>
  <c r="K6" i="16" s="1"/>
  <c r="I7" i="16"/>
  <c r="I8" i="16"/>
  <c r="K8" i="16" s="1"/>
  <c r="I5" i="16"/>
  <c r="K5" i="16" s="1"/>
  <c r="I9" i="16"/>
  <c r="K9" i="16" s="1"/>
  <c r="I10" i="16"/>
  <c r="K10" i="16" s="1"/>
  <c r="I4" i="16"/>
  <c r="K4" i="16" s="1"/>
  <c r="I11" i="16"/>
  <c r="K11" i="16" s="1"/>
  <c r="I12" i="16"/>
  <c r="K12" i="16" s="1"/>
  <c r="I13" i="16"/>
  <c r="K13" i="16" s="1"/>
  <c r="I3" i="16"/>
  <c r="F29" i="11"/>
  <c r="K3" i="16" l="1"/>
  <c r="K7" i="16"/>
  <c r="F35" i="11" l="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30" i="11"/>
  <c r="F31" i="11"/>
  <c r="F32" i="11"/>
  <c r="F33" i="11"/>
  <c r="F34" i="11"/>
  <c r="F2" i="11"/>
  <c r="L2" i="11" l="1"/>
  <c r="F25" i="11" l="1"/>
  <c r="F26" i="11"/>
  <c r="F22" i="11"/>
  <c r="F21" i="11"/>
  <c r="F28" i="11"/>
  <c r="F27" i="11"/>
  <c r="F24" i="11"/>
  <c r="F23" i="11"/>
  <c r="F19" i="11"/>
  <c r="F20" i="1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8" i="11" s="1"/>
  <c r="F38" i="11" s="1"/>
  <c r="B35" i="13"/>
  <c r="W35" i="13" s="1"/>
  <c r="L14" i="11" l="1"/>
  <c r="L13" i="11" l="1"/>
  <c r="L12" i="11" l="1"/>
  <c r="F39" i="11"/>
  <c r="E29" i="11" l="1"/>
  <c r="C29" i="11" s="1"/>
  <c r="L4" i="11"/>
  <c r="E40" i="11"/>
  <c r="E27" i="11"/>
  <c r="E17" i="11"/>
  <c r="C17" i="11" s="1"/>
  <c r="E10" i="11"/>
  <c r="E5" i="11"/>
  <c r="E14" i="11"/>
  <c r="C14" i="11" s="1"/>
  <c r="E12" i="11"/>
  <c r="C12" i="11" s="1"/>
  <c r="E30" i="11"/>
  <c r="C30" i="11" s="1"/>
  <c r="E7" i="11"/>
  <c r="E3" i="11"/>
  <c r="E31" i="11"/>
  <c r="C31" i="11" s="1"/>
  <c r="E26" i="11"/>
  <c r="E38" i="11"/>
  <c r="C38" i="11" s="1"/>
  <c r="E37" i="11"/>
  <c r="E36" i="11"/>
  <c r="E19" i="11"/>
  <c r="E32" i="11"/>
  <c r="C32" i="11" s="1"/>
  <c r="E18" i="11"/>
  <c r="C18" i="11" s="1"/>
  <c r="E15" i="11"/>
  <c r="C15" i="11" s="1"/>
  <c r="E34" i="11"/>
  <c r="C34" i="11" s="1"/>
  <c r="E11" i="11"/>
  <c r="C11" i="11" s="1"/>
  <c r="E8" i="11"/>
  <c r="C8" i="11" s="1"/>
  <c r="E13" i="11"/>
  <c r="C13" i="11" s="1"/>
  <c r="E2" i="11"/>
  <c r="E9" i="11"/>
  <c r="E35" i="11"/>
  <c r="E16" i="11"/>
  <c r="C16" i="11" s="1"/>
  <c r="E33" i="11"/>
  <c r="B33" i="11" s="1"/>
  <c r="E24" i="11"/>
  <c r="E23" i="11"/>
  <c r="C23" i="11" s="1"/>
  <c r="E20" i="11"/>
  <c r="E28" i="11"/>
  <c r="E4" i="11"/>
  <c r="E6" i="11"/>
  <c r="E21" i="11"/>
  <c r="E25" i="11"/>
  <c r="E22" i="11"/>
  <c r="C25" i="11" l="1"/>
  <c r="C19" i="11"/>
  <c r="C27" i="11"/>
  <c r="A38" i="11"/>
  <c r="B38" i="11"/>
  <c r="C3" i="11"/>
  <c r="B11" i="11"/>
  <c r="B34" i="11"/>
  <c r="A33" i="11"/>
  <c r="C33" i="11"/>
  <c r="B30" i="11"/>
  <c r="A30" i="11"/>
  <c r="A35" i="11"/>
  <c r="C9" i="11"/>
  <c r="A32" i="11"/>
  <c r="B32" i="11"/>
  <c r="B31" i="11"/>
  <c r="E39" i="11"/>
  <c r="B2" i="11"/>
  <c r="C35" i="11"/>
  <c r="B12" i="11"/>
  <c r="C2" i="11"/>
  <c r="B35" i="11"/>
  <c r="B5" i="11"/>
  <c r="C5" i="11"/>
  <c r="B19" i="11"/>
  <c r="A2" i="11"/>
</calcChain>
</file>

<file path=xl/sharedStrings.xml><?xml version="1.0" encoding="utf-8"?>
<sst xmlns="http://schemas.openxmlformats.org/spreadsheetml/2006/main" count="323" uniqueCount="172">
  <si>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</si>
  <si>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</si>
  <si>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</si>
  <si>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</si>
  <si>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</si>
  <si>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</si>
  <si>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</si>
  <si>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</si>
  <si>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</si>
  <si>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</si>
  <si>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</si>
  <si>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</si>
  <si>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</si>
  <si>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</si>
  <si>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</si>
  <si>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</si>
  <si>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</si>
  <si>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</si>
  <si>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</si>
  <si>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</si>
  <si>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</si>
  <si>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</si>
  <si>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</si>
  <si>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</si>
  <si>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</si>
  <si>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</si>
  <si>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</si>
  <si>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</si>
  <si>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</si>
  <si>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</si>
  <si>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</si>
  <si>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</si>
  <si>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</si>
  <si>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</si>
  <si>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</si>
  <si>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</si>
  <si>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</si>
  <si>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</si>
  <si>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</si>
  <si>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</si>
  <si>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</si>
  <si>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</si>
  <si>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</si>
  <si>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</si>
  <si>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</si>
  <si>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</si>
  <si>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</si>
  <si>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</si>
  <si>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</si>
  <si>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</si>
  <si>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</si>
  <si>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</si>
  <si>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</si>
  <si>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</si>
  <si>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</si>
  <si>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</si>
  <si>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</si>
  <si>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</si>
  <si>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</si>
  <si>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</si>
  <si>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</si>
  <si>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</si>
  <si>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</si>
  <si>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</si>
  <si>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</si>
  <si>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</si>
  <si>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</si>
  <si>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</si>
  <si>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</si>
  <si>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</si>
  <si>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</si>
  <si>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</si>
  <si>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</si>
  <si>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</si>
  <si>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</si>
  <si>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</si>
  <si>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</si>
  <si>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</si>
  <si>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</si>
  <si>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</si>
  <si>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</si>
  <si>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</si>
  <si>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</si>
  <si>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</si>
  <si>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</si>
  <si>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</si>
  <si>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</si>
  <si>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</si>
  <si>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</si>
  <si>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</si>
  <si>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</si>
  <si>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</si>
  <si>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</si>
  <si>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</si>
  <si>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</si>
  <si>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</si>
  <si>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</si>
  <si>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</si>
  <si>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</si>
  <si>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</si>
  <si>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</si>
  <si>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</si>
  <si>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</si>
  <si>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</si>
  <si>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</si>
  <si>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</si>
  <si>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</si>
  <si>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</si>
  <si>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</si>
  <si>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</si>
  <si>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</si>
  <si>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</si>
  <si>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</si>
  <si>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</si>
  <si>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</si>
  <si>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</si>
  <si>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</si>
  <si>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</si>
  <si>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</si>
  <si>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</si>
  <si>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</si>
  <si>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</si>
  <si>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</si>
  <si>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</si>
  <si>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d</t>
    <phoneticPr fontId="2" type="noConversion"/>
  </si>
  <si>
    <t>大成中证红利指数A</t>
  </si>
  <si>
    <t>工银货币</t>
    <phoneticPr fontId="2" type="noConversion"/>
  </si>
  <si>
    <t>光大货币</t>
    <phoneticPr fontId="2" type="noConversion"/>
  </si>
  <si>
    <t>南方天天利货币Ｂ</t>
    <phoneticPr fontId="2" type="noConversion"/>
  </si>
  <si>
    <t>汇添富和聚宝货币</t>
    <phoneticPr fontId="2" type="noConversion"/>
  </si>
  <si>
    <t>富国富钱包货币</t>
    <phoneticPr fontId="2" type="noConversion"/>
  </si>
  <si>
    <t>华夏沪深300ETF联接A</t>
    <phoneticPr fontId="2" type="noConversion"/>
  </si>
  <si>
    <t>广发养老指数A</t>
    <phoneticPr fontId="2" type="noConversion"/>
  </si>
  <si>
    <t>易方达创业板ETF联接A</t>
    <phoneticPr fontId="2" type="noConversion"/>
  </si>
  <si>
    <t>交银中证海外中国互联网指数</t>
    <phoneticPr fontId="2" type="noConversion"/>
  </si>
  <si>
    <t>华夏恒生ETF联接A</t>
    <phoneticPr fontId="2" type="noConversion"/>
  </si>
  <si>
    <t>华安黄金易ETF联接A</t>
    <phoneticPr fontId="2" type="noConversion"/>
  </si>
  <si>
    <t>华安德国30(DAX)联接</t>
    <phoneticPr fontId="2" type="noConversion"/>
  </si>
  <si>
    <t>华夏上证50ETF联接A</t>
    <phoneticPr fontId="2" type="noConversion"/>
  </si>
  <si>
    <t>广发中证环保ETF联接A</t>
    <phoneticPr fontId="2" type="noConversion"/>
  </si>
  <si>
    <t>广发医药卫生联接A</t>
    <phoneticPr fontId="2" type="noConversion"/>
  </si>
  <si>
    <t>广发中证全指金融地产联接A</t>
    <phoneticPr fontId="2" type="noConversion"/>
  </si>
  <si>
    <t>广发中证500ETF联接C</t>
    <phoneticPr fontId="2" type="noConversion"/>
  </si>
  <si>
    <t>广发创业板ETF联接A</t>
    <phoneticPr fontId="2" type="noConversion"/>
  </si>
  <si>
    <t>广发中证传媒ETF联接A</t>
    <phoneticPr fontId="2" type="noConversion"/>
  </si>
  <si>
    <t>富国中证红利指数增强</t>
    <phoneticPr fontId="2" type="noConversion"/>
  </si>
  <si>
    <t>富国沪深300指数增强</t>
    <phoneticPr fontId="2" type="noConversion"/>
  </si>
  <si>
    <t>易方达安心回报债券A</t>
    <phoneticPr fontId="2" type="noConversion"/>
  </si>
  <si>
    <t>富国中证500指数(LOF)</t>
    <phoneticPr fontId="2" type="noConversion"/>
  </si>
  <si>
    <t>华宝标普油气上游股票</t>
    <phoneticPr fontId="2" type="noConversion"/>
  </si>
  <si>
    <t>华宝中证1000指数分级</t>
    <phoneticPr fontId="2" type="noConversion"/>
  </si>
  <si>
    <t>广发中证500ETF联接A</t>
    <phoneticPr fontId="2" type="noConversion"/>
  </si>
  <si>
    <t>兴全可转债混合</t>
    <phoneticPr fontId="2" type="noConversion"/>
  </si>
  <si>
    <t>易方达证券公司分级</t>
    <phoneticPr fontId="2" type="noConversion"/>
  </si>
  <si>
    <t>长信可转债债券A</t>
    <phoneticPr fontId="2" type="noConversion"/>
  </si>
  <si>
    <t>广发中证养老</t>
  </si>
  <si>
    <t>持有金额（元）</t>
  </si>
  <si>
    <t>持有金额元）</t>
  </si>
  <si>
    <t>更多数据&gt;</t>
  </si>
  <si>
    <t>累计收益（元）</t>
  </si>
  <si>
    <t>更多数据）</t>
  </si>
  <si>
    <t>更多数据</t>
  </si>
  <si>
    <t>老妈螺丝钉</t>
    <phoneticPr fontId="2" type="noConversion"/>
  </si>
  <si>
    <t>老爸螺丝钉</t>
    <phoneticPr fontId="2" type="noConversion"/>
  </si>
  <si>
    <t>市值</t>
    <phoneticPr fontId="2" type="noConversion"/>
  </si>
  <si>
    <t>盈亏</t>
    <phoneticPr fontId="2" type="noConversion"/>
  </si>
  <si>
    <t>老妈</t>
    <phoneticPr fontId="2" type="noConversion"/>
  </si>
  <si>
    <t>老爸</t>
    <phoneticPr fontId="2" type="noConversion"/>
  </si>
  <si>
    <t>总额</t>
    <phoneticPr fontId="2" type="noConversion"/>
  </si>
  <si>
    <t>品种</t>
    <phoneticPr fontId="2" type="noConversion"/>
  </si>
  <si>
    <t>总金额</t>
    <phoneticPr fontId="2" type="noConversion"/>
  </si>
  <si>
    <t>总盈亏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</si>
</sst>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0" borderId="0" xfId="0" applyFill="1">
      <alignment vertical="center"/>
    </xf>
    <xf numFmtId="178" fontId="0" fillId="1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0" borderId="0" xfId="0" applyNumberFormat="1" applyFill="1" applyAlignment="1">
      <alignment horizontal="center" vertical="center"/>
    </xf>
    <xf numFmtId="2" fontId="0" fillId="10" borderId="0" xfId="0" applyNumberFormat="1" applyFill="1">
      <alignment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4" fontId="0" fillId="0" borderId="5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2" fontId="0" fillId="0" borderId="1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2" fontId="0" fillId="0" borderId="6" xfId="0" applyNumberFormat="1" applyBorder="1" applyAlignment="1">
      <alignment horizontal="right" vertical="center" wrapText="1"/>
    </xf>
    <xf numFmtId="0" fontId="0" fillId="0" borderId="7" xfId="0" applyBorder="1" applyAlignment="1">
      <alignment horizontal="left" vertical="center" wrapText="1"/>
    </xf>
    <xf numFmtId="2" fontId="0" fillId="0" borderId="10" xfId="0" applyNumberFormat="1" applyBorder="1">
      <alignment vertical="center"/>
    </xf>
    <xf numFmtId="2" fontId="0" fillId="0" borderId="8" xfId="0" applyNumberFormat="1" applyBorder="1" applyAlignment="1">
      <alignment horizontal="right" vertical="center" wrapText="1"/>
    </xf>
    <xf numFmtId="0" fontId="0" fillId="0" borderId="1" xfId="0" applyFill="1" applyBorder="1" applyAlignment="1">
      <alignment horizontal="left" vertical="center" wrapText="1"/>
    </xf>
    <xf numFmtId="2" fontId="0" fillId="0" borderId="1" xfId="0" applyNumberForma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8.1580300066573755E-2</c:v>
                </c:pt>
                <c:pt idx="1">
                  <c:v>6.0404722534106543E-3</c:v>
                </c:pt>
                <c:pt idx="2">
                  <c:v>0.91765278182326115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6"/>
  <sheetViews>
    <sheetView tabSelected="1" workbookViewId="0">
      <pane ySplit="1" topLeftCell="A2" activePane="bottomLeft" state="frozen"/>
      <selection pane="bottomLeft" activeCell="G52" sqref="G52"/>
    </sheetView>
  </sheetViews>
  <sheetFormatPr defaultColWidth="9.625" defaultRowHeight="14.25"/>
  <cols>
    <col min="1" max="1" width="11.125" bestFit="1" customWidth="1"/>
  </cols>
  <sheetData>
    <row r="1" spans="1:23">
      <c r="A1" s="45" t="s">
        <v>45</v>
      </c>
      <c r="B1" s="36" t="s">
        <v>54</v>
      </c>
      <c r="C1" s="36" t="s">
        <v>50</v>
      </c>
      <c r="D1" s="37" t="s">
        <v>46</v>
      </c>
      <c r="E1" s="37" t="s">
        <v>55</v>
      </c>
      <c r="F1" s="37" t="s">
        <v>53</v>
      </c>
      <c r="G1" s="38" t="s">
        <v>47</v>
      </c>
      <c r="H1" s="39" t="s">
        <v>48</v>
      </c>
      <c r="I1" s="39" t="s">
        <v>49</v>
      </c>
      <c r="J1" s="39" t="s">
        <v>51</v>
      </c>
      <c r="K1" s="39" t="s">
        <v>52</v>
      </c>
      <c r="L1" s="39" t="s">
        <v>59</v>
      </c>
      <c r="M1" s="39" t="s">
        <v>56</v>
      </c>
      <c r="N1" s="39" t="s">
        <v>57</v>
      </c>
      <c r="O1" s="40" t="s">
        <v>58</v>
      </c>
      <c r="P1" s="40" t="s">
        <v>63</v>
      </c>
      <c r="Q1" s="40" t="s">
        <v>60</v>
      </c>
      <c r="R1" s="41" t="s">
        <v>17</v>
      </c>
      <c r="S1" s="41" t="s">
        <v>61</v>
      </c>
      <c r="T1" s="42" t="s">
        <v>18</v>
      </c>
      <c r="U1" s="43" t="s">
        <v>19</v>
      </c>
      <c r="V1" s="43" t="s">
        <v>20</v>
      </c>
      <c r="W1" s="45" t="s">
        <v>64</v>
      </c>
    </row>
    <row r="2" spans="1:23">
      <c r="A2" s="35">
        <v>43245</v>
      </c>
      <c r="B2" s="27"/>
      <c r="C2" s="27"/>
      <c r="D2" s="28">
        <v>400</v>
      </c>
      <c r="E2" s="28">
        <v>400</v>
      </c>
      <c r="F2" s="28"/>
      <c r="G2" s="29"/>
      <c r="H2" s="30"/>
      <c r="I2" s="30"/>
      <c r="J2" s="30">
        <v>400</v>
      </c>
      <c r="K2" s="30">
        <v>800</v>
      </c>
      <c r="L2" s="30"/>
      <c r="M2" s="30"/>
      <c r="N2" s="30"/>
      <c r="O2" s="31"/>
      <c r="P2" s="31"/>
      <c r="Q2" s="31"/>
      <c r="R2" s="32"/>
      <c r="S2" s="32"/>
      <c r="T2" s="33"/>
      <c r="U2" s="34"/>
      <c r="V2" s="34"/>
      <c r="W2" s="44"/>
    </row>
    <row r="3" spans="1:23">
      <c r="A3" s="35">
        <v>43250</v>
      </c>
      <c r="B3" s="27"/>
      <c r="C3" s="27"/>
      <c r="D3" s="28">
        <v>2000</v>
      </c>
      <c r="E3" s="28"/>
      <c r="F3" s="28"/>
      <c r="G3" s="29"/>
      <c r="H3" s="30"/>
      <c r="I3" s="30"/>
      <c r="J3" s="30"/>
      <c r="K3" s="30"/>
      <c r="L3" s="30"/>
      <c r="M3" s="30"/>
      <c r="N3" s="30"/>
      <c r="O3" s="31"/>
      <c r="P3" s="31"/>
      <c r="Q3" s="31"/>
      <c r="R3" s="32"/>
      <c r="S3" s="32"/>
      <c r="T3" s="33"/>
      <c r="U3" s="34"/>
      <c r="V3" s="34"/>
      <c r="W3" s="44"/>
    </row>
    <row r="4" spans="1:23">
      <c r="A4" s="35">
        <v>43270</v>
      </c>
      <c r="B4" s="27"/>
      <c r="C4" s="27"/>
      <c r="D4" s="28">
        <v>1200</v>
      </c>
      <c r="E4" s="28"/>
      <c r="F4" s="28"/>
      <c r="G4" s="29"/>
      <c r="H4" s="30"/>
      <c r="I4" s="30"/>
      <c r="J4" s="30"/>
      <c r="K4" s="30"/>
      <c r="L4" s="30"/>
      <c r="M4" s="30"/>
      <c r="N4" s="30">
        <v>400</v>
      </c>
      <c r="O4" s="31"/>
      <c r="P4" s="31"/>
      <c r="Q4" s="31"/>
      <c r="R4" s="32"/>
      <c r="S4" s="32"/>
      <c r="T4" s="33">
        <v>400</v>
      </c>
      <c r="U4" s="34"/>
      <c r="V4" s="34"/>
      <c r="W4" s="44"/>
    </row>
    <row r="5" spans="1:23">
      <c r="A5" s="35">
        <v>43286</v>
      </c>
      <c r="B5" s="27">
        <v>400</v>
      </c>
      <c r="C5" s="27">
        <v>400</v>
      </c>
      <c r="D5" s="28"/>
      <c r="E5" s="28"/>
      <c r="F5" s="28"/>
      <c r="G5" s="29">
        <v>800</v>
      </c>
      <c r="H5" s="30"/>
      <c r="I5" s="30"/>
      <c r="J5" s="30"/>
      <c r="K5" s="30"/>
      <c r="L5" s="30"/>
      <c r="M5" s="30">
        <v>400</v>
      </c>
      <c r="N5" s="30"/>
      <c r="O5" s="31"/>
      <c r="P5" s="31"/>
      <c r="Q5" s="31"/>
      <c r="R5" s="32"/>
      <c r="S5" s="32"/>
      <c r="T5" s="33"/>
      <c r="U5" s="34"/>
      <c r="V5" s="34"/>
      <c r="W5" s="44"/>
    </row>
    <row r="6" spans="1:23">
      <c r="A6" s="35">
        <v>43318</v>
      </c>
      <c r="B6" s="27"/>
      <c r="C6" s="27">
        <v>400</v>
      </c>
      <c r="D6" s="28">
        <v>800</v>
      </c>
      <c r="E6" s="28"/>
      <c r="F6" s="28"/>
      <c r="G6" s="29">
        <v>800</v>
      </c>
      <c r="H6" s="30"/>
      <c r="I6" s="30">
        <v>400</v>
      </c>
      <c r="J6" s="30"/>
      <c r="K6" s="30"/>
      <c r="L6" s="30"/>
      <c r="M6" s="30"/>
      <c r="N6" s="30"/>
      <c r="O6" s="31"/>
      <c r="P6" s="31"/>
      <c r="Q6" s="31"/>
      <c r="R6" s="32"/>
      <c r="S6" s="32"/>
      <c r="T6" s="33"/>
      <c r="U6" s="34"/>
      <c r="V6" s="34"/>
      <c r="W6" s="44"/>
    </row>
    <row r="7" spans="1:23">
      <c r="A7" s="35">
        <v>43329</v>
      </c>
      <c r="B7" s="27"/>
      <c r="C7" s="27"/>
      <c r="D7" s="28"/>
      <c r="E7" s="28"/>
      <c r="F7" s="28"/>
      <c r="G7" s="29"/>
      <c r="H7" s="30"/>
      <c r="I7" s="30">
        <v>800</v>
      </c>
      <c r="J7" s="30"/>
      <c r="K7" s="30"/>
      <c r="L7" s="30"/>
      <c r="M7" s="30"/>
      <c r="N7" s="30"/>
      <c r="O7" s="31"/>
      <c r="P7" s="31"/>
      <c r="Q7" s="31"/>
      <c r="R7" s="32"/>
      <c r="S7" s="32"/>
      <c r="T7" s="33"/>
      <c r="U7" s="34"/>
      <c r="V7" s="34"/>
      <c r="W7" s="44"/>
    </row>
    <row r="8" spans="1:23">
      <c r="A8" s="35">
        <v>43332</v>
      </c>
      <c r="B8" s="27"/>
      <c r="C8" s="27"/>
      <c r="D8" s="28"/>
      <c r="E8" s="28"/>
      <c r="F8" s="28"/>
      <c r="G8" s="29"/>
      <c r="H8" s="30">
        <v>800</v>
      </c>
      <c r="I8" s="30"/>
      <c r="J8" s="30"/>
      <c r="K8" s="30"/>
      <c r="L8" s="30"/>
      <c r="M8" s="30"/>
      <c r="N8" s="30"/>
      <c r="O8" s="31"/>
      <c r="P8" s="31"/>
      <c r="Q8" s="31"/>
      <c r="R8" s="32"/>
      <c r="S8" s="32"/>
      <c r="T8" s="33"/>
      <c r="U8" s="34"/>
      <c r="V8" s="34"/>
      <c r="W8" s="44"/>
    </row>
    <row r="9" spans="1:23">
      <c r="A9" s="35">
        <v>43346</v>
      </c>
      <c r="B9" s="27"/>
      <c r="C9" s="27">
        <v>400</v>
      </c>
      <c r="D9" s="28">
        <v>400</v>
      </c>
      <c r="E9" s="28"/>
      <c r="F9" s="28"/>
      <c r="G9" s="29"/>
      <c r="H9" s="30"/>
      <c r="I9" s="30"/>
      <c r="J9" s="30"/>
      <c r="K9" s="30"/>
      <c r="L9" s="30"/>
      <c r="M9" s="30"/>
      <c r="N9" s="30"/>
      <c r="O9" s="31"/>
      <c r="P9" s="31"/>
      <c r="Q9" s="31"/>
      <c r="R9" s="32"/>
      <c r="S9" s="32"/>
      <c r="T9" s="33"/>
      <c r="U9" s="34"/>
      <c r="V9" s="34"/>
      <c r="W9" s="44"/>
    </row>
    <row r="10" spans="1:23">
      <c r="A10" s="35">
        <v>43353</v>
      </c>
      <c r="B10" s="27"/>
      <c r="C10" s="27"/>
      <c r="D10" s="28">
        <v>800</v>
      </c>
      <c r="E10" s="28"/>
      <c r="F10" s="28"/>
      <c r="G10" s="29"/>
      <c r="H10" s="30"/>
      <c r="I10" s="30"/>
      <c r="J10" s="30">
        <v>400</v>
      </c>
      <c r="K10" s="30"/>
      <c r="L10" s="30"/>
      <c r="M10" s="30"/>
      <c r="N10" s="30"/>
      <c r="O10" s="31"/>
      <c r="P10" s="31"/>
      <c r="Q10" s="31"/>
      <c r="R10" s="32"/>
      <c r="S10" s="32"/>
      <c r="T10" s="33"/>
      <c r="U10" s="34"/>
      <c r="V10" s="34"/>
      <c r="W10" s="44"/>
    </row>
    <row r="11" spans="1:23">
      <c r="A11" s="35">
        <v>43371</v>
      </c>
      <c r="B11" s="27"/>
      <c r="C11" s="27">
        <v>400</v>
      </c>
      <c r="D11" s="28"/>
      <c r="E11" s="28"/>
      <c r="F11" s="28">
        <v>400</v>
      </c>
      <c r="G11" s="29">
        <v>400</v>
      </c>
      <c r="H11" s="30">
        <v>400</v>
      </c>
      <c r="I11" s="30"/>
      <c r="J11" s="30"/>
      <c r="K11" s="30"/>
      <c r="L11" s="30"/>
      <c r="M11" s="30">
        <v>400</v>
      </c>
      <c r="N11" s="30"/>
      <c r="O11" s="31"/>
      <c r="P11" s="31"/>
      <c r="Q11" s="31"/>
      <c r="R11" s="32"/>
      <c r="S11" s="32"/>
      <c r="T11" s="33">
        <v>400</v>
      </c>
      <c r="U11" s="34"/>
      <c r="V11" s="34"/>
      <c r="W11" s="44"/>
    </row>
    <row r="12" spans="1:23">
      <c r="A12" s="35">
        <v>43384</v>
      </c>
      <c r="B12" s="27"/>
      <c r="C12" s="27"/>
      <c r="D12" s="28">
        <v>800</v>
      </c>
      <c r="E12" s="28"/>
      <c r="F12" s="28"/>
      <c r="G12" s="29">
        <v>800</v>
      </c>
      <c r="H12" s="30">
        <v>400</v>
      </c>
      <c r="I12" s="30">
        <v>400</v>
      </c>
      <c r="J12" s="30"/>
      <c r="K12" s="30"/>
      <c r="L12" s="30"/>
      <c r="M12" s="30"/>
      <c r="N12" s="30"/>
      <c r="O12" s="31"/>
      <c r="P12" s="31"/>
      <c r="Q12" s="31"/>
      <c r="R12" s="32"/>
      <c r="S12" s="32"/>
      <c r="T12" s="33"/>
      <c r="U12" s="34"/>
      <c r="V12" s="34"/>
      <c r="W12" s="44"/>
    </row>
    <row r="13" spans="1:23">
      <c r="A13" s="35">
        <v>43403</v>
      </c>
      <c r="B13" s="27"/>
      <c r="C13" s="27">
        <v>800</v>
      </c>
      <c r="D13" s="28">
        <v>800</v>
      </c>
      <c r="E13" s="28"/>
      <c r="F13" s="28">
        <v>400</v>
      </c>
      <c r="G13" s="29">
        <v>800</v>
      </c>
      <c r="H13" s="30">
        <v>400</v>
      </c>
      <c r="I13" s="30"/>
      <c r="J13" s="30"/>
      <c r="K13" s="30"/>
      <c r="L13" s="30">
        <v>400</v>
      </c>
      <c r="M13" s="30"/>
      <c r="N13" s="30"/>
      <c r="O13" s="31"/>
      <c r="P13" s="31"/>
      <c r="Q13" s="31"/>
      <c r="R13" s="32"/>
      <c r="S13" s="32"/>
      <c r="T13" s="33">
        <v>400</v>
      </c>
      <c r="U13" s="34"/>
      <c r="V13" s="34"/>
      <c r="W13" s="44"/>
    </row>
    <row r="14" spans="1:23">
      <c r="A14" s="35">
        <v>43419</v>
      </c>
      <c r="B14" s="27"/>
      <c r="C14" s="27"/>
      <c r="D14" s="28"/>
      <c r="E14" s="28"/>
      <c r="F14" s="28"/>
      <c r="G14" s="29">
        <v>400</v>
      </c>
      <c r="H14" s="30"/>
      <c r="I14" s="30"/>
      <c r="J14" s="30"/>
      <c r="K14" s="30"/>
      <c r="L14" s="30"/>
      <c r="M14" s="30"/>
      <c r="N14" s="30"/>
      <c r="O14" s="31"/>
      <c r="P14" s="31">
        <v>800</v>
      </c>
      <c r="Q14" s="31"/>
      <c r="R14" s="32"/>
      <c r="S14" s="32"/>
      <c r="T14" s="33"/>
      <c r="U14" s="34"/>
      <c r="V14" s="34"/>
      <c r="W14" s="44"/>
    </row>
    <row r="15" spans="1:23">
      <c r="A15" s="35">
        <v>43434</v>
      </c>
      <c r="B15" s="27"/>
      <c r="C15" s="27"/>
      <c r="D15" s="28">
        <v>2000</v>
      </c>
      <c r="E15" s="28"/>
      <c r="F15" s="28"/>
      <c r="G15" s="29">
        <v>800</v>
      </c>
      <c r="H15" s="30">
        <v>800</v>
      </c>
      <c r="I15" s="30">
        <v>800</v>
      </c>
      <c r="J15" s="30"/>
      <c r="K15" s="30"/>
      <c r="L15" s="30"/>
      <c r="M15" s="30"/>
      <c r="N15" s="30"/>
      <c r="O15" s="31">
        <v>400</v>
      </c>
      <c r="P15" s="31"/>
      <c r="Q15" s="31">
        <v>400</v>
      </c>
      <c r="R15" s="32">
        <v>400</v>
      </c>
      <c r="S15" s="32"/>
      <c r="T15" s="33">
        <v>400</v>
      </c>
      <c r="U15" s="34"/>
      <c r="V15" s="34"/>
      <c r="W15" s="44"/>
    </row>
    <row r="16" spans="1:23">
      <c r="A16" s="35">
        <v>43448</v>
      </c>
      <c r="B16" s="27"/>
      <c r="C16" s="27">
        <v>400</v>
      </c>
      <c r="D16" s="28"/>
      <c r="E16" s="28"/>
      <c r="F16" s="28"/>
      <c r="G16" s="29">
        <v>1200</v>
      </c>
      <c r="H16" s="30">
        <v>2000</v>
      </c>
      <c r="I16" s="30">
        <v>2400</v>
      </c>
      <c r="J16" s="30"/>
      <c r="K16" s="30"/>
      <c r="L16" s="30"/>
      <c r="M16" s="30"/>
      <c r="N16" s="30"/>
      <c r="O16" s="31"/>
      <c r="P16" s="31"/>
      <c r="Q16" s="31"/>
      <c r="R16" s="32"/>
      <c r="S16" s="32"/>
      <c r="T16" s="33"/>
      <c r="U16" s="34"/>
      <c r="V16" s="34"/>
      <c r="W16" s="44"/>
    </row>
    <row r="17" spans="1:23">
      <c r="A17" s="35">
        <v>43461</v>
      </c>
      <c r="B17" s="27"/>
      <c r="C17" s="27"/>
      <c r="D17" s="28">
        <v>1000</v>
      </c>
      <c r="E17" s="28"/>
      <c r="F17" s="28"/>
      <c r="G17" s="29">
        <v>400</v>
      </c>
      <c r="H17" s="30">
        <v>400</v>
      </c>
      <c r="I17" s="30"/>
      <c r="J17" s="30">
        <v>400</v>
      </c>
      <c r="K17" s="30">
        <v>400</v>
      </c>
      <c r="L17" s="30"/>
      <c r="M17" s="30"/>
      <c r="N17" s="30"/>
      <c r="O17" s="31"/>
      <c r="P17" s="31"/>
      <c r="Q17" s="31"/>
      <c r="R17" s="32">
        <v>400</v>
      </c>
      <c r="S17" s="32"/>
      <c r="T17" s="33"/>
      <c r="U17" s="34"/>
      <c r="V17" s="34"/>
      <c r="W17" s="44"/>
    </row>
    <row r="18" spans="1:23">
      <c r="A18" s="35">
        <v>43480</v>
      </c>
      <c r="B18" s="27"/>
      <c r="C18" s="27"/>
      <c r="D18" s="28">
        <v>400</v>
      </c>
      <c r="E18" s="28"/>
      <c r="F18" s="28">
        <v>400</v>
      </c>
      <c r="G18" s="29">
        <v>400</v>
      </c>
      <c r="H18" s="30"/>
      <c r="I18" s="30"/>
      <c r="J18" s="30">
        <v>400</v>
      </c>
      <c r="K18" s="30">
        <v>1200</v>
      </c>
      <c r="L18" s="30"/>
      <c r="M18" s="30"/>
      <c r="N18" s="30"/>
      <c r="O18" s="31"/>
      <c r="P18" s="31"/>
      <c r="Q18" s="31"/>
      <c r="R18" s="32"/>
      <c r="S18" s="32"/>
      <c r="T18" s="33"/>
      <c r="U18" s="34">
        <v>400</v>
      </c>
      <c r="V18" s="34"/>
      <c r="W18" s="44"/>
    </row>
    <row r="19" spans="1:23">
      <c r="A19" s="35">
        <v>43496</v>
      </c>
      <c r="B19" s="27"/>
      <c r="C19" s="27">
        <v>800</v>
      </c>
      <c r="D19" s="28">
        <v>1600</v>
      </c>
      <c r="E19" s="28">
        <v>400</v>
      </c>
      <c r="F19" s="28">
        <v>800</v>
      </c>
      <c r="G19" s="29"/>
      <c r="H19" s="30"/>
      <c r="I19" s="30"/>
      <c r="J19" s="30">
        <v>800</v>
      </c>
      <c r="K19" s="30">
        <v>800</v>
      </c>
      <c r="L19" s="30"/>
      <c r="M19" s="30"/>
      <c r="N19" s="30"/>
      <c r="O19" s="31"/>
      <c r="P19" s="31"/>
      <c r="Q19" s="31">
        <v>800</v>
      </c>
      <c r="R19" s="32"/>
      <c r="S19" s="32"/>
      <c r="T19" s="33"/>
      <c r="U19" s="34"/>
      <c r="V19" s="34">
        <v>400</v>
      </c>
      <c r="W19" s="44"/>
    </row>
    <row r="20" spans="1:23">
      <c r="A20" s="35">
        <v>43524</v>
      </c>
      <c r="B20" s="27"/>
      <c r="C20" s="27"/>
      <c r="D20" s="28"/>
      <c r="E20" s="28"/>
      <c r="F20" s="28"/>
      <c r="G20" s="29"/>
      <c r="H20" s="30"/>
      <c r="I20" s="30"/>
      <c r="J20" s="30"/>
      <c r="K20" s="30"/>
      <c r="L20" s="30"/>
      <c r="M20" s="30"/>
      <c r="N20" s="30"/>
      <c r="O20" s="31"/>
      <c r="P20" s="31"/>
      <c r="Q20" s="31">
        <v>400</v>
      </c>
      <c r="R20" s="32"/>
      <c r="S20" s="32"/>
      <c r="T20" s="33"/>
      <c r="U20" s="34"/>
      <c r="V20" s="34"/>
      <c r="W20" s="44"/>
    </row>
    <row r="21" spans="1:23">
      <c r="A21" s="35">
        <v>43552</v>
      </c>
      <c r="B21" s="27"/>
      <c r="C21" s="27"/>
      <c r="D21" s="28"/>
      <c r="E21" s="28"/>
      <c r="F21" s="28"/>
      <c r="G21" s="29"/>
      <c r="H21" s="30"/>
      <c r="I21" s="30"/>
      <c r="J21" s="30"/>
      <c r="K21" s="30"/>
      <c r="L21" s="30"/>
      <c r="M21" s="30"/>
      <c r="N21" s="30"/>
      <c r="O21" s="31"/>
      <c r="P21" s="31"/>
      <c r="Q21" s="31">
        <v>400</v>
      </c>
      <c r="R21" s="32">
        <v>400</v>
      </c>
      <c r="S21" s="32">
        <v>400</v>
      </c>
      <c r="T21" s="33"/>
      <c r="U21" s="34"/>
      <c r="V21" s="34"/>
      <c r="W21" s="44"/>
    </row>
    <row r="22" spans="1:23">
      <c r="A22" s="35">
        <v>43581</v>
      </c>
      <c r="B22" s="27"/>
      <c r="C22" s="27"/>
      <c r="D22" s="28"/>
      <c r="E22" s="28"/>
      <c r="F22" s="28"/>
      <c r="G22" s="29"/>
      <c r="H22" s="30"/>
      <c r="I22" s="30"/>
      <c r="J22" s="30">
        <v>800</v>
      </c>
      <c r="K22" s="30"/>
      <c r="L22" s="30"/>
      <c r="M22" s="30"/>
      <c r="N22" s="30"/>
      <c r="O22" s="31"/>
      <c r="P22" s="31"/>
      <c r="Q22" s="31"/>
      <c r="R22" s="32"/>
      <c r="S22" s="32"/>
      <c r="T22" s="33"/>
      <c r="U22" s="34"/>
      <c r="V22" s="34"/>
      <c r="W22" s="44"/>
    </row>
    <row r="23" spans="1:23">
      <c r="A23" s="35">
        <v>43584</v>
      </c>
      <c r="B23" s="27"/>
      <c r="C23" s="27"/>
      <c r="D23" s="28"/>
      <c r="E23" s="28">
        <v>400</v>
      </c>
      <c r="F23" s="28"/>
      <c r="G23" s="29"/>
      <c r="H23" s="30"/>
      <c r="I23" s="30"/>
      <c r="J23" s="30"/>
      <c r="K23" s="30"/>
      <c r="L23" s="30"/>
      <c r="M23" s="30"/>
      <c r="N23" s="30"/>
      <c r="O23" s="31"/>
      <c r="P23" s="31"/>
      <c r="Q23" s="31"/>
      <c r="R23" s="32"/>
      <c r="S23" s="32"/>
      <c r="T23" s="33"/>
      <c r="U23" s="34"/>
      <c r="V23" s="34"/>
      <c r="W23" s="44"/>
    </row>
    <row r="24" spans="1:23">
      <c r="A24" s="35">
        <v>43600</v>
      </c>
      <c r="B24" s="27">
        <v>400</v>
      </c>
      <c r="C24" s="27">
        <v>400</v>
      </c>
      <c r="D24" s="28"/>
      <c r="E24" s="28"/>
      <c r="F24" s="28"/>
      <c r="G24" s="29"/>
      <c r="H24" s="30"/>
      <c r="I24" s="30"/>
      <c r="J24" s="30"/>
      <c r="K24" s="30"/>
      <c r="L24" s="30">
        <v>-400</v>
      </c>
      <c r="M24" s="30"/>
      <c r="N24" s="30"/>
      <c r="O24" s="31"/>
      <c r="P24" s="31"/>
      <c r="Q24" s="31"/>
      <c r="R24" s="32"/>
      <c r="S24" s="32"/>
      <c r="T24" s="33"/>
      <c r="U24" s="34"/>
      <c r="V24" s="34">
        <v>400</v>
      </c>
      <c r="W24" s="44"/>
    </row>
    <row r="25" spans="1:23">
      <c r="A25" s="35">
        <v>43601</v>
      </c>
      <c r="B25" s="27">
        <v>400</v>
      </c>
      <c r="C25" s="27"/>
      <c r="D25" s="28"/>
      <c r="E25" s="28"/>
      <c r="F25" s="28"/>
      <c r="G25" s="29">
        <v>1600</v>
      </c>
      <c r="H25" s="30"/>
      <c r="I25" s="30"/>
      <c r="J25" s="30"/>
      <c r="K25" s="30"/>
      <c r="L25" s="30"/>
      <c r="M25" s="30"/>
      <c r="N25" s="30"/>
      <c r="O25" s="31"/>
      <c r="P25" s="31"/>
      <c r="Q25" s="31"/>
      <c r="R25" s="32"/>
      <c r="S25" s="32"/>
      <c r="T25" s="33"/>
      <c r="U25" s="34"/>
      <c r="V25" s="34"/>
      <c r="W25" s="44"/>
    </row>
    <row r="26" spans="1:23">
      <c r="A26" s="35">
        <v>43615</v>
      </c>
      <c r="B26" s="27"/>
      <c r="C26" s="27"/>
      <c r="D26" s="28"/>
      <c r="E26" s="28"/>
      <c r="F26" s="28"/>
      <c r="G26" s="29"/>
      <c r="H26" s="30"/>
      <c r="I26" s="30"/>
      <c r="J26" s="30"/>
      <c r="K26" s="30"/>
      <c r="L26" s="30"/>
      <c r="M26" s="30"/>
      <c r="N26" s="30"/>
      <c r="O26" s="31"/>
      <c r="P26" s="31">
        <v>800</v>
      </c>
      <c r="Q26" s="31"/>
      <c r="R26" s="32"/>
      <c r="S26" s="32"/>
      <c r="T26" s="33"/>
      <c r="U26" s="34"/>
      <c r="V26" s="34">
        <v>800</v>
      </c>
      <c r="W26" s="44"/>
    </row>
    <row r="27" spans="1:23">
      <c r="A27" s="35">
        <v>43634</v>
      </c>
      <c r="B27" s="27"/>
      <c r="C27" s="27"/>
      <c r="D27" s="28">
        <v>800</v>
      </c>
      <c r="E27" s="28"/>
      <c r="F27" s="28"/>
      <c r="G27" s="29"/>
      <c r="H27" s="30"/>
      <c r="I27" s="30"/>
      <c r="J27" s="30"/>
      <c r="K27" s="30"/>
      <c r="L27" s="30"/>
      <c r="M27" s="30"/>
      <c r="N27" s="30"/>
      <c r="O27" s="31"/>
      <c r="P27" s="31"/>
      <c r="Q27" s="31"/>
      <c r="R27" s="32"/>
      <c r="S27" s="32"/>
      <c r="T27" s="33"/>
      <c r="U27" s="34"/>
      <c r="V27" s="34">
        <v>400</v>
      </c>
      <c r="W27" s="44"/>
    </row>
    <row r="28" spans="1:23">
      <c r="A28" s="35">
        <v>43647</v>
      </c>
      <c r="B28" s="27"/>
      <c r="C28" s="27"/>
      <c r="D28" s="28"/>
      <c r="E28" s="28"/>
      <c r="F28" s="28"/>
      <c r="G28" s="29"/>
      <c r="H28" s="30"/>
      <c r="I28" s="30"/>
      <c r="J28" s="30"/>
      <c r="K28" s="30"/>
      <c r="L28" s="30"/>
      <c r="M28" s="30"/>
      <c r="N28" s="30"/>
      <c r="O28" s="31"/>
      <c r="P28" s="31"/>
      <c r="Q28" s="31"/>
      <c r="R28" s="32"/>
      <c r="S28" s="32">
        <v>400</v>
      </c>
      <c r="T28" s="33"/>
      <c r="U28" s="34"/>
      <c r="V28" s="34"/>
      <c r="W28" s="44"/>
    </row>
    <row r="29" spans="1:23">
      <c r="A29" s="35">
        <v>43677</v>
      </c>
      <c r="B29" s="27"/>
      <c r="C29" s="27"/>
      <c r="D29" s="28"/>
      <c r="E29" s="28"/>
      <c r="F29" s="28"/>
      <c r="G29" s="29"/>
      <c r="H29" s="30"/>
      <c r="I29" s="30"/>
      <c r="J29" s="30"/>
      <c r="K29" s="30"/>
      <c r="L29" s="30"/>
      <c r="M29" s="30"/>
      <c r="N29" s="30"/>
      <c r="O29" s="31"/>
      <c r="P29" s="31"/>
      <c r="Q29" s="31"/>
      <c r="R29" s="32"/>
      <c r="S29" s="32">
        <v>400</v>
      </c>
      <c r="T29" s="33"/>
      <c r="U29" s="34"/>
      <c r="V29" s="34">
        <v>800</v>
      </c>
      <c r="W29" s="44"/>
    </row>
    <row r="34" spans="1:23">
      <c r="A34" s="18" t="s">
        <v>62</v>
      </c>
      <c r="B34" s="27">
        <f>SUM(B2:B33)</f>
        <v>1200</v>
      </c>
      <c r="C34" s="27">
        <f t="shared" ref="C34:V34" si="0">SUM(C2:C33)</f>
        <v>4000</v>
      </c>
      <c r="D34" s="28">
        <f t="shared" si="0"/>
        <v>13000</v>
      </c>
      <c r="E34" s="28">
        <f t="shared" si="0"/>
        <v>1200</v>
      </c>
      <c r="F34" s="28">
        <f t="shared" si="0"/>
        <v>2000</v>
      </c>
      <c r="G34" s="29">
        <f t="shared" si="0"/>
        <v>8400</v>
      </c>
      <c r="H34" s="30">
        <f t="shared" si="0"/>
        <v>5200</v>
      </c>
      <c r="I34" s="30">
        <f t="shared" si="0"/>
        <v>4800</v>
      </c>
      <c r="J34" s="30">
        <f t="shared" si="0"/>
        <v>3200</v>
      </c>
      <c r="K34" s="30">
        <f t="shared" si="0"/>
        <v>3200</v>
      </c>
      <c r="L34" s="30">
        <f t="shared" si="0"/>
        <v>0</v>
      </c>
      <c r="M34" s="30">
        <f t="shared" si="0"/>
        <v>800</v>
      </c>
      <c r="N34" s="30">
        <f t="shared" si="0"/>
        <v>400</v>
      </c>
      <c r="O34" s="31">
        <f t="shared" si="0"/>
        <v>400</v>
      </c>
      <c r="P34" s="31">
        <f t="shared" si="0"/>
        <v>1600</v>
      </c>
      <c r="Q34" s="31">
        <f t="shared" si="0"/>
        <v>2000</v>
      </c>
      <c r="R34" s="32">
        <f t="shared" si="0"/>
        <v>1200</v>
      </c>
      <c r="S34" s="32">
        <f t="shared" si="0"/>
        <v>1200</v>
      </c>
      <c r="T34" s="33">
        <f t="shared" si="0"/>
        <v>1600</v>
      </c>
      <c r="U34" s="34">
        <f t="shared" si="0"/>
        <v>400</v>
      </c>
      <c r="V34" s="34">
        <f t="shared" si="0"/>
        <v>2800</v>
      </c>
      <c r="W34">
        <f>72000-SUM(B34:V34)</f>
        <v>13400</v>
      </c>
    </row>
    <row r="35" spans="1:23">
      <c r="B35" s="46">
        <f>B34/400*0.0055</f>
        <v>1.6500000000000001E-2</v>
      </c>
      <c r="C35" s="46">
        <f t="shared" ref="C35:V35" si="1">C34/400*0.0055</f>
        <v>5.4999999999999993E-2</v>
      </c>
      <c r="D35" s="47">
        <f t="shared" si="1"/>
        <v>0.17874999999999999</v>
      </c>
      <c r="E35" s="47">
        <f t="shared" si="1"/>
        <v>1.6500000000000001E-2</v>
      </c>
      <c r="F35" s="47">
        <f t="shared" si="1"/>
        <v>2.7499999999999997E-2</v>
      </c>
      <c r="G35" s="48">
        <f t="shared" si="1"/>
        <v>0.11549999999999999</v>
      </c>
      <c r="H35" s="49">
        <f t="shared" si="1"/>
        <v>7.1499999999999994E-2</v>
      </c>
      <c r="I35" s="49">
        <f t="shared" si="1"/>
        <v>6.6000000000000003E-2</v>
      </c>
      <c r="J35" s="49">
        <f t="shared" si="1"/>
        <v>4.3999999999999997E-2</v>
      </c>
      <c r="K35" s="49">
        <f t="shared" si="1"/>
        <v>4.3999999999999997E-2</v>
      </c>
      <c r="L35" s="49">
        <f t="shared" si="1"/>
        <v>0</v>
      </c>
      <c r="M35" s="49">
        <f t="shared" si="1"/>
        <v>1.0999999999999999E-2</v>
      </c>
      <c r="N35" s="49">
        <f t="shared" si="1"/>
        <v>5.4999999999999997E-3</v>
      </c>
      <c r="O35" s="50">
        <f t="shared" si="1"/>
        <v>5.4999999999999997E-3</v>
      </c>
      <c r="P35" s="50">
        <f t="shared" si="1"/>
        <v>2.1999999999999999E-2</v>
      </c>
      <c r="Q35" s="50">
        <f t="shared" si="1"/>
        <v>2.7499999999999997E-2</v>
      </c>
      <c r="R35" s="51">
        <f t="shared" si="1"/>
        <v>1.6500000000000001E-2</v>
      </c>
      <c r="S35" s="51">
        <f t="shared" si="1"/>
        <v>1.6500000000000001E-2</v>
      </c>
      <c r="T35" s="52">
        <f t="shared" si="1"/>
        <v>2.1999999999999999E-2</v>
      </c>
      <c r="U35" s="53">
        <f t="shared" si="1"/>
        <v>5.4999999999999997E-3</v>
      </c>
      <c r="V35" s="53">
        <f t="shared" si="1"/>
        <v>3.85E-2</v>
      </c>
      <c r="W35" s="26">
        <f>1-SUM(B35:V35)</f>
        <v>0.19425000000000014</v>
      </c>
    </row>
    <row r="46" spans="1:23">
      <c r="L46" t="s">
        <v>124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26564-71D0-49C0-AB5A-4594204B0C50}">
  <sheetPr codeName="Sheet2"/>
  <dimension ref="A1:K37"/>
  <sheetViews>
    <sheetView workbookViewId="0">
      <selection activeCell="M26" sqref="M26"/>
    </sheetView>
  </sheetViews>
  <sheetFormatPr defaultRowHeight="14.25"/>
  <cols>
    <col min="1" max="1" width="8.625" customWidth="1"/>
    <col min="2" max="3" width="25.625" customWidth="1"/>
    <col min="4" max="4" width="8.625" customWidth="1"/>
    <col min="5" max="6" width="25.625" customWidth="1"/>
    <col min="7" max="7" width="8.625" customWidth="1"/>
    <col min="8" max="8" width="26.125" bestFit="1" customWidth="1"/>
    <col min="9" max="11" width="8.625" customWidth="1"/>
  </cols>
  <sheetData>
    <row r="1" spans="1:11" ht="15" thickBot="1"/>
    <row r="2" spans="1:11">
      <c r="A2" s="63"/>
      <c r="B2" s="80" t="s">
        <v>162</v>
      </c>
      <c r="C2" s="81"/>
      <c r="E2" s="80" t="s">
        <v>163</v>
      </c>
      <c r="F2" s="81"/>
      <c r="H2" s="70" t="s">
        <v>169</v>
      </c>
      <c r="I2" s="71" t="s">
        <v>166</v>
      </c>
      <c r="J2" s="71" t="s">
        <v>167</v>
      </c>
      <c r="K2" s="72" t="s">
        <v>168</v>
      </c>
    </row>
    <row r="3" spans="1:11">
      <c r="B3" s="64" t="s">
        <v>164</v>
      </c>
      <c r="C3" s="65" t="s">
        <v>165</v>
      </c>
      <c r="E3" s="64" t="s">
        <v>164</v>
      </c>
      <c r="F3" s="65" t="s">
        <v>165</v>
      </c>
      <c r="H3" s="73" t="s">
        <v>71</v>
      </c>
      <c r="I3" s="69">
        <f>INDEX(B:B,MATCH($H3,B$1:B$100,0)+1)</f>
        <v>184.02</v>
      </c>
      <c r="J3" s="69">
        <f>INDEX(E:E,MATCH($H3,E$1:E$100,0)+1)</f>
        <v>80.41</v>
      </c>
      <c r="K3" s="74">
        <f>I3+J3</f>
        <v>264.43</v>
      </c>
    </row>
    <row r="4" spans="1:11">
      <c r="B4" s="64">
        <f>SUM(B5:B63)</f>
        <v>6071.9800000000005</v>
      </c>
      <c r="C4" s="65">
        <f>SUM(C5:C63)</f>
        <v>-44.839999999999989</v>
      </c>
      <c r="E4" s="64">
        <f>SUM(E5:E63)</f>
        <v>6085.4699999999993</v>
      </c>
      <c r="F4" s="65">
        <f>SUM(F5:F63)</f>
        <v>-40.290000000000006</v>
      </c>
      <c r="H4" s="73" t="s">
        <v>72</v>
      </c>
      <c r="I4" s="69">
        <f t="shared" ref="I4:I13" si="0">INDEX(B:B,MATCH($H4,B$1:B$100,0)+1)</f>
        <v>488.95</v>
      </c>
      <c r="J4" s="69">
        <f t="shared" ref="J4:J13" si="1">INDEX(E:E,MATCH($H4,E$1:E$100,0)+1)</f>
        <v>560.98</v>
      </c>
      <c r="K4" s="74">
        <f t="shared" ref="K4:K13" si="2">I4+J4</f>
        <v>1049.93</v>
      </c>
    </row>
    <row r="5" spans="1:11">
      <c r="B5" s="64" t="s">
        <v>125</v>
      </c>
      <c r="C5" s="65" t="s">
        <v>158</v>
      </c>
      <c r="E5" s="64" t="s">
        <v>67</v>
      </c>
      <c r="F5" s="65" t="s">
        <v>158</v>
      </c>
      <c r="H5" s="73" t="s">
        <v>67</v>
      </c>
      <c r="I5" s="69">
        <f t="shared" si="0"/>
        <v>1048.0999999999999</v>
      </c>
      <c r="J5" s="69">
        <f t="shared" si="1"/>
        <v>1121.03</v>
      </c>
      <c r="K5" s="74">
        <f t="shared" si="2"/>
        <v>2169.13</v>
      </c>
    </row>
    <row r="6" spans="1:11">
      <c r="B6" s="66">
        <v>1119.75</v>
      </c>
      <c r="C6" s="65">
        <v>-40.5</v>
      </c>
      <c r="E6" s="66">
        <v>1121.03</v>
      </c>
      <c r="F6" s="65">
        <v>-0.99</v>
      </c>
      <c r="H6" s="73" t="s">
        <v>73</v>
      </c>
      <c r="I6" s="69">
        <f t="shared" si="0"/>
        <v>34.61</v>
      </c>
      <c r="J6" s="69">
        <f t="shared" si="1"/>
        <v>34.61</v>
      </c>
      <c r="K6" s="74">
        <f t="shared" si="2"/>
        <v>69.22</v>
      </c>
    </row>
    <row r="7" spans="1:11">
      <c r="B7" s="64" t="s">
        <v>156</v>
      </c>
      <c r="C7" s="65" t="s">
        <v>159</v>
      </c>
      <c r="E7" s="64" t="s">
        <v>156</v>
      </c>
      <c r="F7" s="65" t="s">
        <v>159</v>
      </c>
      <c r="H7" s="73" t="s">
        <v>66</v>
      </c>
      <c r="I7" s="69">
        <f t="shared" si="0"/>
        <v>880.81</v>
      </c>
      <c r="J7" s="69">
        <f t="shared" si="1"/>
        <v>917.55</v>
      </c>
      <c r="K7" s="74">
        <f t="shared" si="2"/>
        <v>1798.36</v>
      </c>
    </row>
    <row r="8" spans="1:11">
      <c r="B8" s="64" t="s">
        <v>65</v>
      </c>
      <c r="C8" s="65" t="s">
        <v>158</v>
      </c>
      <c r="E8" s="64" t="s">
        <v>65</v>
      </c>
      <c r="F8" s="65" t="s">
        <v>158</v>
      </c>
      <c r="H8" s="73" t="s">
        <v>68</v>
      </c>
      <c r="I8" s="69">
        <f t="shared" si="0"/>
        <v>778.55</v>
      </c>
      <c r="J8" s="69">
        <f t="shared" si="1"/>
        <v>764.99</v>
      </c>
      <c r="K8" s="74">
        <f t="shared" si="2"/>
        <v>1543.54</v>
      </c>
    </row>
    <row r="9" spans="1:11">
      <c r="B9" s="66">
        <v>1100.0999999999999</v>
      </c>
      <c r="C9" s="65">
        <v>1.6</v>
      </c>
      <c r="E9" s="66">
        <v>1075.94</v>
      </c>
      <c r="F9" s="65">
        <v>4.3099999999999996</v>
      </c>
      <c r="H9" s="73" t="s">
        <v>125</v>
      </c>
      <c r="I9" s="69">
        <f t="shared" si="0"/>
        <v>1119.75</v>
      </c>
      <c r="J9" s="69">
        <f t="shared" si="1"/>
        <v>1071.81</v>
      </c>
      <c r="K9" s="74">
        <f t="shared" si="2"/>
        <v>2191.56</v>
      </c>
    </row>
    <row r="10" spans="1:11">
      <c r="B10" s="64" t="s">
        <v>156</v>
      </c>
      <c r="C10" s="65" t="s">
        <v>159</v>
      </c>
      <c r="E10" s="64" t="s">
        <v>156</v>
      </c>
      <c r="F10" s="65" t="s">
        <v>159</v>
      </c>
      <c r="H10" s="73" t="s">
        <v>69</v>
      </c>
      <c r="I10" s="69">
        <f t="shared" si="0"/>
        <v>210.62</v>
      </c>
      <c r="J10" s="69">
        <f t="shared" si="1"/>
        <v>198.92</v>
      </c>
      <c r="K10" s="74">
        <f t="shared" si="2"/>
        <v>409.53999999999996</v>
      </c>
    </row>
    <row r="11" spans="1:11">
      <c r="B11" s="64" t="s">
        <v>67</v>
      </c>
      <c r="C11" s="65" t="s">
        <v>160</v>
      </c>
      <c r="E11" s="64" t="s">
        <v>125</v>
      </c>
      <c r="F11" s="65" t="s">
        <v>158</v>
      </c>
      <c r="H11" s="73" t="s">
        <v>70</v>
      </c>
      <c r="I11" s="69">
        <f t="shared" si="0"/>
        <v>160.43</v>
      </c>
      <c r="J11" s="69">
        <f t="shared" si="1"/>
        <v>160.43</v>
      </c>
      <c r="K11" s="74">
        <f t="shared" si="2"/>
        <v>320.86</v>
      </c>
    </row>
    <row r="12" spans="1:11">
      <c r="B12" s="66">
        <v>1048.0999999999999</v>
      </c>
      <c r="C12" s="65">
        <v>1.83</v>
      </c>
      <c r="E12" s="66">
        <v>1071.81</v>
      </c>
      <c r="F12" s="65">
        <v>-33.450000000000003</v>
      </c>
      <c r="H12" s="73" t="s">
        <v>155</v>
      </c>
      <c r="I12" s="69">
        <f t="shared" si="0"/>
        <v>66.040000000000006</v>
      </c>
      <c r="J12" s="69">
        <f t="shared" si="1"/>
        <v>98.8</v>
      </c>
      <c r="K12" s="74">
        <f t="shared" si="2"/>
        <v>164.84</v>
      </c>
    </row>
    <row r="13" spans="1:11" ht="15" thickBot="1">
      <c r="B13" s="64" t="s">
        <v>156</v>
      </c>
      <c r="C13" s="65" t="s">
        <v>159</v>
      </c>
      <c r="E13" s="64" t="s">
        <v>156</v>
      </c>
      <c r="F13" s="65" t="s">
        <v>159</v>
      </c>
      <c r="H13" s="75" t="s">
        <v>65</v>
      </c>
      <c r="I13" s="76">
        <f t="shared" si="0"/>
        <v>1100.0999999999999</v>
      </c>
      <c r="J13" s="76">
        <f t="shared" si="1"/>
        <v>1075.94</v>
      </c>
      <c r="K13" s="77">
        <f t="shared" si="2"/>
        <v>2176.04</v>
      </c>
    </row>
    <row r="14" spans="1:11">
      <c r="B14" s="64" t="s">
        <v>66</v>
      </c>
      <c r="C14" s="65" t="s">
        <v>161</v>
      </c>
      <c r="E14" s="64" t="s">
        <v>66</v>
      </c>
      <c r="F14" s="65" t="s">
        <v>158</v>
      </c>
    </row>
    <row r="15" spans="1:11">
      <c r="B15" s="64">
        <v>880.81</v>
      </c>
      <c r="C15" s="65">
        <v>-10.32</v>
      </c>
      <c r="E15" s="64">
        <v>917.55</v>
      </c>
      <c r="F15" s="65">
        <v>-8.74</v>
      </c>
      <c r="H15" s="78" t="s">
        <v>170</v>
      </c>
      <c r="I15" s="79">
        <f>B4+E4</f>
        <v>12157.45</v>
      </c>
    </row>
    <row r="16" spans="1:11">
      <c r="B16" s="64" t="s">
        <v>156</v>
      </c>
      <c r="C16" s="65" t="s">
        <v>159</v>
      </c>
      <c r="E16" s="64" t="s">
        <v>156</v>
      </c>
      <c r="F16" s="65" t="s">
        <v>159</v>
      </c>
      <c r="H16" s="78" t="s">
        <v>171</v>
      </c>
      <c r="I16" s="44">
        <f>C4+F4</f>
        <v>-85.13</v>
      </c>
    </row>
    <row r="17" spans="2:6">
      <c r="B17" s="64" t="s">
        <v>68</v>
      </c>
      <c r="C17" s="65" t="s">
        <v>158</v>
      </c>
      <c r="E17" s="64" t="s">
        <v>68</v>
      </c>
      <c r="F17" s="65" t="s">
        <v>158</v>
      </c>
    </row>
    <row r="18" spans="2:6">
      <c r="B18" s="64">
        <v>778.55</v>
      </c>
      <c r="C18" s="65">
        <v>3.96</v>
      </c>
      <c r="E18" s="64">
        <v>764.99</v>
      </c>
      <c r="F18" s="65">
        <v>3.47</v>
      </c>
    </row>
    <row r="19" spans="2:6">
      <c r="B19" s="64" t="s">
        <v>156</v>
      </c>
      <c r="C19" s="65" t="s">
        <v>159</v>
      </c>
      <c r="E19" s="64" t="s">
        <v>156</v>
      </c>
      <c r="F19" s="65" t="s">
        <v>159</v>
      </c>
    </row>
    <row r="20" spans="2:6">
      <c r="B20" s="64" t="s">
        <v>72</v>
      </c>
      <c r="C20" s="65" t="s">
        <v>158</v>
      </c>
      <c r="E20" s="64" t="s">
        <v>72</v>
      </c>
      <c r="F20" s="65" t="s">
        <v>158</v>
      </c>
    </row>
    <row r="21" spans="2:6">
      <c r="B21" s="64">
        <v>488.95</v>
      </c>
      <c r="C21" s="65">
        <v>-3.69</v>
      </c>
      <c r="E21" s="64">
        <v>560.98</v>
      </c>
      <c r="F21" s="65">
        <v>-5.49</v>
      </c>
    </row>
    <row r="22" spans="2:6">
      <c r="B22" s="64" t="s">
        <v>156</v>
      </c>
      <c r="C22" s="65" t="s">
        <v>159</v>
      </c>
      <c r="E22" s="64" t="s">
        <v>156</v>
      </c>
      <c r="F22" s="65" t="s">
        <v>159</v>
      </c>
    </row>
    <row r="23" spans="2:6">
      <c r="B23" s="64" t="s">
        <v>69</v>
      </c>
      <c r="C23" s="65" t="s">
        <v>161</v>
      </c>
      <c r="E23" s="64" t="s">
        <v>69</v>
      </c>
      <c r="F23" s="65" t="s">
        <v>158</v>
      </c>
    </row>
    <row r="24" spans="2:6">
      <c r="B24" s="64">
        <v>210.62</v>
      </c>
      <c r="C24" s="65">
        <v>-12.89</v>
      </c>
      <c r="E24" s="64">
        <v>198.92</v>
      </c>
      <c r="F24" s="65">
        <v>-12.3</v>
      </c>
    </row>
    <row r="25" spans="2:6">
      <c r="B25" s="64" t="s">
        <v>156</v>
      </c>
      <c r="C25" s="65" t="s">
        <v>159</v>
      </c>
      <c r="E25" s="64" t="s">
        <v>156</v>
      </c>
      <c r="F25" s="65" t="s">
        <v>159</v>
      </c>
    </row>
    <row r="26" spans="2:6">
      <c r="B26" s="64" t="s">
        <v>71</v>
      </c>
      <c r="C26" s="65" t="s">
        <v>160</v>
      </c>
      <c r="E26" s="64" t="s">
        <v>70</v>
      </c>
      <c r="F26" s="65" t="s">
        <v>158</v>
      </c>
    </row>
    <row r="27" spans="2:6">
      <c r="B27" s="64">
        <v>184.02</v>
      </c>
      <c r="C27" s="65">
        <v>1.57</v>
      </c>
      <c r="E27" s="64">
        <v>160.43</v>
      </c>
      <c r="F27" s="65">
        <v>17.73</v>
      </c>
    </row>
    <row r="28" spans="2:6">
      <c r="B28" s="64" t="s">
        <v>156</v>
      </c>
      <c r="C28" s="65" t="s">
        <v>159</v>
      </c>
      <c r="E28" s="64" t="s">
        <v>156</v>
      </c>
      <c r="F28" s="65" t="s">
        <v>159</v>
      </c>
    </row>
    <row r="29" spans="2:6">
      <c r="B29" s="64" t="s">
        <v>70</v>
      </c>
      <c r="C29" s="65" t="s">
        <v>158</v>
      </c>
      <c r="E29" s="64" t="s">
        <v>155</v>
      </c>
      <c r="F29" s="65" t="s">
        <v>158</v>
      </c>
    </row>
    <row r="30" spans="2:6">
      <c r="B30" s="64">
        <v>160.43</v>
      </c>
      <c r="C30" s="65">
        <v>17.73</v>
      </c>
      <c r="E30" s="64">
        <v>98.8</v>
      </c>
      <c r="F30" s="65">
        <v>-2.73</v>
      </c>
    </row>
    <row r="31" spans="2:6">
      <c r="B31" s="64" t="s">
        <v>157</v>
      </c>
      <c r="C31" s="65" t="s">
        <v>159</v>
      </c>
      <c r="E31" s="64" t="s">
        <v>156</v>
      </c>
      <c r="F31" s="65" t="s">
        <v>159</v>
      </c>
    </row>
    <row r="32" spans="2:6">
      <c r="B32" s="64" t="s">
        <v>155</v>
      </c>
      <c r="C32" s="65" t="s">
        <v>158</v>
      </c>
      <c r="E32" s="64" t="s">
        <v>71</v>
      </c>
      <c r="F32" s="65" t="s">
        <v>158</v>
      </c>
    </row>
    <row r="33" spans="2:6">
      <c r="B33" s="64">
        <v>66.040000000000006</v>
      </c>
      <c r="C33" s="65">
        <v>-1.66</v>
      </c>
      <c r="E33" s="64">
        <v>80.41</v>
      </c>
      <c r="F33" s="65">
        <v>0.37</v>
      </c>
    </row>
    <row r="34" spans="2:6">
      <c r="B34" s="64" t="s">
        <v>156</v>
      </c>
      <c r="C34" s="65" t="s">
        <v>159</v>
      </c>
      <c r="E34" s="64" t="s">
        <v>156</v>
      </c>
      <c r="F34" s="65" t="s">
        <v>159</v>
      </c>
    </row>
    <row r="35" spans="2:6">
      <c r="B35" s="64" t="s">
        <v>73</v>
      </c>
      <c r="C35" s="65" t="s">
        <v>158</v>
      </c>
      <c r="E35" s="64" t="s">
        <v>73</v>
      </c>
      <c r="F35" s="65" t="s">
        <v>158</v>
      </c>
    </row>
    <row r="36" spans="2:6">
      <c r="B36" s="64">
        <v>34.61</v>
      </c>
      <c r="C36" s="65">
        <v>-2.4700000000000002</v>
      </c>
      <c r="E36" s="64">
        <v>34.61</v>
      </c>
      <c r="F36" s="65">
        <v>-2.4700000000000002</v>
      </c>
    </row>
    <row r="37" spans="2:6" ht="15" thickBot="1">
      <c r="B37" s="67" t="s">
        <v>156</v>
      </c>
      <c r="C37" s="68" t="s">
        <v>159</v>
      </c>
      <c r="E37" s="67" t="s">
        <v>156</v>
      </c>
      <c r="F37" s="68" t="s">
        <v>159</v>
      </c>
    </row>
  </sheetData>
  <mergeCells count="2">
    <mergeCell ref="B2:C2"/>
    <mergeCell ref="E2:F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E35" sqref="E35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</row>
    <row r="2" spans="1:8">
      <c r="A2">
        <v>482002</v>
      </c>
      <c r="B2" t="s">
        <v>86</v>
      </c>
      <c r="C2" t="s">
        <v>87</v>
      </c>
      <c r="D2" s="55">
        <v>43738</v>
      </c>
      <c r="E2">
        <v>1</v>
      </c>
      <c r="F2">
        <v>4721.5600000000004</v>
      </c>
      <c r="G2" s="54">
        <v>4721.5600000000004</v>
      </c>
      <c r="H2" t="s">
        <v>88</v>
      </c>
    </row>
    <row r="3" spans="1:8">
      <c r="A3">
        <v>360003</v>
      </c>
      <c r="B3" t="s">
        <v>89</v>
      </c>
      <c r="C3" t="s">
        <v>87</v>
      </c>
      <c r="D3" s="55">
        <v>43738</v>
      </c>
      <c r="E3">
        <v>1</v>
      </c>
      <c r="F3">
        <v>2318.1999999999998</v>
      </c>
      <c r="G3" s="54">
        <v>2318.1999999999998</v>
      </c>
      <c r="H3" t="s">
        <v>88</v>
      </c>
    </row>
    <row r="4" spans="1:8">
      <c r="A4">
        <v>3474</v>
      </c>
      <c r="B4" t="s">
        <v>90</v>
      </c>
      <c r="C4" t="s">
        <v>87</v>
      </c>
      <c r="D4" s="55">
        <v>43738</v>
      </c>
      <c r="E4">
        <v>1</v>
      </c>
      <c r="F4">
        <v>615809.94999999995</v>
      </c>
      <c r="G4" s="54">
        <v>615809.94999999995</v>
      </c>
      <c r="H4" t="s">
        <v>88</v>
      </c>
    </row>
    <row r="5" spans="1:8">
      <c r="A5">
        <v>600</v>
      </c>
      <c r="B5" t="s">
        <v>91</v>
      </c>
      <c r="C5" t="s">
        <v>87</v>
      </c>
      <c r="D5" s="55">
        <v>43738</v>
      </c>
      <c r="E5">
        <v>1</v>
      </c>
      <c r="F5">
        <v>402.77</v>
      </c>
      <c r="G5" s="54">
        <v>402.77</v>
      </c>
      <c r="H5" t="s">
        <v>88</v>
      </c>
    </row>
    <row r="6" spans="1:8">
      <c r="A6">
        <v>638</v>
      </c>
      <c r="B6" t="s">
        <v>92</v>
      </c>
      <c r="C6" t="s">
        <v>87</v>
      </c>
      <c r="D6" s="55">
        <v>43738</v>
      </c>
      <c r="E6">
        <v>1</v>
      </c>
      <c r="F6">
        <v>7.0000000000000007E-2</v>
      </c>
      <c r="G6" s="54">
        <v>7.0000000000000007E-2</v>
      </c>
      <c r="H6" t="s">
        <v>88</v>
      </c>
    </row>
    <row r="7" spans="1:8">
      <c r="A7">
        <v>51</v>
      </c>
      <c r="B7" t="s">
        <v>93</v>
      </c>
      <c r="C7" t="s">
        <v>94</v>
      </c>
      <c r="D7" s="55">
        <v>43738</v>
      </c>
      <c r="E7">
        <v>1.28</v>
      </c>
      <c r="F7">
        <v>325.61</v>
      </c>
      <c r="G7" s="54">
        <v>416.78</v>
      </c>
      <c r="H7" t="s">
        <v>95</v>
      </c>
    </row>
    <row r="8" spans="1:8">
      <c r="A8">
        <v>968</v>
      </c>
      <c r="B8" t="s">
        <v>96</v>
      </c>
      <c r="C8" t="s">
        <v>94</v>
      </c>
      <c r="D8" s="55">
        <v>43738</v>
      </c>
      <c r="E8">
        <v>0.9425</v>
      </c>
      <c r="F8">
        <v>6096.21</v>
      </c>
      <c r="G8" s="54">
        <v>5745.67</v>
      </c>
      <c r="H8" t="s">
        <v>95</v>
      </c>
    </row>
    <row r="9" spans="1:8">
      <c r="A9">
        <v>110026</v>
      </c>
      <c r="B9" t="s">
        <v>97</v>
      </c>
      <c r="C9" t="s">
        <v>94</v>
      </c>
      <c r="D9" s="55">
        <v>43738</v>
      </c>
      <c r="E9">
        <v>1.6890000000000001</v>
      </c>
      <c r="F9">
        <v>1213.0899999999999</v>
      </c>
      <c r="G9" s="54">
        <v>2048.9</v>
      </c>
      <c r="H9" t="s">
        <v>95</v>
      </c>
    </row>
    <row r="10" spans="1:8">
      <c r="A10">
        <v>164906</v>
      </c>
      <c r="B10" t="s">
        <v>98</v>
      </c>
      <c r="C10" t="s">
        <v>99</v>
      </c>
      <c r="D10" s="55">
        <v>43735</v>
      </c>
      <c r="E10">
        <v>1.1619999999999999</v>
      </c>
      <c r="F10">
        <v>1407.29</v>
      </c>
      <c r="G10" s="54">
        <v>1635.27</v>
      </c>
      <c r="H10" t="s">
        <v>95</v>
      </c>
    </row>
    <row r="11" spans="1:8">
      <c r="A11">
        <v>71</v>
      </c>
      <c r="B11" t="s">
        <v>100</v>
      </c>
      <c r="C11" t="s">
        <v>99</v>
      </c>
      <c r="D11" s="55">
        <v>43738</v>
      </c>
      <c r="E11">
        <v>1.4693000000000001</v>
      </c>
      <c r="F11">
        <v>275.49</v>
      </c>
      <c r="G11" s="54">
        <v>404.77</v>
      </c>
      <c r="H11" t="s">
        <v>101</v>
      </c>
    </row>
    <row r="12" spans="1:8">
      <c r="A12">
        <v>216</v>
      </c>
      <c r="B12" t="s">
        <v>102</v>
      </c>
      <c r="C12" t="s">
        <v>94</v>
      </c>
      <c r="D12" s="55">
        <v>43738</v>
      </c>
      <c r="E12">
        <v>1.2613000000000001</v>
      </c>
      <c r="F12">
        <v>733.79</v>
      </c>
      <c r="G12" s="54">
        <v>925.52</v>
      </c>
      <c r="H12" t="s">
        <v>101</v>
      </c>
    </row>
    <row r="13" spans="1:8">
      <c r="A13">
        <v>614</v>
      </c>
      <c r="B13" t="s">
        <v>103</v>
      </c>
      <c r="C13" t="s">
        <v>99</v>
      </c>
      <c r="D13" s="55">
        <v>43734</v>
      </c>
      <c r="E13">
        <v>1.1299999999999999</v>
      </c>
      <c r="F13">
        <v>1884.74</v>
      </c>
      <c r="G13" s="54">
        <v>2129.75</v>
      </c>
      <c r="H13" t="s">
        <v>101</v>
      </c>
    </row>
    <row r="14" spans="1:8">
      <c r="A14">
        <v>1051</v>
      </c>
      <c r="B14" t="s">
        <v>104</v>
      </c>
      <c r="C14" t="s">
        <v>94</v>
      </c>
      <c r="D14" s="55">
        <v>43738</v>
      </c>
      <c r="E14">
        <v>0.995</v>
      </c>
      <c r="F14">
        <v>1338.46</v>
      </c>
      <c r="G14" s="54">
        <v>1331.76</v>
      </c>
      <c r="H14" t="s">
        <v>101</v>
      </c>
    </row>
    <row r="15" spans="1:8">
      <c r="A15">
        <v>1064</v>
      </c>
      <c r="B15" t="s">
        <v>105</v>
      </c>
      <c r="C15" t="s">
        <v>94</v>
      </c>
      <c r="D15" s="55">
        <v>43738</v>
      </c>
      <c r="E15">
        <v>0.54730000000000001</v>
      </c>
      <c r="F15">
        <v>5949.77</v>
      </c>
      <c r="G15" s="54">
        <v>3256.3</v>
      </c>
      <c r="H15" t="s">
        <v>101</v>
      </c>
    </row>
    <row r="16" spans="1:8">
      <c r="A16">
        <v>1180</v>
      </c>
      <c r="B16" t="s">
        <v>106</v>
      </c>
      <c r="C16" t="s">
        <v>94</v>
      </c>
      <c r="D16" s="55">
        <v>43738</v>
      </c>
      <c r="E16">
        <v>0.82010000000000005</v>
      </c>
      <c r="F16">
        <v>6750.28</v>
      </c>
      <c r="G16" s="54">
        <v>5535.9</v>
      </c>
      <c r="H16" t="s">
        <v>101</v>
      </c>
    </row>
    <row r="17" spans="1:8">
      <c r="A17">
        <v>1469</v>
      </c>
      <c r="B17" t="s">
        <v>107</v>
      </c>
      <c r="C17" t="s">
        <v>94</v>
      </c>
      <c r="D17" s="55">
        <v>43738</v>
      </c>
      <c r="E17">
        <v>1.0722</v>
      </c>
      <c r="F17">
        <v>900.35</v>
      </c>
      <c r="G17" s="54">
        <v>965.35</v>
      </c>
      <c r="H17" t="s">
        <v>101</v>
      </c>
    </row>
    <row r="18" spans="1:8">
      <c r="A18">
        <v>2903</v>
      </c>
      <c r="B18" t="s">
        <v>108</v>
      </c>
      <c r="C18" t="s">
        <v>94</v>
      </c>
      <c r="D18" s="55">
        <v>43738</v>
      </c>
      <c r="E18">
        <v>0.86799999999999999</v>
      </c>
      <c r="F18">
        <v>275.95999999999998</v>
      </c>
      <c r="G18" s="54">
        <v>239.53</v>
      </c>
      <c r="H18" t="s">
        <v>101</v>
      </c>
    </row>
    <row r="19" spans="1:8">
      <c r="A19">
        <v>3765</v>
      </c>
      <c r="B19" t="s">
        <v>109</v>
      </c>
      <c r="C19" t="s">
        <v>94</v>
      </c>
      <c r="D19" s="55">
        <v>43738</v>
      </c>
      <c r="E19">
        <v>0.92020000000000002</v>
      </c>
      <c r="F19">
        <v>492.57</v>
      </c>
      <c r="G19" s="54">
        <v>453.26</v>
      </c>
      <c r="H19" t="s">
        <v>101</v>
      </c>
    </row>
    <row r="20" spans="1:8">
      <c r="A20">
        <v>4752</v>
      </c>
      <c r="B20" t="s">
        <v>110</v>
      </c>
      <c r="C20" t="s">
        <v>94</v>
      </c>
      <c r="D20" s="55">
        <v>43738</v>
      </c>
      <c r="E20">
        <v>0.75449999999999995</v>
      </c>
      <c r="F20">
        <v>4423.4799999999996</v>
      </c>
      <c r="G20" s="54">
        <v>3337.51</v>
      </c>
      <c r="H20" t="s">
        <v>101</v>
      </c>
    </row>
    <row r="21" spans="1:8">
      <c r="A21">
        <v>100032</v>
      </c>
      <c r="B21" t="s">
        <v>111</v>
      </c>
      <c r="C21" t="s">
        <v>94</v>
      </c>
      <c r="D21" s="55">
        <v>43738</v>
      </c>
      <c r="E21">
        <v>1.091</v>
      </c>
      <c r="F21">
        <v>8318.43</v>
      </c>
      <c r="G21" s="54">
        <v>9075.4</v>
      </c>
      <c r="H21" t="s">
        <v>101</v>
      </c>
    </row>
    <row r="22" spans="1:8">
      <c r="A22">
        <v>100038</v>
      </c>
      <c r="B22" t="s">
        <v>112</v>
      </c>
      <c r="C22" t="s">
        <v>94</v>
      </c>
      <c r="D22" s="55">
        <v>43738</v>
      </c>
      <c r="E22">
        <v>1.5960000000000001</v>
      </c>
      <c r="F22">
        <v>2760.12</v>
      </c>
      <c r="G22" s="54">
        <v>4405.1499999999996</v>
      </c>
      <c r="H22" t="s">
        <v>101</v>
      </c>
    </row>
    <row r="23" spans="1:8">
      <c r="A23">
        <v>110027</v>
      </c>
      <c r="B23" t="s">
        <v>113</v>
      </c>
      <c r="C23" t="s">
        <v>114</v>
      </c>
      <c r="D23" s="55">
        <v>43738</v>
      </c>
      <c r="E23">
        <v>1.66</v>
      </c>
      <c r="F23">
        <v>1743.65</v>
      </c>
      <c r="G23" s="54">
        <v>2894.45</v>
      </c>
      <c r="H23" t="s">
        <v>101</v>
      </c>
    </row>
    <row r="24" spans="1:8">
      <c r="A24">
        <v>161017</v>
      </c>
      <c r="B24" t="s">
        <v>115</v>
      </c>
      <c r="C24" t="s">
        <v>94</v>
      </c>
      <c r="D24" s="55">
        <v>43738</v>
      </c>
      <c r="E24">
        <v>1.5940000000000001</v>
      </c>
      <c r="F24">
        <v>2046.97</v>
      </c>
      <c r="G24" s="54">
        <v>3262.87</v>
      </c>
      <c r="H24" t="s">
        <v>101</v>
      </c>
    </row>
    <row r="25" spans="1:8">
      <c r="A25">
        <v>162411</v>
      </c>
      <c r="B25" t="s">
        <v>116</v>
      </c>
      <c r="C25" t="s">
        <v>99</v>
      </c>
      <c r="D25" s="55">
        <v>43735</v>
      </c>
      <c r="E25">
        <v>0.40300000000000002</v>
      </c>
      <c r="F25">
        <v>2329.2199999999998</v>
      </c>
      <c r="G25" s="54">
        <v>938.67</v>
      </c>
      <c r="H25" t="s">
        <v>101</v>
      </c>
    </row>
    <row r="26" spans="1:8">
      <c r="A26">
        <v>162413</v>
      </c>
      <c r="B26" t="s">
        <v>117</v>
      </c>
      <c r="C26" t="s">
        <v>94</v>
      </c>
      <c r="D26" s="55">
        <v>43738</v>
      </c>
      <c r="E26">
        <v>0.80210000000000004</v>
      </c>
      <c r="F26">
        <v>1495.03</v>
      </c>
      <c r="G26" s="54">
        <v>1199.1600000000001</v>
      </c>
      <c r="H26" t="s">
        <v>101</v>
      </c>
    </row>
    <row r="27" spans="1:8">
      <c r="A27">
        <v>162711</v>
      </c>
      <c r="B27" t="s">
        <v>118</v>
      </c>
      <c r="C27" t="s">
        <v>94</v>
      </c>
      <c r="D27" s="55">
        <v>43738</v>
      </c>
      <c r="E27">
        <v>1.0861000000000001</v>
      </c>
      <c r="F27">
        <v>9331.14</v>
      </c>
      <c r="G27" s="54">
        <v>10134.549999999999</v>
      </c>
      <c r="H27" t="s">
        <v>101</v>
      </c>
    </row>
    <row r="28" spans="1:8">
      <c r="A28">
        <v>340001</v>
      </c>
      <c r="B28" t="s">
        <v>119</v>
      </c>
      <c r="C28" t="s">
        <v>120</v>
      </c>
      <c r="D28" s="55">
        <v>43738</v>
      </c>
      <c r="E28">
        <v>1.1351</v>
      </c>
      <c r="F28">
        <v>1630.08</v>
      </c>
      <c r="G28" s="54">
        <v>1850.3</v>
      </c>
      <c r="H28" t="s">
        <v>101</v>
      </c>
    </row>
    <row r="29" spans="1:8">
      <c r="A29">
        <v>502010</v>
      </c>
      <c r="B29" t="s">
        <v>121</v>
      </c>
      <c r="C29" t="s">
        <v>94</v>
      </c>
      <c r="D29" s="55">
        <v>43738</v>
      </c>
      <c r="E29">
        <v>1.0057</v>
      </c>
      <c r="F29">
        <v>496.13</v>
      </c>
      <c r="G29" s="54">
        <v>498.95</v>
      </c>
      <c r="H29" t="s">
        <v>101</v>
      </c>
    </row>
    <row r="30" spans="1:8">
      <c r="A30">
        <v>519977</v>
      </c>
      <c r="B30" t="s">
        <v>122</v>
      </c>
      <c r="C30" t="s">
        <v>114</v>
      </c>
      <c r="D30" s="55">
        <v>43738</v>
      </c>
      <c r="E30">
        <v>1.3379000000000001</v>
      </c>
      <c r="F30">
        <v>333.04</v>
      </c>
      <c r="G30" s="54">
        <v>445.57</v>
      </c>
      <c r="H30" t="s">
        <v>101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B22" sqref="B22"/>
    </sheetView>
  </sheetViews>
  <sheetFormatPr defaultColWidth="8.875" defaultRowHeight="14.25"/>
  <cols>
    <col min="2" max="2" width="27.625" bestFit="1" customWidth="1"/>
    <col min="3" max="3" width="10.375" bestFit="1" customWidth="1"/>
    <col min="5" max="5" width="26.125" bestFit="1" customWidth="1"/>
  </cols>
  <sheetData>
    <row r="1" spans="1:3">
      <c r="A1" s="57">
        <v>482002</v>
      </c>
      <c r="B1" s="56" t="s">
        <v>126</v>
      </c>
      <c r="C1" s="61">
        <v>4721.5600000000004</v>
      </c>
    </row>
    <row r="2" spans="1:3">
      <c r="A2" s="57">
        <v>360003</v>
      </c>
      <c r="B2" s="56" t="s">
        <v>127</v>
      </c>
      <c r="C2" s="61">
        <v>2318.1999999999998</v>
      </c>
    </row>
    <row r="3" spans="1:3">
      <c r="A3" s="57">
        <v>3474</v>
      </c>
      <c r="B3" s="56" t="s">
        <v>128</v>
      </c>
      <c r="C3" s="61">
        <v>615809.94999999995</v>
      </c>
    </row>
    <row r="4" spans="1:3">
      <c r="A4" s="57">
        <v>600</v>
      </c>
      <c r="B4" s="56" t="s">
        <v>129</v>
      </c>
      <c r="C4" s="61">
        <v>402.77</v>
      </c>
    </row>
    <row r="5" spans="1:3">
      <c r="A5" s="57">
        <v>638</v>
      </c>
      <c r="B5" s="56" t="s">
        <v>130</v>
      </c>
      <c r="C5" s="61">
        <v>7.0000000000000007E-2</v>
      </c>
    </row>
    <row r="6" spans="1:3">
      <c r="A6" s="57">
        <v>51</v>
      </c>
      <c r="B6" s="56" t="s">
        <v>131</v>
      </c>
      <c r="C6" s="61">
        <v>416.78</v>
      </c>
    </row>
    <row r="7" spans="1:3">
      <c r="A7" s="57">
        <v>968</v>
      </c>
      <c r="B7" s="56" t="s">
        <v>132</v>
      </c>
      <c r="C7" s="61">
        <v>5745.67</v>
      </c>
    </row>
    <row r="8" spans="1:3">
      <c r="A8" s="57">
        <v>110026</v>
      </c>
      <c r="B8" s="56" t="s">
        <v>133</v>
      </c>
      <c r="C8" s="61">
        <v>2048.9</v>
      </c>
    </row>
    <row r="9" spans="1:3">
      <c r="A9" s="57">
        <v>164906</v>
      </c>
      <c r="B9" s="56" t="s">
        <v>134</v>
      </c>
      <c r="C9" s="61">
        <v>1635.27</v>
      </c>
    </row>
    <row r="10" spans="1:3">
      <c r="A10" s="57">
        <v>71</v>
      </c>
      <c r="B10" s="56" t="s">
        <v>135</v>
      </c>
      <c r="C10" s="61">
        <v>404.77</v>
      </c>
    </row>
    <row r="11" spans="1:3">
      <c r="A11" s="57">
        <v>216</v>
      </c>
      <c r="B11" s="56" t="s">
        <v>136</v>
      </c>
      <c r="C11" s="61">
        <v>925.52</v>
      </c>
    </row>
    <row r="12" spans="1:3">
      <c r="A12" s="57">
        <v>614</v>
      </c>
      <c r="B12" s="56" t="s">
        <v>137</v>
      </c>
      <c r="C12" s="61">
        <v>2129.75</v>
      </c>
    </row>
    <row r="13" spans="1:3">
      <c r="A13" s="57">
        <v>1051</v>
      </c>
      <c r="B13" s="56" t="s">
        <v>138</v>
      </c>
      <c r="C13" s="61">
        <v>1331.76</v>
      </c>
    </row>
    <row r="14" spans="1:3">
      <c r="A14" s="57">
        <v>1064</v>
      </c>
      <c r="B14" s="56" t="s">
        <v>139</v>
      </c>
      <c r="C14" s="61">
        <v>3256.3</v>
      </c>
    </row>
    <row r="15" spans="1:3">
      <c r="A15" s="57">
        <v>1180</v>
      </c>
      <c r="B15" s="56" t="s">
        <v>140</v>
      </c>
      <c r="C15" s="61">
        <v>5535.9</v>
      </c>
    </row>
    <row r="16" spans="1:3">
      <c r="A16" s="57">
        <v>1469</v>
      </c>
      <c r="B16" s="56" t="s">
        <v>141</v>
      </c>
      <c r="C16" s="61">
        <v>965.35</v>
      </c>
    </row>
    <row r="17" spans="1:3">
      <c r="A17" s="57">
        <v>2903</v>
      </c>
      <c r="B17" s="56" t="s">
        <v>142</v>
      </c>
      <c r="C17" s="61">
        <v>239.53</v>
      </c>
    </row>
    <row r="18" spans="1:3">
      <c r="A18" s="57">
        <v>3765</v>
      </c>
      <c r="B18" s="56" t="s">
        <v>143</v>
      </c>
      <c r="C18" s="61">
        <v>453.26</v>
      </c>
    </row>
    <row r="19" spans="1:3">
      <c r="A19" s="57">
        <v>4752</v>
      </c>
      <c r="B19" s="56" t="s">
        <v>144</v>
      </c>
      <c r="C19" s="61">
        <v>3337.51</v>
      </c>
    </row>
    <row r="20" spans="1:3">
      <c r="A20" s="57">
        <v>100032</v>
      </c>
      <c r="B20" s="56" t="s">
        <v>145</v>
      </c>
      <c r="C20" s="61">
        <v>9075.4</v>
      </c>
    </row>
    <row r="21" spans="1:3">
      <c r="A21" s="57">
        <v>100038</v>
      </c>
      <c r="B21" s="56" t="s">
        <v>146</v>
      </c>
      <c r="C21" s="61">
        <v>4405.1499999999996</v>
      </c>
    </row>
    <row r="22" spans="1:3">
      <c r="A22" s="57">
        <v>110027</v>
      </c>
      <c r="B22" s="56" t="s">
        <v>147</v>
      </c>
      <c r="C22" s="61">
        <v>2894.45</v>
      </c>
    </row>
    <row r="23" spans="1:3">
      <c r="A23" s="57">
        <v>161017</v>
      </c>
      <c r="B23" s="56" t="s">
        <v>148</v>
      </c>
      <c r="C23" s="61">
        <v>3262.87</v>
      </c>
    </row>
    <row r="24" spans="1:3">
      <c r="A24" s="57">
        <v>162411</v>
      </c>
      <c r="B24" s="56" t="s">
        <v>149</v>
      </c>
      <c r="C24" s="61">
        <v>938.67</v>
      </c>
    </row>
    <row r="25" spans="1:3">
      <c r="A25" s="57">
        <v>162413</v>
      </c>
      <c r="B25" s="56" t="s">
        <v>150</v>
      </c>
      <c r="C25" s="61">
        <v>1199.1600000000001</v>
      </c>
    </row>
    <row r="26" spans="1:3">
      <c r="A26" s="57">
        <v>162711</v>
      </c>
      <c r="B26" s="56" t="s">
        <v>151</v>
      </c>
      <c r="C26" s="61">
        <v>10134.549999999999</v>
      </c>
    </row>
    <row r="27" spans="1:3">
      <c r="A27" s="57">
        <v>340001</v>
      </c>
      <c r="B27" s="56" t="s">
        <v>152</v>
      </c>
      <c r="C27" s="61">
        <v>1850.3</v>
      </c>
    </row>
    <row r="28" spans="1:3">
      <c r="A28" s="57">
        <v>502010</v>
      </c>
      <c r="B28" s="56" t="s">
        <v>153</v>
      </c>
      <c r="C28" s="61">
        <v>498.95</v>
      </c>
    </row>
    <row r="29" spans="1:3">
      <c r="A29" s="57">
        <v>519977</v>
      </c>
      <c r="B29" s="56" t="s">
        <v>154</v>
      </c>
      <c r="C29" s="61">
        <v>445.57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2"/>
  <sheetViews>
    <sheetView zoomScaleNormal="100" workbookViewId="0">
      <pane ySplit="1" topLeftCell="A2" activePane="bottomLeft" state="frozen"/>
      <selection pane="bottomLeft" activeCell="C2" sqref="C2:C38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1" width="15.125" style="9" bestFit="1" customWidth="1"/>
    <col min="12" max="12" width="11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77</v>
      </c>
      <c r="I1" s="8" t="s">
        <v>123</v>
      </c>
      <c r="K1" s="18" t="s">
        <v>35</v>
      </c>
      <c r="L1" s="18" t="s">
        <v>36</v>
      </c>
      <c r="M1" s="17"/>
      <c r="N1" s="8"/>
    </row>
    <row r="2" spans="1:15">
      <c r="A2" s="82" t="str">
        <f>"A股"&amp;" , "&amp;TEXT(SUM(E2:E28),"0.00%")</f>
        <v>A股 , 69.78%</v>
      </c>
      <c r="B2" s="82" t="str">
        <f>"大盘股"&amp;" , "&amp;TEXT(SUM(E2:E4),"0.00%")</f>
        <v>大盘股 , 6.94%</v>
      </c>
      <c r="C2" s="20" t="str">
        <f>"上证50"&amp;" , "&amp;TEXT(SUM(E2:E2),"0.00%")</f>
        <v>上证50 , 1.50%</v>
      </c>
      <c r="D2" s="10" t="s">
        <v>22</v>
      </c>
      <c r="E2" s="11">
        <f t="shared" ref="E2:E29" si="0">F2/$F$39</f>
        <v>1.501610293702282E-2</v>
      </c>
      <c r="F2" s="2">
        <f>SUM(G2:H2)</f>
        <v>1331.76</v>
      </c>
      <c r="G2" s="60">
        <v>1331.76</v>
      </c>
      <c r="H2" s="2"/>
      <c r="I2" s="58">
        <v>1051</v>
      </c>
      <c r="K2" s="18">
        <f>K4+K6</f>
        <v>84157.45</v>
      </c>
      <c r="L2" s="18">
        <f>$K$4+$K$6+$K$8+$K$10</f>
        <v>859257.32000000007</v>
      </c>
      <c r="M2" s="17"/>
      <c r="N2" s="8"/>
    </row>
    <row r="3" spans="1:15">
      <c r="A3" s="82"/>
      <c r="B3" s="82"/>
      <c r="C3" s="82" t="str">
        <f>"沪深300"&amp;" , "&amp;TEXT(SUM(E3:E4),"0.00%")</f>
        <v>沪深300 , 5.44%</v>
      </c>
      <c r="D3" s="10" t="s">
        <v>24</v>
      </c>
      <c r="E3" s="11">
        <f t="shared" si="0"/>
        <v>4.9669749694408953E-2</v>
      </c>
      <c r="F3" s="2">
        <f t="shared" ref="F3:F38" si="1">SUM(G3:H3)</f>
        <v>4405.1499999999996</v>
      </c>
      <c r="G3" s="60">
        <v>4405.1499999999996</v>
      </c>
      <c r="I3" s="58">
        <v>100038</v>
      </c>
      <c r="K3" s="18" t="s">
        <v>23</v>
      </c>
      <c r="L3" s="18" t="s">
        <v>76</v>
      </c>
      <c r="M3" s="8"/>
      <c r="N3" s="1"/>
    </row>
    <row r="4" spans="1:15">
      <c r="A4" s="82"/>
      <c r="B4" s="82"/>
      <c r="C4" s="82"/>
      <c r="D4" s="21" t="s">
        <v>42</v>
      </c>
      <c r="E4" s="11">
        <f t="shared" si="0"/>
        <v>4.6993537740226245E-3</v>
      </c>
      <c r="F4" s="2">
        <f t="shared" si="1"/>
        <v>416.78</v>
      </c>
      <c r="G4" s="60">
        <v>416.78</v>
      </c>
      <c r="I4" s="58">
        <v>51</v>
      </c>
      <c r="K4" s="18">
        <v>72000</v>
      </c>
      <c r="L4" s="5">
        <f>F39-SUM(F19:F29)-K4</f>
        <v>4531.3399999999965</v>
      </c>
      <c r="M4" s="8"/>
      <c r="N4" s="1"/>
    </row>
    <row r="5" spans="1:15">
      <c r="A5" s="82"/>
      <c r="B5" s="82" t="str">
        <f>"中小盘股"&amp;" , "&amp;TEXT(SUM(E5:E10),"0.00%")</f>
        <v>中小盘股 , 19.55%</v>
      </c>
      <c r="C5" s="82" t="str">
        <f>"中证500"&amp;" , "&amp;TEXT(SUM(E5:E7),"0.00%")</f>
        <v>中证500 , 15.38%</v>
      </c>
      <c r="D5" s="10" t="s">
        <v>44</v>
      </c>
      <c r="E5" s="11">
        <f t="shared" si="0"/>
        <v>0.11427092420586638</v>
      </c>
      <c r="F5" s="2">
        <f t="shared" si="1"/>
        <v>10134.549999999999</v>
      </c>
      <c r="G5" s="60">
        <v>10134.549999999999</v>
      </c>
      <c r="H5" s="2"/>
      <c r="I5" s="58">
        <v>162711</v>
      </c>
      <c r="K5" s="18" t="s">
        <v>74</v>
      </c>
      <c r="L5" s="18" t="s">
        <v>75</v>
      </c>
    </row>
    <row r="6" spans="1:15">
      <c r="A6" s="82"/>
      <c r="B6" s="82"/>
      <c r="C6" s="82"/>
      <c r="D6" s="22" t="s">
        <v>43</v>
      </c>
      <c r="E6" s="11">
        <f t="shared" si="0"/>
        <v>2.7007922872777949E-3</v>
      </c>
      <c r="F6" s="2">
        <f t="shared" si="1"/>
        <v>239.53</v>
      </c>
      <c r="G6" s="60">
        <v>239.53</v>
      </c>
      <c r="H6" s="2"/>
      <c r="I6" s="58">
        <v>2903</v>
      </c>
      <c r="K6" s="2">
        <f>螺丝钉计划!I15</f>
        <v>12157.45</v>
      </c>
      <c r="L6" s="18">
        <f>螺丝钉计划!I16</f>
        <v>-85.13</v>
      </c>
      <c r="N6" s="12"/>
      <c r="O6" s="12"/>
    </row>
    <row r="7" spans="1:15">
      <c r="A7" s="82"/>
      <c r="B7" s="82"/>
      <c r="C7" s="82"/>
      <c r="D7" s="10" t="s">
        <v>25</v>
      </c>
      <c r="E7" s="11">
        <f t="shared" si="0"/>
        <v>3.6790106167870824E-2</v>
      </c>
      <c r="F7" s="2">
        <f t="shared" si="1"/>
        <v>3262.87</v>
      </c>
      <c r="G7" s="60">
        <v>3262.87</v>
      </c>
      <c r="H7" s="2"/>
      <c r="I7" s="58">
        <v>161017</v>
      </c>
      <c r="K7" s="18" t="s">
        <v>32</v>
      </c>
      <c r="L7" s="18" t="s">
        <v>34</v>
      </c>
      <c r="O7" s="13"/>
    </row>
    <row r="8" spans="1:15">
      <c r="A8" s="82"/>
      <c r="B8" s="82"/>
      <c r="C8" s="20" t="str">
        <f>"中证1000"&amp;" , "&amp;TEXT(SUM(E8:E8),"0.00%")</f>
        <v>中证1000 , 1.35%</v>
      </c>
      <c r="D8" s="10" t="s">
        <v>26</v>
      </c>
      <c r="E8" s="11">
        <f t="shared" si="0"/>
        <v>1.3520987263441074E-2</v>
      </c>
      <c r="F8" s="2">
        <f t="shared" si="1"/>
        <v>1199.1600000000001</v>
      </c>
      <c r="G8" s="60">
        <v>1199.1600000000001</v>
      </c>
      <c r="I8" s="58">
        <v>162413</v>
      </c>
      <c r="K8" s="18">
        <v>623252.55000000005</v>
      </c>
      <c r="L8" s="24">
        <v>27153.05</v>
      </c>
      <c r="N8" s="12"/>
      <c r="O8" s="12"/>
    </row>
    <row r="9" spans="1:15">
      <c r="A9" s="82"/>
      <c r="B9" s="82"/>
      <c r="C9" s="82" t="str">
        <f>"创业板"&amp;" , "&amp;TEXT(SUM(E9:E10),"0.00%")</f>
        <v>创业板 , 2.82%</v>
      </c>
      <c r="D9" s="10" t="s">
        <v>27</v>
      </c>
      <c r="E9" s="11">
        <f t="shared" si="0"/>
        <v>5.1106797149899101E-3</v>
      </c>
      <c r="F9" s="2">
        <f t="shared" si="1"/>
        <v>453.26</v>
      </c>
      <c r="G9" s="60">
        <v>453.26</v>
      </c>
      <c r="H9" s="14"/>
      <c r="I9" s="58">
        <v>3765</v>
      </c>
      <c r="K9" s="18" t="s">
        <v>33</v>
      </c>
      <c r="L9" s="18" t="s">
        <v>34</v>
      </c>
      <c r="O9" s="13"/>
    </row>
    <row r="10" spans="1:15">
      <c r="A10" s="82"/>
      <c r="B10" s="82"/>
      <c r="C10" s="82"/>
      <c r="D10" s="10" t="s">
        <v>9</v>
      </c>
      <c r="E10" s="11">
        <f t="shared" si="0"/>
        <v>2.3102130494733329E-2</v>
      </c>
      <c r="F10" s="2">
        <f t="shared" si="1"/>
        <v>2048.9</v>
      </c>
      <c r="G10" s="60">
        <v>2048.9</v>
      </c>
      <c r="H10" s="2"/>
      <c r="I10" s="58">
        <v>110026</v>
      </c>
      <c r="K10" s="18">
        <v>151847.32</v>
      </c>
      <c r="L10" s="24">
        <v>4484.99</v>
      </c>
      <c r="N10" s="12"/>
      <c r="O10" s="12"/>
    </row>
    <row r="11" spans="1:15">
      <c r="A11" s="82"/>
      <c r="B11" s="22" t="str">
        <f>"红利价值"&amp;" , "&amp;TEXT(SUM(E11:E11),"0.00%")</f>
        <v>红利价值 , 10.23%</v>
      </c>
      <c r="C11" s="20" t="str">
        <f>"中证红利"&amp;" , "&amp;TEXT(SUM(E11:E11),"0.00%")</f>
        <v>中证红利 , 10.23%</v>
      </c>
      <c r="D11" s="10" t="s">
        <v>10</v>
      </c>
      <c r="E11" s="11">
        <f t="shared" si="0"/>
        <v>0.10232860319776603</v>
      </c>
      <c r="F11" s="2">
        <f t="shared" si="1"/>
        <v>9075.4</v>
      </c>
      <c r="G11" s="60">
        <v>9075.4</v>
      </c>
      <c r="H11" s="2"/>
      <c r="I11" s="58">
        <v>100032</v>
      </c>
      <c r="K11" s="18" t="s">
        <v>41</v>
      </c>
      <c r="L11" s="18" t="s">
        <v>40</v>
      </c>
      <c r="O11" s="13"/>
    </row>
    <row r="12" spans="1:15">
      <c r="A12" s="82"/>
      <c r="B12" s="82" t="str">
        <f>"行业股"&amp;" , "&amp;TEXT(SUM(E12:E18),"0.00%")</f>
        <v>行业股 , 21.81%</v>
      </c>
      <c r="C12" s="20" t="str">
        <f>"养老产业"&amp;" , "&amp;TEXT(SUM(E12:E12),"0.00%")</f>
        <v>养老产业 , 6.48%</v>
      </c>
      <c r="D12" s="10" t="s">
        <v>11</v>
      </c>
      <c r="E12" s="11">
        <f t="shared" si="0"/>
        <v>6.478462497909826E-2</v>
      </c>
      <c r="F12" s="2">
        <f t="shared" si="1"/>
        <v>5745.67</v>
      </c>
      <c r="G12" s="60">
        <v>5745.67</v>
      </c>
      <c r="I12" s="58">
        <v>968</v>
      </c>
      <c r="K12" s="18" t="s">
        <v>37</v>
      </c>
      <c r="L12" s="1">
        <f>SUM($F$2:$F$34)/($K$2+$K$8+K$10)</f>
        <v>8.1580300066573755E-2</v>
      </c>
      <c r="N12" s="12"/>
      <c r="O12" s="12"/>
    </row>
    <row r="13" spans="1:15">
      <c r="A13" s="82"/>
      <c r="B13" s="82"/>
      <c r="C13" s="20" t="str">
        <f>"全指医药"&amp;" , "&amp;TEXT(SUM(E13:E13),"0.00%")</f>
        <v>全指医药 , 6.24%</v>
      </c>
      <c r="D13" s="20" t="s">
        <v>7</v>
      </c>
      <c r="E13" s="11">
        <f t="shared" si="0"/>
        <v>6.241938806471483E-2</v>
      </c>
      <c r="F13" s="2">
        <f t="shared" si="1"/>
        <v>5535.9</v>
      </c>
      <c r="G13" s="60">
        <v>5535.9</v>
      </c>
      <c r="H13" s="2"/>
      <c r="I13" s="58">
        <v>1180</v>
      </c>
      <c r="K13" s="18" t="s">
        <v>39</v>
      </c>
      <c r="L13" s="1">
        <f>SUM($F$35:$F$37)/($K$2+$K$8+K$10)</f>
        <v>6.0404722534106543E-3</v>
      </c>
      <c r="O13" s="13"/>
    </row>
    <row r="14" spans="1:15">
      <c r="A14" s="82"/>
      <c r="B14" s="82"/>
      <c r="C14" s="20" t="str">
        <f>"中证传媒"&amp;" , "&amp;TEXT(SUM(E14:E14),"0.00%")</f>
        <v>中证传媒 , 3.76%</v>
      </c>
      <c r="D14" s="10" t="s">
        <v>28</v>
      </c>
      <c r="E14" s="11">
        <f t="shared" si="0"/>
        <v>3.763170069182363E-2</v>
      </c>
      <c r="F14" s="2">
        <f t="shared" si="1"/>
        <v>3337.51</v>
      </c>
      <c r="G14" s="60">
        <v>3337.51</v>
      </c>
      <c r="H14" s="2"/>
      <c r="I14" s="58">
        <v>4752</v>
      </c>
      <c r="K14" s="18" t="s">
        <v>38</v>
      </c>
      <c r="L14" s="1">
        <f>(F38+SUM($K$8:$K$10))/($K$2+$K$8+K$10)</f>
        <v>0.91765278182326115</v>
      </c>
      <c r="N14" s="12"/>
      <c r="O14" s="12"/>
    </row>
    <row r="15" spans="1:15">
      <c r="A15" s="82"/>
      <c r="B15" s="82"/>
      <c r="C15" s="20" t="str">
        <f>"中证环保"&amp;" , "&amp;TEXT(SUM(E15:E15),"0.00%")</f>
        <v>中证环保 , 3.67%</v>
      </c>
      <c r="D15" s="10" t="s">
        <v>29</v>
      </c>
      <c r="E15" s="11">
        <f t="shared" si="0"/>
        <v>3.6716026907120961E-2</v>
      </c>
      <c r="F15" s="2">
        <f t="shared" si="1"/>
        <v>3256.3</v>
      </c>
      <c r="G15" s="60">
        <v>3256.3</v>
      </c>
      <c r="I15" s="58">
        <v>1064</v>
      </c>
      <c r="K15" s="19"/>
      <c r="L15" s="19"/>
      <c r="O15" s="13"/>
    </row>
    <row r="16" spans="1:15">
      <c r="A16" s="82"/>
      <c r="B16" s="82"/>
      <c r="C16" s="20" t="str">
        <f>"全指消费"&amp;" , "&amp;TEXT(SUM(E16:E16),"0.00%")</f>
        <v>全指消费 , 0.00%</v>
      </c>
      <c r="D16" s="10" t="s">
        <v>12</v>
      </c>
      <c r="E16" s="11">
        <f t="shared" si="0"/>
        <v>0</v>
      </c>
      <c r="F16" s="2">
        <f t="shared" si="1"/>
        <v>0</v>
      </c>
      <c r="G16" s="60">
        <v>0</v>
      </c>
      <c r="H16" s="2"/>
      <c r="I16" s="59">
        <v>110027</v>
      </c>
      <c r="K16" s="19"/>
      <c r="L16" s="19"/>
      <c r="M16" s="2"/>
      <c r="N16" s="12"/>
      <c r="O16" s="12"/>
    </row>
    <row r="17" spans="1:15" s="19" customFormat="1">
      <c r="A17" s="82"/>
      <c r="B17" s="82"/>
      <c r="C17" s="20" t="str">
        <f>"金融地产"&amp;" , "&amp;TEXT(SUM(E17:E17),"0.00%")</f>
        <v>金融地产 , 1.09%</v>
      </c>
      <c r="D17" s="10" t="s">
        <v>13</v>
      </c>
      <c r="E17" s="11">
        <f t="shared" si="0"/>
        <v>1.0884690162082492E-2</v>
      </c>
      <c r="F17" s="2">
        <f t="shared" si="1"/>
        <v>965.35</v>
      </c>
      <c r="G17" s="60">
        <v>965.35</v>
      </c>
      <c r="H17" s="14"/>
      <c r="I17" s="58">
        <v>1469</v>
      </c>
      <c r="M17" s="9"/>
      <c r="N17" s="12"/>
      <c r="O17" s="12"/>
    </row>
    <row r="18" spans="1:15">
      <c r="A18" s="82"/>
      <c r="B18" s="82"/>
      <c r="C18" s="20" t="str">
        <f>"证券公司"&amp;" , "&amp;TEXT(SUM(E18:E18),"0.00%")</f>
        <v>证券公司 , 0.56%</v>
      </c>
      <c r="D18" s="10" t="s">
        <v>30</v>
      </c>
      <c r="E18" s="11">
        <f t="shared" si="0"/>
        <v>5.6258519255928518E-3</v>
      </c>
      <c r="F18" s="2">
        <f t="shared" si="1"/>
        <v>498.95</v>
      </c>
      <c r="G18" s="60">
        <v>498.95</v>
      </c>
      <c r="H18" s="19"/>
      <c r="I18" s="58">
        <v>502010</v>
      </c>
      <c r="K18" s="19"/>
      <c r="L18" s="19"/>
      <c r="N18" s="12"/>
      <c r="O18" s="13"/>
    </row>
    <row r="19" spans="1:15">
      <c r="A19" s="82"/>
      <c r="B19" s="82" t="str">
        <f>"螺丝钉定投"&amp;" , "&amp;TEXT(SUM(E19:E28),"0.00%")</f>
        <v>螺丝钉定投 , 11.25%</v>
      </c>
      <c r="C19" s="82" t="str">
        <f>"大盘股"&amp;" , "&amp;TEXT(SUM(E19:E22),"0.00%")</f>
        <v>大盘股 , 4.01%</v>
      </c>
      <c r="D19" s="20" t="s">
        <v>71</v>
      </c>
      <c r="E19" s="11">
        <f t="shared" si="0"/>
        <v>2.9815493029051363E-3</v>
      </c>
      <c r="F19" s="2">
        <f t="shared" si="1"/>
        <v>264.43</v>
      </c>
      <c r="G19" s="2">
        <v>0</v>
      </c>
      <c r="H19" s="2">
        <f>螺丝钉计划!K3</f>
        <v>264.43</v>
      </c>
      <c r="I19" s="58">
        <v>0</v>
      </c>
      <c r="K19" s="19"/>
      <c r="L19" s="19"/>
      <c r="M19" s="19"/>
      <c r="N19" s="12"/>
    </row>
    <row r="20" spans="1:15">
      <c r="A20" s="82"/>
      <c r="B20" s="82"/>
      <c r="C20" s="82"/>
      <c r="D20" s="20" t="s">
        <v>72</v>
      </c>
      <c r="E20" s="11">
        <f t="shared" si="0"/>
        <v>1.1838361984643157E-2</v>
      </c>
      <c r="F20" s="2">
        <f t="shared" si="1"/>
        <v>1049.93</v>
      </c>
      <c r="G20" s="2">
        <v>0</v>
      </c>
      <c r="H20" s="2">
        <f>螺丝钉计划!K4</f>
        <v>1049.93</v>
      </c>
      <c r="I20" s="58">
        <v>0</v>
      </c>
      <c r="K20" s="20"/>
      <c r="L20" s="2"/>
      <c r="N20" s="12"/>
      <c r="O20" s="13"/>
    </row>
    <row r="21" spans="1:15">
      <c r="A21" s="82"/>
      <c r="B21" s="82"/>
      <c r="C21" s="82"/>
      <c r="D21" s="20" t="s">
        <v>67</v>
      </c>
      <c r="E21" s="11">
        <f t="shared" si="0"/>
        <v>2.4457769691073699E-2</v>
      </c>
      <c r="F21" s="2">
        <f t="shared" si="1"/>
        <v>2169.13</v>
      </c>
      <c r="G21" s="2">
        <v>0</v>
      </c>
      <c r="H21" s="2">
        <f>螺丝钉计划!K5</f>
        <v>2169.13</v>
      </c>
      <c r="I21" s="58">
        <v>0</v>
      </c>
      <c r="N21" s="12"/>
    </row>
    <row r="22" spans="1:15">
      <c r="A22" s="82"/>
      <c r="B22" s="82"/>
      <c r="C22" s="82"/>
      <c r="D22" s="21" t="s">
        <v>73</v>
      </c>
      <c r="E22" s="11">
        <f t="shared" si="0"/>
        <v>7.804819526797017E-4</v>
      </c>
      <c r="F22" s="2">
        <f t="shared" si="1"/>
        <v>69.22</v>
      </c>
      <c r="G22" s="2">
        <v>0</v>
      </c>
      <c r="H22" s="2">
        <f>螺丝钉计划!K6</f>
        <v>69.22</v>
      </c>
      <c r="I22" s="58">
        <v>0</v>
      </c>
      <c r="O22" s="13"/>
    </row>
    <row r="23" spans="1:15">
      <c r="A23" s="82"/>
      <c r="B23" s="82"/>
      <c r="C23" s="82" t="str">
        <f>"中盘股"&amp;" , "&amp;TEXT(SUM(E23:E24),"0.00%")</f>
        <v>中盘股 , 3.77%</v>
      </c>
      <c r="D23" s="20" t="s">
        <v>66</v>
      </c>
      <c r="E23" s="11">
        <f t="shared" si="0"/>
        <v>2.0277196249943199E-2</v>
      </c>
      <c r="F23" s="2">
        <f t="shared" si="1"/>
        <v>1798.36</v>
      </c>
      <c r="G23" s="2">
        <v>0</v>
      </c>
      <c r="H23" s="2">
        <f>螺丝钉计划!K7</f>
        <v>1798.36</v>
      </c>
      <c r="I23" s="58">
        <v>0</v>
      </c>
      <c r="M23" s="2"/>
      <c r="N23" s="12"/>
      <c r="O23" s="12"/>
    </row>
    <row r="24" spans="1:15">
      <c r="A24" s="82"/>
      <c r="B24" s="82"/>
      <c r="C24" s="82"/>
      <c r="D24" s="20" t="s">
        <v>68</v>
      </c>
      <c r="E24" s="11">
        <f t="shared" si="0"/>
        <v>1.7404003369535202E-2</v>
      </c>
      <c r="F24" s="2">
        <f t="shared" si="1"/>
        <v>1543.54</v>
      </c>
      <c r="G24" s="2">
        <v>0</v>
      </c>
      <c r="H24" s="2">
        <f>螺丝钉计划!K8</f>
        <v>1543.54</v>
      </c>
      <c r="I24" s="58">
        <v>0</v>
      </c>
      <c r="O24" s="13"/>
    </row>
    <row r="25" spans="1:15">
      <c r="A25" s="82"/>
      <c r="B25" s="82"/>
      <c r="C25" s="82" t="str">
        <f>"螺丝钉红利"&amp;" , "&amp;TEXT(SUM(E25:E26),"0.00%")</f>
        <v>螺丝钉红利 , 2.93%</v>
      </c>
      <c r="D25" s="20" t="s">
        <v>125</v>
      </c>
      <c r="E25" s="11">
        <f t="shared" si="0"/>
        <v>2.4710676512781381E-2</v>
      </c>
      <c r="F25" s="2">
        <f t="shared" si="1"/>
        <v>2191.56</v>
      </c>
      <c r="G25" s="2">
        <v>0</v>
      </c>
      <c r="H25" s="2">
        <f>螺丝钉计划!K9</f>
        <v>2191.56</v>
      </c>
      <c r="I25" s="58">
        <v>0</v>
      </c>
      <c r="N25" s="12"/>
      <c r="O25" s="12"/>
    </row>
    <row r="26" spans="1:15">
      <c r="A26" s="82"/>
      <c r="B26" s="82"/>
      <c r="C26" s="82"/>
      <c r="D26" s="20" t="s">
        <v>69</v>
      </c>
      <c r="E26" s="11">
        <f t="shared" si="0"/>
        <v>4.6177200072297746E-3</v>
      </c>
      <c r="F26" s="2">
        <f t="shared" si="1"/>
        <v>409.53999999999996</v>
      </c>
      <c r="G26" s="2">
        <v>0</v>
      </c>
      <c r="H26" s="2">
        <f>螺丝钉计划!K10</f>
        <v>409.53999999999996</v>
      </c>
      <c r="I26" s="58">
        <v>0</v>
      </c>
      <c r="O26" s="13"/>
    </row>
    <row r="27" spans="1:15">
      <c r="A27" s="82"/>
      <c r="B27" s="82"/>
      <c r="C27" s="82" t="str">
        <f>"医药养老"&amp;" , "&amp;TEXT(SUM(E27:E28),"0.00%")</f>
        <v>医药养老 , 0.55%</v>
      </c>
      <c r="D27" s="23" t="s">
        <v>70</v>
      </c>
      <c r="E27" s="11">
        <f t="shared" si="0"/>
        <v>3.6178191178389066E-3</v>
      </c>
      <c r="F27" s="2">
        <f t="shared" si="1"/>
        <v>320.86</v>
      </c>
      <c r="G27" s="2">
        <v>0</v>
      </c>
      <c r="H27" s="2">
        <f>螺丝钉计划!K11</f>
        <v>320.86</v>
      </c>
      <c r="I27" s="58">
        <v>0</v>
      </c>
      <c r="J27" s="11"/>
      <c r="N27" s="12"/>
      <c r="O27" s="12"/>
    </row>
    <row r="28" spans="1:15">
      <c r="A28" s="82"/>
      <c r="B28" s="82"/>
      <c r="C28" s="82"/>
      <c r="D28" s="20" t="s">
        <v>155</v>
      </c>
      <c r="E28" s="11">
        <f t="shared" si="0"/>
        <v>1.8586339942173076E-3</v>
      </c>
      <c r="F28" s="2">
        <f t="shared" si="1"/>
        <v>164.84</v>
      </c>
      <c r="G28" s="2">
        <v>0</v>
      </c>
      <c r="H28" s="2">
        <f>螺丝钉计划!K12</f>
        <v>164.84</v>
      </c>
      <c r="I28" s="58">
        <v>0</v>
      </c>
      <c r="J28" s="11"/>
      <c r="O28" s="13"/>
    </row>
    <row r="29" spans="1:15">
      <c r="A29" s="82"/>
      <c r="B29" s="82"/>
      <c r="C29" s="62" t="str">
        <f>"海外新兴"&amp;" , "&amp;TEXT(E29,"0.00%")</f>
        <v>海外新兴 , 2.45%</v>
      </c>
      <c r="D29" s="62" t="s">
        <v>65</v>
      </c>
      <c r="E29" s="11">
        <f t="shared" si="0"/>
        <v>2.4535682581755824E-2</v>
      </c>
      <c r="F29" s="2">
        <f t="shared" si="1"/>
        <v>2176.04</v>
      </c>
      <c r="G29" s="2">
        <v>0</v>
      </c>
      <c r="H29" s="2">
        <f>螺丝钉计划!K13</f>
        <v>2176.04</v>
      </c>
      <c r="I29" s="58">
        <v>0</v>
      </c>
      <c r="N29" s="12"/>
      <c r="O29" s="12"/>
    </row>
    <row r="30" spans="1:15">
      <c r="A30" s="82" t="str">
        <f>"海外新兴"&amp;" , "&amp;TEXT(SUM(E30:E31),"0.00%")</f>
        <v>海外新兴 , 2.30%</v>
      </c>
      <c r="B30" s="20" t="str">
        <f>"香港"&amp;" , "&amp;TEXT(SUM(E30:E30),"0.00%")</f>
        <v>香港 , 0.46%</v>
      </c>
      <c r="C30" s="20" t="str">
        <f>"恒生"&amp;" , "&amp;TEXT(SUM(E30:E30),"0.00%")</f>
        <v>恒生 , 0.46%</v>
      </c>
      <c r="D30" s="10" t="s">
        <v>14</v>
      </c>
      <c r="E30" s="11">
        <f t="shared" ref="E30:E38" si="2">F30/$F$39</f>
        <v>4.5639364343565856E-3</v>
      </c>
      <c r="F30" s="2">
        <f t="shared" si="1"/>
        <v>404.77</v>
      </c>
      <c r="G30" s="60">
        <v>404.77</v>
      </c>
      <c r="H30" s="14"/>
      <c r="I30" s="58">
        <v>71</v>
      </c>
      <c r="J30" s="19"/>
      <c r="K30" s="13"/>
      <c r="L30" s="19"/>
      <c r="M30" s="19"/>
      <c r="O30" s="13"/>
    </row>
    <row r="31" spans="1:15">
      <c r="A31" s="82"/>
      <c r="B31" s="20" t="str">
        <f>"海外互联"&amp;" , "&amp;TEXT(SUM(E31:E31),"0.00%")</f>
        <v>海外互联 , 1.84%</v>
      </c>
      <c r="C31" s="20" t="str">
        <f>"海外互联网"&amp;" , "&amp;TEXT(SUM(E31:E31),"0.00%")</f>
        <v>海外互联网 , 1.84%</v>
      </c>
      <c r="D31" s="10" t="s">
        <v>15</v>
      </c>
      <c r="E31" s="11">
        <f t="shared" si="2"/>
        <v>1.8438294174494885E-2</v>
      </c>
      <c r="F31" s="2">
        <f t="shared" si="1"/>
        <v>1635.27</v>
      </c>
      <c r="G31" s="60">
        <v>1635.27</v>
      </c>
      <c r="H31" s="14"/>
      <c r="I31" s="58">
        <v>164906</v>
      </c>
      <c r="J31" s="12"/>
      <c r="K31" s="12"/>
      <c r="L31" s="19"/>
      <c r="M31" s="19"/>
      <c r="N31" s="12"/>
      <c r="O31" s="12"/>
    </row>
    <row r="32" spans="1:15">
      <c r="A32" s="62" t="str">
        <f>"海外成熟"&amp;" , "&amp;TEXT(SUM(E32:E32),"0.00%")</f>
        <v>海外成熟 , 2.40%</v>
      </c>
      <c r="B32" s="62" t="str">
        <f>"海外成熟"&amp;" , "&amp;TEXT(SUM(E32:E32),"0.00%")</f>
        <v>海外成熟 , 2.40%</v>
      </c>
      <c r="C32" s="20" t="str">
        <f>"德国30"&amp;" , "&amp;TEXT(SUM(E32:E32),"0.00%")</f>
        <v>德国30 , 2.40%</v>
      </c>
      <c r="D32" s="10" t="s">
        <v>16</v>
      </c>
      <c r="E32" s="11">
        <f t="shared" si="2"/>
        <v>2.4013745141860658E-2</v>
      </c>
      <c r="F32" s="2">
        <f t="shared" si="1"/>
        <v>2129.75</v>
      </c>
      <c r="G32" s="60">
        <v>2129.75</v>
      </c>
      <c r="H32" s="14"/>
      <c r="I32" s="58">
        <v>614</v>
      </c>
      <c r="J32" s="19"/>
      <c r="K32" s="12"/>
      <c r="L32" s="12"/>
      <c r="M32" s="19"/>
      <c r="N32" s="19"/>
      <c r="O32" s="13"/>
    </row>
    <row r="33" spans="1:16">
      <c r="A33" s="82" t="str">
        <f>"商品"&amp;" , "&amp;TEXT(SUM(E33:E34),"0.00%")</f>
        <v>商品 , 2.10%</v>
      </c>
      <c r="B33" s="62" t="str">
        <f>"原油"&amp;" , "&amp;TEXT(SUM(E33:E33),"0.00%")</f>
        <v>原油 , 1.06%</v>
      </c>
      <c r="C33" s="20" t="str">
        <f>"原油"&amp;" , "&amp;TEXT(SUM(E33:E33),"0.00%")</f>
        <v>原油 , 1.06%</v>
      </c>
      <c r="D33" s="10" t="s">
        <v>17</v>
      </c>
      <c r="E33" s="11">
        <f t="shared" si="2"/>
        <v>1.0583862966221548E-2</v>
      </c>
      <c r="F33" s="2">
        <f t="shared" si="1"/>
        <v>938.67</v>
      </c>
      <c r="G33" s="60">
        <v>938.67</v>
      </c>
      <c r="H33" s="14"/>
      <c r="I33" s="58">
        <v>162411</v>
      </c>
      <c r="J33" s="12"/>
      <c r="K33" s="19"/>
      <c r="L33" s="13"/>
      <c r="M33" s="19"/>
      <c r="N33" s="19"/>
      <c r="O33" s="12"/>
    </row>
    <row r="34" spans="1:16">
      <c r="A34" s="82"/>
      <c r="B34" s="62" t="str">
        <f>"黄金"&amp;" , "&amp;TEXT(SUM(E34:E34),"0.00%")</f>
        <v>黄金 , 1.04%</v>
      </c>
      <c r="C34" s="20" t="str">
        <f>"黄金"&amp;" , "&amp;TEXT(SUM(E34:E34),"0.00%")</f>
        <v>黄金 , 1.04%</v>
      </c>
      <c r="D34" s="10" t="s">
        <v>31</v>
      </c>
      <c r="E34" s="11">
        <f t="shared" si="2"/>
        <v>1.0435591690900282E-2</v>
      </c>
      <c r="F34" s="2">
        <f t="shared" si="1"/>
        <v>925.52</v>
      </c>
      <c r="G34" s="60">
        <v>925.52</v>
      </c>
      <c r="H34" s="2"/>
      <c r="I34" s="58">
        <v>216</v>
      </c>
      <c r="J34" s="19"/>
      <c r="K34" s="12"/>
      <c r="L34" s="12"/>
      <c r="M34" s="19"/>
      <c r="N34" s="19"/>
      <c r="O34" s="13"/>
    </row>
    <row r="35" spans="1:16">
      <c r="A35" s="82" t="str">
        <f>"债券"&amp;" , "&amp;TEXT(SUM(E35:E37),"0.00%")</f>
        <v>债券 , 5.85%</v>
      </c>
      <c r="B35" s="82" t="str">
        <f>"国内债券"&amp;" , "&amp;TEXT(SUM(E35:E37),"0.00%")</f>
        <v>国内债券 , 5.85%</v>
      </c>
      <c r="C35" s="82" t="str">
        <f>"可转债"&amp;" , "&amp;TEXT(SUM(E35:E37),"0.00%")</f>
        <v>可转债 , 5.85%</v>
      </c>
      <c r="D35" s="10" t="s">
        <v>18</v>
      </c>
      <c r="E35" s="11">
        <f t="shared" si="2"/>
        <v>2.0862839599006821E-2</v>
      </c>
      <c r="F35" s="2">
        <f t="shared" si="1"/>
        <v>1850.3</v>
      </c>
      <c r="G35" s="60">
        <v>1850.3</v>
      </c>
      <c r="H35" s="2"/>
      <c r="I35" s="58">
        <v>340001</v>
      </c>
      <c r="J35" s="12"/>
      <c r="K35" s="19"/>
      <c r="L35" s="13"/>
      <c r="M35" s="19"/>
      <c r="N35" s="19"/>
      <c r="O35" s="12"/>
    </row>
    <row r="36" spans="1:16">
      <c r="A36" s="82"/>
      <c r="B36" s="82"/>
      <c r="C36" s="82"/>
      <c r="D36" s="10" t="s">
        <v>19</v>
      </c>
      <c r="E36" s="11">
        <f t="shared" si="2"/>
        <v>5.0239720262278921E-3</v>
      </c>
      <c r="F36" s="2">
        <f t="shared" si="1"/>
        <v>445.57</v>
      </c>
      <c r="G36" s="60">
        <v>445.57</v>
      </c>
      <c r="H36" s="2"/>
      <c r="I36" s="58">
        <v>519977</v>
      </c>
      <c r="J36" s="19"/>
      <c r="K36" s="12"/>
      <c r="L36" s="12"/>
      <c r="M36" s="19"/>
      <c r="N36" s="19"/>
      <c r="P36" s="13"/>
    </row>
    <row r="37" spans="1:16">
      <c r="A37" s="82"/>
      <c r="B37" s="82"/>
      <c r="C37" s="82"/>
      <c r="D37" s="10" t="s">
        <v>20</v>
      </c>
      <c r="E37" s="11">
        <f t="shared" si="2"/>
        <v>3.2636029874801541E-2</v>
      </c>
      <c r="F37" s="2">
        <f t="shared" si="1"/>
        <v>2894.45</v>
      </c>
      <c r="G37" s="60">
        <v>2894.45</v>
      </c>
      <c r="H37" s="8"/>
      <c r="I37" s="58">
        <v>110027</v>
      </c>
      <c r="J37" s="12"/>
      <c r="K37" s="19"/>
      <c r="L37" s="13"/>
      <c r="M37" s="19"/>
      <c r="N37" s="19"/>
      <c r="O37" s="12"/>
    </row>
    <row r="38" spans="1:16">
      <c r="A38" s="22" t="str">
        <f>"现金"&amp;" , "&amp;TEXT(SUM(E38:E38),"0.00%")</f>
        <v>现金 , 15.11%</v>
      </c>
      <c r="B38" s="10" t="str">
        <f>"低风险理财"&amp;" , "&amp;TEXT(SUM(E38:E38),"0.00%")</f>
        <v>低风险理财 , 15.11%</v>
      </c>
      <c r="C38" s="20" t="str">
        <f>"货币基金"&amp;" , "&amp;TEXT(SUM(E38:E38),"0.00%")</f>
        <v>货币基金 , 15.11%</v>
      </c>
      <c r="D38" s="10" t="s">
        <v>21</v>
      </c>
      <c r="E38" s="11">
        <f t="shared" si="2"/>
        <v>0.15109012085969378</v>
      </c>
      <c r="F38" s="2">
        <f t="shared" si="1"/>
        <v>13400</v>
      </c>
      <c r="G38" s="2">
        <f>养老金计划!W34</f>
        <v>13400</v>
      </c>
      <c r="H38" s="8"/>
      <c r="I38" s="8"/>
      <c r="J38" s="19"/>
      <c r="K38" s="12"/>
      <c r="L38" s="12"/>
      <c r="M38" s="19"/>
      <c r="N38" s="19"/>
      <c r="P38" s="13"/>
    </row>
    <row r="39" spans="1:16">
      <c r="D39" s="8" t="s">
        <v>4</v>
      </c>
      <c r="E39" s="13">
        <f>SUM(E2:E38)</f>
        <v>0.99999999999999978</v>
      </c>
      <c r="F39" s="2">
        <f>SUM(F2:F38)</f>
        <v>88688.79</v>
      </c>
      <c r="I39" s="8"/>
      <c r="J39" s="19"/>
      <c r="K39" s="12"/>
      <c r="L39" s="12"/>
      <c r="M39" s="19"/>
      <c r="N39" s="19"/>
      <c r="O39" s="12"/>
    </row>
    <row r="40" spans="1:16">
      <c r="D40" s="8" t="s">
        <v>5</v>
      </c>
      <c r="E40" s="15">
        <f>F39/$K$2-1</f>
        <v>5.3843599110952045E-2</v>
      </c>
      <c r="J40" s="19"/>
      <c r="K40" s="12"/>
      <c r="L40" s="13"/>
      <c r="M40" s="19"/>
      <c r="N40" s="19"/>
      <c r="P40" s="13"/>
    </row>
    <row r="41" spans="1:16">
      <c r="A41" s="16"/>
      <c r="B41" s="8"/>
      <c r="C41" s="2"/>
      <c r="J41" s="19"/>
      <c r="K41" s="12"/>
      <c r="L41" s="19"/>
      <c r="M41" s="19"/>
      <c r="N41" s="19"/>
    </row>
    <row r="42" spans="1:16">
      <c r="C42" s="2"/>
      <c r="J42" s="19"/>
      <c r="K42" s="12"/>
      <c r="L42" s="13"/>
      <c r="M42" s="19"/>
      <c r="N42" s="19"/>
    </row>
    <row r="43" spans="1:16">
      <c r="C43" s="2"/>
      <c r="D43" s="8"/>
      <c r="E43" s="8"/>
      <c r="F43" s="8"/>
      <c r="J43" s="19"/>
      <c r="K43" s="12"/>
      <c r="L43" s="19"/>
      <c r="M43" s="19"/>
      <c r="N43" s="19"/>
    </row>
    <row r="44" spans="1:16">
      <c r="C44" s="2"/>
      <c r="D44" s="1"/>
      <c r="E44" s="1"/>
      <c r="F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1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25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2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C61" s="4"/>
      <c r="D61" s="1"/>
      <c r="E61" s="1"/>
      <c r="F61" s="1"/>
      <c r="J61" s="19"/>
      <c r="K61" s="19"/>
      <c r="L61" s="19"/>
      <c r="M61" s="19"/>
    </row>
    <row r="62" spans="1:14">
      <c r="A62" s="8"/>
      <c r="B62" s="2"/>
      <c r="D62" s="1"/>
      <c r="E62" s="1"/>
      <c r="F62" s="1"/>
      <c r="J62" s="19"/>
      <c r="K62" s="19"/>
      <c r="L62" s="19"/>
      <c r="M62" s="19"/>
    </row>
    <row r="63" spans="1:14">
      <c r="A63" s="8"/>
      <c r="B63" s="7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8"/>
      <c r="D65" s="1"/>
      <c r="E65" s="1"/>
      <c r="F65" s="1"/>
    </row>
    <row r="66" spans="1:6">
      <c r="A66" s="8"/>
      <c r="B66" s="8"/>
      <c r="C66" s="2"/>
      <c r="D66" s="1"/>
      <c r="E66" s="1"/>
      <c r="F66" s="1"/>
    </row>
    <row r="67" spans="1:6">
      <c r="A67" s="8"/>
      <c r="C67" s="2"/>
      <c r="D67" s="1"/>
      <c r="E67" s="1"/>
      <c r="F67" s="1"/>
    </row>
    <row r="68" spans="1:6">
      <c r="C68" s="2"/>
      <c r="D68" s="3"/>
      <c r="E68" s="8"/>
    </row>
    <row r="69" spans="1:6">
      <c r="C69" s="2"/>
    </row>
    <row r="70" spans="1:6">
      <c r="B70" s="8"/>
      <c r="C70" s="2"/>
    </row>
    <row r="71" spans="1:6">
      <c r="A71" s="8"/>
      <c r="B71" s="8"/>
      <c r="C71" s="2"/>
    </row>
    <row r="72" spans="1:6">
      <c r="A72" s="8"/>
      <c r="B72" s="8"/>
      <c r="C72" s="2"/>
      <c r="D72" s="8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2"/>
      <c r="D80" s="1"/>
    </row>
    <row r="81" spans="1:4">
      <c r="A81" s="8"/>
      <c r="B81" s="8"/>
      <c r="C81" s="5"/>
      <c r="D81" s="1"/>
    </row>
    <row r="82" spans="1:4">
      <c r="A82" s="8"/>
      <c r="B82" s="8"/>
      <c r="C82" s="2"/>
      <c r="D82" s="1"/>
    </row>
    <row r="83" spans="1:4">
      <c r="A83" s="8"/>
      <c r="B83" s="8"/>
      <c r="C83" s="2"/>
      <c r="D83" s="1"/>
    </row>
    <row r="84" spans="1:4">
      <c r="A84" s="8"/>
      <c r="B84" s="17"/>
      <c r="C84" s="2"/>
      <c r="D84" s="1"/>
    </row>
    <row r="85" spans="1:4">
      <c r="A85" s="17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C95" s="2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B99" s="8"/>
      <c r="D99" s="1"/>
    </row>
    <row r="100" spans="1:4">
      <c r="A100" s="8"/>
      <c r="D100" s="1"/>
    </row>
    <row r="101" spans="1:4">
      <c r="D101" s="1"/>
    </row>
    <row r="102" spans="1:4">
      <c r="D102" s="6"/>
    </row>
  </sheetData>
  <mergeCells count="17">
    <mergeCell ref="B5:B10"/>
    <mergeCell ref="B12:B18"/>
    <mergeCell ref="C35:C37"/>
    <mergeCell ref="C9:C10"/>
    <mergeCell ref="C25:C26"/>
    <mergeCell ref="A35:A37"/>
    <mergeCell ref="B35:B37"/>
    <mergeCell ref="A30:A31"/>
    <mergeCell ref="A33:A34"/>
    <mergeCell ref="C23:C24"/>
    <mergeCell ref="C27:C28"/>
    <mergeCell ref="B19:B29"/>
    <mergeCell ref="A2:A29"/>
    <mergeCell ref="C19:C22"/>
    <mergeCell ref="B2:B4"/>
    <mergeCell ref="C3:C4"/>
    <mergeCell ref="C5:C7"/>
  </mergeCells>
  <phoneticPr fontId="2" type="noConversion"/>
  <conditionalFormatting sqref="F46:F67 F4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4 E46 E49:E6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2019-10-01T12:36:48Z</dcterms:modified>
</cp:coreProperties>
</file>