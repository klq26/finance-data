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finance-data\Portfolio\"/>
    </mc:Choice>
  </mc:AlternateContent>
  <xr:revisionPtr revIDLastSave="0" documentId="13_ncr:1_{FB28C247-FE15-4F2D-A408-CC12B1B53447}" xr6:coauthVersionLast="45" xr6:coauthVersionMax="45" xr10:uidLastSave="{00000000-0000-0000-0000-000000000000}"/>
  <bookViews>
    <workbookView xWindow="4290" yWindow="4290" windowWidth="28800" windowHeight="15435" tabRatio="711" xr2:uid="{00000000-000D-0000-FFFF-FFFF00000000}"/>
  </bookViews>
  <sheets>
    <sheet name="养老金计划" sheetId="1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13" l="1"/>
  <c r="C36" i="13" s="1"/>
  <c r="D35" i="13"/>
  <c r="D36" i="13" s="1"/>
  <c r="E35" i="13"/>
  <c r="E36" i="13" s="1"/>
  <c r="F35" i="13"/>
  <c r="F36" i="13" s="1"/>
  <c r="G35" i="13"/>
  <c r="G36" i="13" s="1"/>
  <c r="H35" i="13"/>
  <c r="H36" i="13" s="1"/>
  <c r="I35" i="13"/>
  <c r="I36" i="13" s="1"/>
  <c r="J35" i="13"/>
  <c r="J36" i="13" s="1"/>
  <c r="K35" i="13"/>
  <c r="K36" i="13" s="1"/>
  <c r="L35" i="13"/>
  <c r="L36" i="13" s="1"/>
  <c r="M35" i="13"/>
  <c r="M36" i="13" s="1"/>
  <c r="N35" i="13"/>
  <c r="N36" i="13" s="1"/>
  <c r="O35" i="13"/>
  <c r="O36" i="13" s="1"/>
  <c r="P35" i="13"/>
  <c r="P36" i="13" s="1"/>
  <c r="Q35" i="13"/>
  <c r="Q36" i="13" s="1"/>
  <c r="R35" i="13"/>
  <c r="R36" i="13" s="1"/>
  <c r="S35" i="13"/>
  <c r="S36" i="13" s="1"/>
  <c r="T35" i="13"/>
  <c r="T36" i="13" s="1"/>
  <c r="U35" i="13"/>
  <c r="U36" i="13" s="1"/>
  <c r="V35" i="13"/>
  <c r="V36" i="13" s="1"/>
  <c r="B35" i="13"/>
  <c r="W35" i="13" l="1"/>
  <c r="B36" i="13"/>
  <c r="W36" i="13" s="1"/>
</calcChain>
</file>

<file path=xl/sharedStrings.xml><?xml version="1.0" encoding="utf-8"?>
<sst xmlns="http://schemas.openxmlformats.org/spreadsheetml/2006/main" count="25" uniqueCount="25">
  <si>
    <t>华宝油气</t>
    <phoneticPr fontId="2" type="noConversion"/>
  </si>
  <si>
    <t>兴全可转债</t>
    <phoneticPr fontId="2" type="noConversion"/>
  </si>
  <si>
    <t>长信可转债</t>
    <phoneticPr fontId="2" type="noConversion"/>
  </si>
  <si>
    <t>易方达安心债</t>
    <phoneticPr fontId="2" type="noConversion"/>
  </si>
  <si>
    <t>日期</t>
    <phoneticPr fontId="2" type="noConversion"/>
  </si>
  <si>
    <t>中证500</t>
    <phoneticPr fontId="2" type="noConversion"/>
  </si>
  <si>
    <t>中证红利</t>
    <phoneticPr fontId="2" type="noConversion"/>
  </si>
  <si>
    <t>养老产业</t>
    <phoneticPr fontId="2" type="noConversion"/>
  </si>
  <si>
    <t>全指医药</t>
    <phoneticPr fontId="2" type="noConversion"/>
  </si>
  <si>
    <t>沪深300</t>
    <phoneticPr fontId="2" type="noConversion"/>
  </si>
  <si>
    <t>中证传媒</t>
    <phoneticPr fontId="2" type="noConversion"/>
  </si>
  <si>
    <t>中证环保</t>
    <phoneticPr fontId="2" type="noConversion"/>
  </si>
  <si>
    <t>创业板</t>
    <phoneticPr fontId="2" type="noConversion"/>
  </si>
  <si>
    <t>上证50</t>
    <phoneticPr fontId="2" type="noConversion"/>
  </si>
  <si>
    <t>中证1000</t>
    <phoneticPr fontId="2" type="noConversion"/>
  </si>
  <si>
    <t>金融地产</t>
    <phoneticPr fontId="2" type="noConversion"/>
  </si>
  <si>
    <t>证券公司</t>
    <phoneticPr fontId="2" type="noConversion"/>
  </si>
  <si>
    <t>恒生</t>
    <phoneticPr fontId="2" type="noConversion"/>
  </si>
  <si>
    <t>全指消费</t>
    <phoneticPr fontId="2" type="noConversion"/>
  </si>
  <si>
    <t>德国30</t>
    <phoneticPr fontId="2" type="noConversion"/>
  </si>
  <si>
    <t>黄金</t>
    <phoneticPr fontId="2" type="noConversion"/>
  </si>
  <si>
    <t>总计</t>
    <phoneticPr fontId="2" type="noConversion"/>
  </si>
  <si>
    <t>海外互联</t>
    <phoneticPr fontId="2" type="noConversion"/>
  </si>
  <si>
    <t>现金剩余</t>
    <phoneticPr fontId="2" type="noConversion"/>
  </si>
  <si>
    <t>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</si>
</sst>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DengXian"/>
      <family val="2"/>
      <charset val="134"/>
      <scheme val="minor"/>
    </font>
    <font>
      <sz val="11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u/>
      <sz val="11"/>
      <color theme="10"/>
      <name val="DengXian"/>
      <family val="2"/>
      <charset val="134"/>
      <scheme val="minor"/>
    </font>
    <font>
      <u/>
      <sz val="11"/>
      <color theme="11"/>
      <name val="DengXian"/>
      <family val="2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00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0" fontId="0" fillId="0" borderId="0" xfId="1" applyNumberFormat="1" applyFont="1">
      <alignment vertical="center"/>
    </xf>
    <xf numFmtId="0" fontId="0" fillId="2" borderId="1" xfId="0" applyFill="1" applyBorder="1" applyAlignment="1">
      <alignment horizontal="right" vertical="center"/>
    </xf>
    <xf numFmtId="0" fontId="0" fillId="3" borderId="1" xfId="0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5" borderId="1" xfId="0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0" fillId="7" borderId="1" xfId="0" applyFill="1" applyBorder="1" applyAlignment="1">
      <alignment horizontal="right" vertical="center"/>
    </xf>
    <xf numFmtId="0" fontId="0" fillId="8" borderId="1" xfId="0" applyFill="1" applyBorder="1" applyAlignment="1">
      <alignment horizontal="right" vertical="center"/>
    </xf>
    <xf numFmtId="0" fontId="0" fillId="9" borderId="1" xfId="0" applyFill="1" applyBorder="1" applyAlignment="1">
      <alignment horizontal="right" vertical="center"/>
    </xf>
    <xf numFmtId="14" fontId="0" fillId="0" borderId="2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0" fontId="0" fillId="2" borderId="1" xfId="1" applyNumberFormat="1" applyFont="1" applyFill="1" applyBorder="1" applyAlignment="1">
      <alignment horizontal="right" vertical="center"/>
    </xf>
    <xf numFmtId="10" fontId="0" fillId="3" borderId="1" xfId="1" applyNumberFormat="1" applyFont="1" applyFill="1" applyBorder="1" applyAlignment="1">
      <alignment horizontal="right" vertical="center"/>
    </xf>
    <xf numFmtId="10" fontId="0" fillId="4" borderId="1" xfId="1" applyNumberFormat="1" applyFont="1" applyFill="1" applyBorder="1" applyAlignment="1">
      <alignment horizontal="right" vertical="center"/>
    </xf>
    <xf numFmtId="10" fontId="0" fillId="5" borderId="1" xfId="1" applyNumberFormat="1" applyFont="1" applyFill="1" applyBorder="1" applyAlignment="1">
      <alignment horizontal="right" vertical="center"/>
    </xf>
    <xf numFmtId="10" fontId="0" fillId="6" borderId="1" xfId="1" applyNumberFormat="1" applyFont="1" applyFill="1" applyBorder="1" applyAlignment="1">
      <alignment horizontal="right" vertical="center"/>
    </xf>
    <xf numFmtId="10" fontId="0" fillId="7" borderId="1" xfId="1" applyNumberFormat="1" applyFont="1" applyFill="1" applyBorder="1" applyAlignment="1">
      <alignment horizontal="right" vertical="center"/>
    </xf>
    <xf numFmtId="10" fontId="0" fillId="8" borderId="1" xfId="1" applyNumberFormat="1" applyFont="1" applyFill="1" applyBorder="1" applyAlignment="1">
      <alignment horizontal="right" vertical="center"/>
    </xf>
    <xf numFmtId="10" fontId="0" fillId="9" borderId="1" xfId="1" applyNumberFormat="1" applyFont="1" applyFill="1" applyBorder="1" applyAlignment="1">
      <alignment horizontal="right" vertical="center"/>
    </xf>
  </cellXfs>
  <cellStyles count="500">
    <cellStyle name="百分比" xfId="1" builtinId="5"/>
    <cellStyle name="常规" xfId="0" builtinId="0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超链接" xfId="14" builtinId="8" hidden="1"/>
    <cellStyle name="超链接" xfId="16" builtinId="8" hidden="1"/>
    <cellStyle name="超链接" xfId="18" builtinId="8" hidden="1"/>
    <cellStyle name="超链接" xfId="20" builtinId="8" hidden="1"/>
    <cellStyle name="超链接" xfId="22" builtinId="8" hidden="1"/>
    <cellStyle name="超链接" xfId="24" builtinId="8" hidden="1"/>
    <cellStyle name="超链接" xfId="26" builtinId="8" hidden="1"/>
    <cellStyle name="超链接" xfId="28" builtinId="8" hidden="1"/>
    <cellStyle name="超链接" xfId="30" builtinId="8" hidden="1"/>
    <cellStyle name="超链接" xfId="32" builtinId="8" hidden="1"/>
    <cellStyle name="超链接" xfId="34" builtinId="8" hidden="1"/>
    <cellStyle name="超链接" xfId="36" builtinId="8" hidden="1"/>
    <cellStyle name="超链接" xfId="38" builtinId="8" hidden="1"/>
    <cellStyle name="超链接" xfId="40" builtinId="8" hidden="1"/>
    <cellStyle name="超链接" xfId="42" builtinId="8" hidden="1"/>
    <cellStyle name="超链接" xfId="44" builtinId="8" hidden="1"/>
    <cellStyle name="超链接" xfId="46" builtinId="8" hidden="1"/>
    <cellStyle name="超链接" xfId="48" builtinId="8" hidden="1"/>
    <cellStyle name="超链接" xfId="50" builtinId="8" hidden="1"/>
    <cellStyle name="超链接" xfId="52" builtinId="8" hidden="1"/>
    <cellStyle name="超链接" xfId="54" builtinId="8" hidden="1"/>
    <cellStyle name="超链接" xfId="56" builtinId="8" hidden="1"/>
    <cellStyle name="超链接" xfId="58" builtinId="8" hidden="1"/>
    <cellStyle name="超链接" xfId="60" builtinId="8" hidden="1"/>
    <cellStyle name="超链接" xfId="62" builtinId="8" hidden="1"/>
    <cellStyle name="超链接" xfId="64" builtinId="8" hidden="1"/>
    <cellStyle name="超链接" xfId="66" builtinId="8" hidden="1"/>
    <cellStyle name="超链接" xfId="68" builtinId="8" hidden="1"/>
    <cellStyle name="超链接" xfId="70" builtinId="8" hidden="1"/>
    <cellStyle name="超链接" xfId="72" builtinId="8" hidden="1"/>
    <cellStyle name="超链接" xfId="74" builtinId="8" hidden="1"/>
    <cellStyle name="超链接" xfId="76" builtinId="8" hidden="1"/>
    <cellStyle name="超链接" xfId="78" builtinId="8" hidden="1"/>
    <cellStyle name="超链接" xfId="80" builtinId="8" hidden="1"/>
    <cellStyle name="超链接" xfId="82" builtinId="8" hidden="1"/>
    <cellStyle name="超链接" xfId="84" builtinId="8" hidden="1"/>
    <cellStyle name="超链接" xfId="86" builtinId="8" hidden="1"/>
    <cellStyle name="超链接" xfId="88" builtinId="8" hidden="1"/>
    <cellStyle name="超链接" xfId="90" builtinId="8" hidden="1"/>
    <cellStyle name="超链接" xfId="92" builtinId="8" hidden="1"/>
    <cellStyle name="超链接" xfId="94" builtinId="8" hidden="1"/>
    <cellStyle name="超链接" xfId="96" builtinId="8" hidden="1"/>
    <cellStyle name="超链接" xfId="98" builtinId="8" hidden="1"/>
    <cellStyle name="超链接" xfId="100" builtinId="8" hidden="1"/>
    <cellStyle name="超链接" xfId="102" builtinId="8" hidden="1"/>
    <cellStyle name="超链接" xfId="104" builtinId="8" hidden="1"/>
    <cellStyle name="超链接" xfId="106" builtinId="8" hidden="1"/>
    <cellStyle name="超链接" xfId="108" builtinId="8" hidden="1"/>
    <cellStyle name="超链接" xfId="110" builtinId="8" hidden="1"/>
    <cellStyle name="超链接" xfId="112" builtinId="8" hidden="1"/>
    <cellStyle name="超链接" xfId="114" builtinId="8" hidden="1"/>
    <cellStyle name="超链接" xfId="116" builtinId="8" hidden="1"/>
    <cellStyle name="超链接" xfId="118" builtinId="8" hidden="1"/>
    <cellStyle name="超链接" xfId="120" builtinId="8" hidden="1"/>
    <cellStyle name="超链接" xfId="122" builtinId="8" hidden="1"/>
    <cellStyle name="超链接" xfId="124" builtinId="8" hidden="1"/>
    <cellStyle name="超链接" xfId="126" builtinId="8" hidden="1"/>
    <cellStyle name="超链接" xfId="128" builtinId="8" hidden="1"/>
    <cellStyle name="超链接" xfId="130" builtinId="8" hidden="1"/>
    <cellStyle name="超链接" xfId="132" builtinId="8" hidden="1"/>
    <cellStyle name="超链接" xfId="134" builtinId="8" hidden="1"/>
    <cellStyle name="超链接" xfId="136" builtinId="8" hidden="1"/>
    <cellStyle name="超链接" xfId="138" builtinId="8" hidden="1"/>
    <cellStyle name="超链接" xfId="140" builtinId="8" hidden="1"/>
    <cellStyle name="超链接" xfId="142" builtinId="8" hidden="1"/>
    <cellStyle name="超链接" xfId="144" builtinId="8" hidden="1"/>
    <cellStyle name="超链接" xfId="146" builtinId="8" hidden="1"/>
    <cellStyle name="超链接" xfId="148" builtinId="8" hidden="1"/>
    <cellStyle name="超链接" xfId="150" builtinId="8" hidden="1"/>
    <cellStyle name="超链接" xfId="152" builtinId="8" hidden="1"/>
    <cellStyle name="超链接" xfId="154" builtinId="8" hidden="1"/>
    <cellStyle name="超链接" xfId="156" builtinId="8" hidden="1"/>
    <cellStyle name="超链接" xfId="158" builtinId="8" hidden="1"/>
    <cellStyle name="超链接" xfId="160" builtinId="8" hidden="1"/>
    <cellStyle name="超链接" xfId="162" builtinId="8" hidden="1"/>
    <cellStyle name="超链接" xfId="164" builtinId="8" hidden="1"/>
    <cellStyle name="超链接" xfId="166" builtinId="8" hidden="1"/>
    <cellStyle name="超链接" xfId="168" builtinId="8" hidden="1"/>
    <cellStyle name="超链接" xfId="170" builtinId="8" hidden="1"/>
    <cellStyle name="超链接" xfId="172" builtinId="8" hidden="1"/>
    <cellStyle name="超链接" xfId="174" builtinId="8" hidden="1"/>
    <cellStyle name="超链接" xfId="176" builtinId="8" hidden="1"/>
    <cellStyle name="超链接" xfId="178" builtinId="8" hidden="1"/>
    <cellStyle name="超链接" xfId="180" builtinId="8" hidden="1"/>
    <cellStyle name="超链接" xfId="182" builtinId="8" hidden="1"/>
    <cellStyle name="超链接" xfId="184" builtinId="8" hidden="1"/>
    <cellStyle name="超链接" xfId="186" builtinId="8" hidden="1"/>
    <cellStyle name="超链接" xfId="188" builtinId="8" hidden="1"/>
    <cellStyle name="超链接" xfId="190" builtinId="8" hidden="1"/>
    <cellStyle name="超链接" xfId="192" builtinId="8" hidden="1"/>
    <cellStyle name="超链接" xfId="194" builtinId="8" hidden="1"/>
    <cellStyle name="超链接" xfId="196" builtinId="8" hidden="1"/>
    <cellStyle name="超链接" xfId="198" builtinId="8" hidden="1"/>
    <cellStyle name="超链接" xfId="200" builtinId="8" hidden="1"/>
    <cellStyle name="超链接" xfId="202" builtinId="8" hidden="1"/>
    <cellStyle name="超链接" xfId="204" builtinId="8" hidden="1"/>
    <cellStyle name="超链接" xfId="206" builtinId="8" hidden="1"/>
    <cellStyle name="超链接" xfId="208" builtinId="8" hidden="1"/>
    <cellStyle name="超链接" xfId="210" builtinId="8" hidden="1"/>
    <cellStyle name="超链接" xfId="212" builtinId="8" hidden="1"/>
    <cellStyle name="超链接" xfId="214" builtinId="8" hidden="1"/>
    <cellStyle name="超链接" xfId="216" builtinId="8" hidden="1"/>
    <cellStyle name="超链接" xfId="218" builtinId="8" hidden="1"/>
    <cellStyle name="超链接" xfId="220" builtinId="8" hidden="1"/>
    <cellStyle name="超链接" xfId="222" builtinId="8" hidden="1"/>
    <cellStyle name="超链接" xfId="224" builtinId="8" hidden="1"/>
    <cellStyle name="超链接" xfId="226" builtinId="8" hidden="1"/>
    <cellStyle name="超链接" xfId="228" builtinId="8" hidden="1"/>
    <cellStyle name="超链接" xfId="230" builtinId="8" hidden="1"/>
    <cellStyle name="超链接" xfId="232" builtinId="8" hidden="1"/>
    <cellStyle name="超链接" xfId="234" builtinId="8" hidden="1"/>
    <cellStyle name="超链接" xfId="236" builtinId="8" hidden="1"/>
    <cellStyle name="超链接" xfId="238" builtinId="8" hidden="1"/>
    <cellStyle name="超链接" xfId="240" builtinId="8" hidden="1"/>
    <cellStyle name="超链接" xfId="242" builtinId="8" hidden="1"/>
    <cellStyle name="超链接" xfId="244" builtinId="8" hidden="1"/>
    <cellStyle name="超链接" xfId="246" builtinId="8" hidden="1"/>
    <cellStyle name="超链接" xfId="248" builtinId="8" hidden="1"/>
    <cellStyle name="超链接" xfId="250" builtinId="8" hidden="1"/>
    <cellStyle name="超链接" xfId="252" builtinId="8" hidden="1"/>
    <cellStyle name="超链接" xfId="254" builtinId="8" hidden="1"/>
    <cellStyle name="超链接" xfId="256" builtinId="8" hidden="1"/>
    <cellStyle name="超链接" xfId="258" builtinId="8" hidden="1"/>
    <cellStyle name="超链接" xfId="260" builtinId="8" hidden="1"/>
    <cellStyle name="超链接" xfId="262" builtinId="8" hidden="1"/>
    <cellStyle name="超链接" xfId="264" builtinId="8" hidden="1"/>
    <cellStyle name="超链接" xfId="266" builtinId="8" hidden="1"/>
    <cellStyle name="超链接" xfId="268" builtinId="8" hidden="1"/>
    <cellStyle name="超链接" xfId="270" builtinId="8" hidden="1"/>
    <cellStyle name="超链接" xfId="272" builtinId="8" hidden="1"/>
    <cellStyle name="超链接" xfId="274" builtinId="8" hidden="1"/>
    <cellStyle name="超链接" xfId="276" builtinId="8" hidden="1"/>
    <cellStyle name="超链接" xfId="278" builtinId="8" hidden="1"/>
    <cellStyle name="超链接" xfId="280" builtinId="8" hidden="1"/>
    <cellStyle name="超链接" xfId="282" builtinId="8" hidden="1"/>
    <cellStyle name="超链接" xfId="284" builtinId="8" hidden="1"/>
    <cellStyle name="超链接" xfId="286" builtinId="8" hidden="1"/>
    <cellStyle name="超链接" xfId="288" builtinId="8" hidden="1"/>
    <cellStyle name="超链接" xfId="290" builtinId="8" hidden="1"/>
    <cellStyle name="超链接" xfId="292" builtinId="8" hidden="1"/>
    <cellStyle name="超链接" xfId="294" builtinId="8" hidden="1"/>
    <cellStyle name="超链接" xfId="296" builtinId="8" hidden="1"/>
    <cellStyle name="超链接" xfId="298" builtinId="8" hidden="1"/>
    <cellStyle name="超链接" xfId="300" builtinId="8" hidden="1"/>
    <cellStyle name="超链接" xfId="302" builtinId="8" hidden="1"/>
    <cellStyle name="超链接" xfId="304" builtinId="8" hidden="1"/>
    <cellStyle name="超链接" xfId="306" builtinId="8" hidden="1"/>
    <cellStyle name="超链接" xfId="308" builtinId="8" hidden="1"/>
    <cellStyle name="超链接" xfId="310" builtinId="8" hidden="1"/>
    <cellStyle name="超链接" xfId="312" builtinId="8" hidden="1"/>
    <cellStyle name="超链接" xfId="314" builtinId="8" hidden="1"/>
    <cellStyle name="超链接" xfId="316" builtinId="8" hidden="1"/>
    <cellStyle name="超链接" xfId="318" builtinId="8" hidden="1"/>
    <cellStyle name="超链接" xfId="320" builtinId="8" hidden="1"/>
    <cellStyle name="超链接" xfId="322" builtinId="8" hidden="1"/>
    <cellStyle name="超链接" xfId="324" builtinId="8" hidden="1"/>
    <cellStyle name="超链接" xfId="326" builtinId="8" hidden="1"/>
    <cellStyle name="超链接" xfId="328" builtinId="8" hidden="1"/>
    <cellStyle name="超链接" xfId="330" builtinId="8" hidden="1"/>
    <cellStyle name="超链接" xfId="332" builtinId="8" hidden="1"/>
    <cellStyle name="超链接" xfId="334" builtinId="8" hidden="1"/>
    <cellStyle name="超链接" xfId="336" builtinId="8" hidden="1"/>
    <cellStyle name="超链接" xfId="338" builtinId="8" hidden="1"/>
    <cellStyle name="超链接" xfId="340" builtinId="8" hidden="1"/>
    <cellStyle name="超链接" xfId="342" builtinId="8" hidden="1"/>
    <cellStyle name="超链接" xfId="344" builtinId="8" hidden="1"/>
    <cellStyle name="超链接" xfId="346" builtinId="8" hidden="1"/>
    <cellStyle name="超链接" xfId="348" builtinId="8" hidden="1"/>
    <cellStyle name="超链接" xfId="350" builtinId="8" hidden="1"/>
    <cellStyle name="超链接" xfId="352" builtinId="8" hidden="1"/>
    <cellStyle name="超链接" xfId="354" builtinId="8" hidden="1"/>
    <cellStyle name="超链接" xfId="356" builtinId="8" hidden="1"/>
    <cellStyle name="超链接" xfId="358" builtinId="8" hidden="1"/>
    <cellStyle name="超链接" xfId="360" builtinId="8" hidden="1"/>
    <cellStyle name="超链接" xfId="362" builtinId="8" hidden="1"/>
    <cellStyle name="超链接" xfId="364" builtinId="8" hidden="1"/>
    <cellStyle name="超链接" xfId="366" builtinId="8" hidden="1"/>
    <cellStyle name="超链接" xfId="368" builtinId="8" hidden="1"/>
    <cellStyle name="超链接" xfId="370" builtinId="8" hidden="1"/>
    <cellStyle name="超链接" xfId="372" builtinId="8" hidden="1"/>
    <cellStyle name="超链接" xfId="374" builtinId="8" hidden="1"/>
    <cellStyle name="超链接" xfId="376" builtinId="8" hidden="1"/>
    <cellStyle name="超链接" xfId="378" builtinId="8" hidden="1"/>
    <cellStyle name="超链接" xfId="380" builtinId="8" hidden="1"/>
    <cellStyle name="超链接" xfId="382" builtinId="8" hidden="1"/>
    <cellStyle name="超链接" xfId="384" builtinId="8" hidden="1"/>
    <cellStyle name="超链接" xfId="386" builtinId="8" hidden="1"/>
    <cellStyle name="超链接" xfId="388" builtinId="8" hidden="1"/>
    <cellStyle name="超链接" xfId="390" builtinId="8" hidden="1"/>
    <cellStyle name="超链接" xfId="392" builtinId="8" hidden="1"/>
    <cellStyle name="超链接" xfId="394" builtinId="8" hidden="1"/>
    <cellStyle name="超链接" xfId="396" builtinId="8" hidden="1"/>
    <cellStyle name="超链接" xfId="398" builtinId="8" hidden="1"/>
    <cellStyle name="超链接" xfId="400" builtinId="8" hidden="1"/>
    <cellStyle name="超链接" xfId="402" builtinId="8" hidden="1"/>
    <cellStyle name="超链接" xfId="404" builtinId="8" hidden="1"/>
    <cellStyle name="超链接" xfId="406" builtinId="8" hidden="1"/>
    <cellStyle name="超链接" xfId="408" builtinId="8" hidden="1"/>
    <cellStyle name="超链接" xfId="410" builtinId="8" hidden="1"/>
    <cellStyle name="超链接" xfId="412" builtinId="8" hidden="1"/>
    <cellStyle name="超链接" xfId="414" builtinId="8" hidden="1"/>
    <cellStyle name="超链接" xfId="416" builtinId="8" hidden="1"/>
    <cellStyle name="超链接" xfId="418" builtinId="8" hidden="1"/>
    <cellStyle name="超链接" xfId="420" builtinId="8" hidden="1"/>
    <cellStyle name="超链接" xfId="422" builtinId="8" hidden="1"/>
    <cellStyle name="超链接" xfId="424" builtinId="8" hidden="1"/>
    <cellStyle name="超链接" xfId="426" builtinId="8" hidden="1"/>
    <cellStyle name="超链接" xfId="428" builtinId="8" hidden="1"/>
    <cellStyle name="超链接" xfId="430" builtinId="8" hidden="1"/>
    <cellStyle name="超链接" xfId="432" builtinId="8" hidden="1"/>
    <cellStyle name="超链接" xfId="434" builtinId="8" hidden="1"/>
    <cellStyle name="超链接" xfId="436" builtinId="8" hidden="1"/>
    <cellStyle name="超链接" xfId="438" builtinId="8" hidden="1"/>
    <cellStyle name="超链接" xfId="440" builtinId="8" hidden="1"/>
    <cellStyle name="超链接" xfId="442" builtinId="8" hidden="1"/>
    <cellStyle name="超链接" xfId="444" builtinId="8" hidden="1"/>
    <cellStyle name="超链接" xfId="446" builtinId="8" hidden="1"/>
    <cellStyle name="超链接" xfId="448" builtinId="8" hidden="1"/>
    <cellStyle name="超链接" xfId="450" builtinId="8" hidden="1"/>
    <cellStyle name="超链接" xfId="452" builtinId="8" hidden="1"/>
    <cellStyle name="超链接" xfId="454" builtinId="8" hidden="1"/>
    <cellStyle name="超链接" xfId="456" builtinId="8" hidden="1"/>
    <cellStyle name="超链接" xfId="458" builtinId="8" hidden="1"/>
    <cellStyle name="超链接" xfId="460" builtinId="8" hidden="1"/>
    <cellStyle name="超链接" xfId="462" builtinId="8" hidden="1"/>
    <cellStyle name="超链接" xfId="464" builtinId="8" hidden="1"/>
    <cellStyle name="超链接" xfId="466" builtinId="8" hidden="1"/>
    <cellStyle name="超链接" xfId="468" builtinId="8" hidden="1"/>
    <cellStyle name="超链接" xfId="470" builtinId="8" hidden="1"/>
    <cellStyle name="超链接" xfId="472" builtinId="8" hidden="1"/>
    <cellStyle name="超链接" xfId="474" builtinId="8" hidden="1"/>
    <cellStyle name="超链接" xfId="476" builtinId="8" hidden="1"/>
    <cellStyle name="超链接" xfId="478" builtinId="8" hidden="1"/>
    <cellStyle name="超链接" xfId="480" builtinId="8" hidden="1"/>
    <cellStyle name="超链接" xfId="482" builtinId="8" hidden="1"/>
    <cellStyle name="超链接" xfId="484" builtinId="8" hidden="1"/>
    <cellStyle name="超链接" xfId="486" builtinId="8" hidden="1"/>
    <cellStyle name="超链接" xfId="488" builtinId="8" hidden="1"/>
    <cellStyle name="超链接" xfId="490" builtinId="8" hidden="1"/>
    <cellStyle name="超链接" xfId="492" builtinId="8" hidden="1"/>
    <cellStyle name="超链接" xfId="494" builtinId="8" hidden="1"/>
    <cellStyle name="超链接" xfId="496" builtinId="8" hidden="1"/>
    <cellStyle name="超链接" xfId="498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  <cellStyle name="已访问的超链接" xfId="15" builtinId="9" hidden="1"/>
    <cellStyle name="已访问的超链接" xfId="17" builtinId="9" hidden="1"/>
    <cellStyle name="已访问的超链接" xfId="19" builtinId="9" hidden="1"/>
    <cellStyle name="已访问的超链接" xfId="21" builtinId="9" hidden="1"/>
    <cellStyle name="已访问的超链接" xfId="23" builtinId="9" hidden="1"/>
    <cellStyle name="已访问的超链接" xfId="25" builtinId="9" hidden="1"/>
    <cellStyle name="已访问的超链接" xfId="27" builtinId="9" hidden="1"/>
    <cellStyle name="已访问的超链接" xfId="29" builtinId="9" hidden="1"/>
    <cellStyle name="已访问的超链接" xfId="31" builtinId="9" hidden="1"/>
    <cellStyle name="已访问的超链接" xfId="33" builtinId="9" hidden="1"/>
    <cellStyle name="已访问的超链接" xfId="35" builtinId="9" hidden="1"/>
    <cellStyle name="已访问的超链接" xfId="37" builtinId="9" hidden="1"/>
    <cellStyle name="已访问的超链接" xfId="39" builtinId="9" hidden="1"/>
    <cellStyle name="已访问的超链接" xfId="41" builtinId="9" hidden="1"/>
    <cellStyle name="已访问的超链接" xfId="43" builtinId="9" hidden="1"/>
    <cellStyle name="已访问的超链接" xfId="45" builtinId="9" hidden="1"/>
    <cellStyle name="已访问的超链接" xfId="47" builtinId="9" hidden="1"/>
    <cellStyle name="已访问的超链接" xfId="49" builtinId="9" hidden="1"/>
    <cellStyle name="已访问的超链接" xfId="51" builtinId="9" hidden="1"/>
    <cellStyle name="已访问的超链接" xfId="53" builtinId="9" hidden="1"/>
    <cellStyle name="已访问的超链接" xfId="55" builtinId="9" hidden="1"/>
    <cellStyle name="已访问的超链接" xfId="57" builtinId="9" hidden="1"/>
    <cellStyle name="已访问的超链接" xfId="59" builtinId="9" hidden="1"/>
    <cellStyle name="已访问的超链接" xfId="61" builtinId="9" hidden="1"/>
    <cellStyle name="已访问的超链接" xfId="63" builtinId="9" hidden="1"/>
    <cellStyle name="已访问的超链接" xfId="65" builtinId="9" hidden="1"/>
    <cellStyle name="已访问的超链接" xfId="67" builtinId="9" hidden="1"/>
    <cellStyle name="已访问的超链接" xfId="69" builtinId="9" hidden="1"/>
    <cellStyle name="已访问的超链接" xfId="71" builtinId="9" hidden="1"/>
    <cellStyle name="已访问的超链接" xfId="73" builtinId="9" hidden="1"/>
    <cellStyle name="已访问的超链接" xfId="75" builtinId="9" hidden="1"/>
    <cellStyle name="已访问的超链接" xfId="77" builtinId="9" hidden="1"/>
    <cellStyle name="已访问的超链接" xfId="79" builtinId="9" hidden="1"/>
    <cellStyle name="已访问的超链接" xfId="81" builtinId="9" hidden="1"/>
    <cellStyle name="已访问的超链接" xfId="83" builtinId="9" hidden="1"/>
    <cellStyle name="已访问的超链接" xfId="85" builtinId="9" hidden="1"/>
    <cellStyle name="已访问的超链接" xfId="87" builtinId="9" hidden="1"/>
    <cellStyle name="已访问的超链接" xfId="89" builtinId="9" hidden="1"/>
    <cellStyle name="已访问的超链接" xfId="91" builtinId="9" hidden="1"/>
    <cellStyle name="已访问的超链接" xfId="93" builtinId="9" hidden="1"/>
    <cellStyle name="已访问的超链接" xfId="95" builtinId="9" hidden="1"/>
    <cellStyle name="已访问的超链接" xfId="97" builtinId="9" hidden="1"/>
    <cellStyle name="已访问的超链接" xfId="99" builtinId="9" hidden="1"/>
    <cellStyle name="已访问的超链接" xfId="101" builtinId="9" hidden="1"/>
    <cellStyle name="已访问的超链接" xfId="103" builtinId="9" hidden="1"/>
    <cellStyle name="已访问的超链接" xfId="105" builtinId="9" hidden="1"/>
    <cellStyle name="已访问的超链接" xfId="107" builtinId="9" hidden="1"/>
    <cellStyle name="已访问的超链接" xfId="109" builtinId="9" hidden="1"/>
    <cellStyle name="已访问的超链接" xfId="111" builtinId="9" hidden="1"/>
    <cellStyle name="已访问的超链接" xfId="113" builtinId="9" hidden="1"/>
    <cellStyle name="已访问的超链接" xfId="115" builtinId="9" hidden="1"/>
    <cellStyle name="已访问的超链接" xfId="117" builtinId="9" hidden="1"/>
    <cellStyle name="已访问的超链接" xfId="119" builtinId="9" hidden="1"/>
    <cellStyle name="已访问的超链接" xfId="121" builtinId="9" hidden="1"/>
    <cellStyle name="已访问的超链接" xfId="123" builtinId="9" hidden="1"/>
    <cellStyle name="已访问的超链接" xfId="125" builtinId="9" hidden="1"/>
    <cellStyle name="已访问的超链接" xfId="127" builtinId="9" hidden="1"/>
    <cellStyle name="已访问的超链接" xfId="129" builtinId="9" hidden="1"/>
    <cellStyle name="已访问的超链接" xfId="131" builtinId="9" hidden="1"/>
    <cellStyle name="已访问的超链接" xfId="133" builtinId="9" hidden="1"/>
    <cellStyle name="已访问的超链接" xfId="135" builtinId="9" hidden="1"/>
    <cellStyle name="已访问的超链接" xfId="137" builtinId="9" hidden="1"/>
    <cellStyle name="已访问的超链接" xfId="139" builtinId="9" hidden="1"/>
    <cellStyle name="已访问的超链接" xfId="141" builtinId="9" hidden="1"/>
    <cellStyle name="已访问的超链接" xfId="143" builtinId="9" hidden="1"/>
    <cellStyle name="已访问的超链接" xfId="145" builtinId="9" hidden="1"/>
    <cellStyle name="已访问的超链接" xfId="147" builtinId="9" hidden="1"/>
    <cellStyle name="已访问的超链接" xfId="149" builtinId="9" hidden="1"/>
    <cellStyle name="已访问的超链接" xfId="151" builtinId="9" hidden="1"/>
    <cellStyle name="已访问的超链接" xfId="153" builtinId="9" hidden="1"/>
    <cellStyle name="已访问的超链接" xfId="155" builtinId="9" hidden="1"/>
    <cellStyle name="已访问的超链接" xfId="157" builtinId="9" hidden="1"/>
    <cellStyle name="已访问的超链接" xfId="159" builtinId="9" hidden="1"/>
    <cellStyle name="已访问的超链接" xfId="161" builtinId="9" hidden="1"/>
    <cellStyle name="已访问的超链接" xfId="163" builtinId="9" hidden="1"/>
    <cellStyle name="已访问的超链接" xfId="165" builtinId="9" hidden="1"/>
    <cellStyle name="已访问的超链接" xfId="167" builtinId="9" hidden="1"/>
    <cellStyle name="已访问的超链接" xfId="169" builtinId="9" hidden="1"/>
    <cellStyle name="已访问的超链接" xfId="171" builtinId="9" hidden="1"/>
    <cellStyle name="已访问的超链接" xfId="173" builtinId="9" hidden="1"/>
    <cellStyle name="已访问的超链接" xfId="175" builtinId="9" hidden="1"/>
    <cellStyle name="已访问的超链接" xfId="177" builtinId="9" hidden="1"/>
    <cellStyle name="已访问的超链接" xfId="179" builtinId="9" hidden="1"/>
    <cellStyle name="已访问的超链接" xfId="181" builtinId="9" hidden="1"/>
    <cellStyle name="已访问的超链接" xfId="183" builtinId="9" hidden="1"/>
    <cellStyle name="已访问的超链接" xfId="185" builtinId="9" hidden="1"/>
    <cellStyle name="已访问的超链接" xfId="187" builtinId="9" hidden="1"/>
    <cellStyle name="已访问的超链接" xfId="189" builtinId="9" hidden="1"/>
    <cellStyle name="已访问的超链接" xfId="191" builtinId="9" hidden="1"/>
    <cellStyle name="已访问的超链接" xfId="193" builtinId="9" hidden="1"/>
    <cellStyle name="已访问的超链接" xfId="195" builtinId="9" hidden="1"/>
    <cellStyle name="已访问的超链接" xfId="197" builtinId="9" hidden="1"/>
    <cellStyle name="已访问的超链接" xfId="199" builtinId="9" hidden="1"/>
    <cellStyle name="已访问的超链接" xfId="201" builtinId="9" hidden="1"/>
    <cellStyle name="已访问的超链接" xfId="203" builtinId="9" hidden="1"/>
    <cellStyle name="已访问的超链接" xfId="205" builtinId="9" hidden="1"/>
    <cellStyle name="已访问的超链接" xfId="207" builtinId="9" hidden="1"/>
    <cellStyle name="已访问的超链接" xfId="209" builtinId="9" hidden="1"/>
    <cellStyle name="已访问的超链接" xfId="211" builtinId="9" hidden="1"/>
    <cellStyle name="已访问的超链接" xfId="213" builtinId="9" hidden="1"/>
    <cellStyle name="已访问的超链接" xfId="215" builtinId="9" hidden="1"/>
    <cellStyle name="已访问的超链接" xfId="217" builtinId="9" hidden="1"/>
    <cellStyle name="已访问的超链接" xfId="219" builtinId="9" hidden="1"/>
    <cellStyle name="已访问的超链接" xfId="221" builtinId="9" hidden="1"/>
    <cellStyle name="已访问的超链接" xfId="223" builtinId="9" hidden="1"/>
    <cellStyle name="已访问的超链接" xfId="225" builtinId="9" hidden="1"/>
    <cellStyle name="已访问的超链接" xfId="227" builtinId="9" hidden="1"/>
    <cellStyle name="已访问的超链接" xfId="229" builtinId="9" hidden="1"/>
    <cellStyle name="已访问的超链接" xfId="231" builtinId="9" hidden="1"/>
    <cellStyle name="已访问的超链接" xfId="233" builtinId="9" hidden="1"/>
    <cellStyle name="已访问的超链接" xfId="235" builtinId="9" hidden="1"/>
    <cellStyle name="已访问的超链接" xfId="237" builtinId="9" hidden="1"/>
    <cellStyle name="已访问的超链接" xfId="239" builtinId="9" hidden="1"/>
    <cellStyle name="已访问的超链接" xfId="241" builtinId="9" hidden="1"/>
    <cellStyle name="已访问的超链接" xfId="243" builtinId="9" hidden="1"/>
    <cellStyle name="已访问的超链接" xfId="245" builtinId="9" hidden="1"/>
    <cellStyle name="已访问的超链接" xfId="247" builtinId="9" hidden="1"/>
    <cellStyle name="已访问的超链接" xfId="249" builtinId="9" hidden="1"/>
    <cellStyle name="已访问的超链接" xfId="251" builtinId="9" hidden="1"/>
    <cellStyle name="已访问的超链接" xfId="253" builtinId="9" hidden="1"/>
    <cellStyle name="已访问的超链接" xfId="255" builtinId="9" hidden="1"/>
    <cellStyle name="已访问的超链接" xfId="257" builtinId="9" hidden="1"/>
    <cellStyle name="已访问的超链接" xfId="259" builtinId="9" hidden="1"/>
    <cellStyle name="已访问的超链接" xfId="261" builtinId="9" hidden="1"/>
    <cellStyle name="已访问的超链接" xfId="263" builtinId="9" hidden="1"/>
    <cellStyle name="已访问的超链接" xfId="265" builtinId="9" hidden="1"/>
    <cellStyle name="已访问的超链接" xfId="267" builtinId="9" hidden="1"/>
    <cellStyle name="已访问的超链接" xfId="269" builtinId="9" hidden="1"/>
    <cellStyle name="已访问的超链接" xfId="271" builtinId="9" hidden="1"/>
    <cellStyle name="已访问的超链接" xfId="273" builtinId="9" hidden="1"/>
    <cellStyle name="已访问的超链接" xfId="275" builtinId="9" hidden="1"/>
    <cellStyle name="已访问的超链接" xfId="277" builtinId="9" hidden="1"/>
    <cellStyle name="已访问的超链接" xfId="279" builtinId="9" hidden="1"/>
    <cellStyle name="已访问的超链接" xfId="281" builtinId="9" hidden="1"/>
    <cellStyle name="已访问的超链接" xfId="283" builtinId="9" hidden="1"/>
    <cellStyle name="已访问的超链接" xfId="285" builtinId="9" hidden="1"/>
    <cellStyle name="已访问的超链接" xfId="287" builtinId="9" hidden="1"/>
    <cellStyle name="已访问的超链接" xfId="289" builtinId="9" hidden="1"/>
    <cellStyle name="已访问的超链接" xfId="291" builtinId="9" hidden="1"/>
    <cellStyle name="已访问的超链接" xfId="293" builtinId="9" hidden="1"/>
    <cellStyle name="已访问的超链接" xfId="295" builtinId="9" hidden="1"/>
    <cellStyle name="已访问的超链接" xfId="297" builtinId="9" hidden="1"/>
    <cellStyle name="已访问的超链接" xfId="299" builtinId="9" hidden="1"/>
    <cellStyle name="已访问的超链接" xfId="301" builtinId="9" hidden="1"/>
    <cellStyle name="已访问的超链接" xfId="303" builtinId="9" hidden="1"/>
    <cellStyle name="已访问的超链接" xfId="305" builtinId="9" hidden="1"/>
    <cellStyle name="已访问的超链接" xfId="307" builtinId="9" hidden="1"/>
    <cellStyle name="已访问的超链接" xfId="309" builtinId="9" hidden="1"/>
    <cellStyle name="已访问的超链接" xfId="311" builtinId="9" hidden="1"/>
    <cellStyle name="已访问的超链接" xfId="313" builtinId="9" hidden="1"/>
    <cellStyle name="已访问的超链接" xfId="315" builtinId="9" hidden="1"/>
    <cellStyle name="已访问的超链接" xfId="317" builtinId="9" hidden="1"/>
    <cellStyle name="已访问的超链接" xfId="319" builtinId="9" hidden="1"/>
    <cellStyle name="已访问的超链接" xfId="321" builtinId="9" hidden="1"/>
    <cellStyle name="已访问的超链接" xfId="323" builtinId="9" hidden="1"/>
    <cellStyle name="已访问的超链接" xfId="325" builtinId="9" hidden="1"/>
    <cellStyle name="已访问的超链接" xfId="327" builtinId="9" hidden="1"/>
    <cellStyle name="已访问的超链接" xfId="329" builtinId="9" hidden="1"/>
    <cellStyle name="已访问的超链接" xfId="331" builtinId="9" hidden="1"/>
    <cellStyle name="已访问的超链接" xfId="333" builtinId="9" hidden="1"/>
    <cellStyle name="已访问的超链接" xfId="335" builtinId="9" hidden="1"/>
    <cellStyle name="已访问的超链接" xfId="337" builtinId="9" hidden="1"/>
    <cellStyle name="已访问的超链接" xfId="339" builtinId="9" hidden="1"/>
    <cellStyle name="已访问的超链接" xfId="341" builtinId="9" hidden="1"/>
    <cellStyle name="已访问的超链接" xfId="343" builtinId="9" hidden="1"/>
    <cellStyle name="已访问的超链接" xfId="345" builtinId="9" hidden="1"/>
    <cellStyle name="已访问的超链接" xfId="347" builtinId="9" hidden="1"/>
    <cellStyle name="已访问的超链接" xfId="349" builtinId="9" hidden="1"/>
    <cellStyle name="已访问的超链接" xfId="351" builtinId="9" hidden="1"/>
    <cellStyle name="已访问的超链接" xfId="353" builtinId="9" hidden="1"/>
    <cellStyle name="已访问的超链接" xfId="355" builtinId="9" hidden="1"/>
    <cellStyle name="已访问的超链接" xfId="357" builtinId="9" hidden="1"/>
    <cellStyle name="已访问的超链接" xfId="359" builtinId="9" hidden="1"/>
    <cellStyle name="已访问的超链接" xfId="361" builtinId="9" hidden="1"/>
    <cellStyle name="已访问的超链接" xfId="363" builtinId="9" hidden="1"/>
    <cellStyle name="已访问的超链接" xfId="365" builtinId="9" hidden="1"/>
    <cellStyle name="已访问的超链接" xfId="367" builtinId="9" hidden="1"/>
    <cellStyle name="已访问的超链接" xfId="369" builtinId="9" hidden="1"/>
    <cellStyle name="已访问的超链接" xfId="371" builtinId="9" hidden="1"/>
    <cellStyle name="已访问的超链接" xfId="373" builtinId="9" hidden="1"/>
    <cellStyle name="已访问的超链接" xfId="375" builtinId="9" hidden="1"/>
    <cellStyle name="已访问的超链接" xfId="377" builtinId="9" hidden="1"/>
    <cellStyle name="已访问的超链接" xfId="379" builtinId="9" hidden="1"/>
    <cellStyle name="已访问的超链接" xfId="381" builtinId="9" hidden="1"/>
    <cellStyle name="已访问的超链接" xfId="383" builtinId="9" hidden="1"/>
    <cellStyle name="已访问的超链接" xfId="385" builtinId="9" hidden="1"/>
    <cellStyle name="已访问的超链接" xfId="387" builtinId="9" hidden="1"/>
    <cellStyle name="已访问的超链接" xfId="389" builtinId="9" hidden="1"/>
    <cellStyle name="已访问的超链接" xfId="391" builtinId="9" hidden="1"/>
    <cellStyle name="已访问的超链接" xfId="393" builtinId="9" hidden="1"/>
    <cellStyle name="已访问的超链接" xfId="395" builtinId="9" hidden="1"/>
    <cellStyle name="已访问的超链接" xfId="397" builtinId="9" hidden="1"/>
    <cellStyle name="已访问的超链接" xfId="399" builtinId="9" hidden="1"/>
    <cellStyle name="已访问的超链接" xfId="401" builtinId="9" hidden="1"/>
    <cellStyle name="已访问的超链接" xfId="403" builtinId="9" hidden="1"/>
    <cellStyle name="已访问的超链接" xfId="405" builtinId="9" hidden="1"/>
    <cellStyle name="已访问的超链接" xfId="407" builtinId="9" hidden="1"/>
    <cellStyle name="已访问的超链接" xfId="409" builtinId="9" hidden="1"/>
    <cellStyle name="已访问的超链接" xfId="411" builtinId="9" hidden="1"/>
    <cellStyle name="已访问的超链接" xfId="413" builtinId="9" hidden="1"/>
    <cellStyle name="已访问的超链接" xfId="415" builtinId="9" hidden="1"/>
    <cellStyle name="已访问的超链接" xfId="417" builtinId="9" hidden="1"/>
    <cellStyle name="已访问的超链接" xfId="419" builtinId="9" hidden="1"/>
    <cellStyle name="已访问的超链接" xfId="421" builtinId="9" hidden="1"/>
    <cellStyle name="已访问的超链接" xfId="423" builtinId="9" hidden="1"/>
    <cellStyle name="已访问的超链接" xfId="425" builtinId="9" hidden="1"/>
    <cellStyle name="已访问的超链接" xfId="427" builtinId="9" hidden="1"/>
    <cellStyle name="已访问的超链接" xfId="429" builtinId="9" hidden="1"/>
    <cellStyle name="已访问的超链接" xfId="431" builtinId="9" hidden="1"/>
    <cellStyle name="已访问的超链接" xfId="433" builtinId="9" hidden="1"/>
    <cellStyle name="已访问的超链接" xfId="435" builtinId="9" hidden="1"/>
    <cellStyle name="已访问的超链接" xfId="437" builtinId="9" hidden="1"/>
    <cellStyle name="已访问的超链接" xfId="439" builtinId="9" hidden="1"/>
    <cellStyle name="已访问的超链接" xfId="441" builtinId="9" hidden="1"/>
    <cellStyle name="已访问的超链接" xfId="443" builtinId="9" hidden="1"/>
    <cellStyle name="已访问的超链接" xfId="445" builtinId="9" hidden="1"/>
    <cellStyle name="已访问的超链接" xfId="447" builtinId="9" hidden="1"/>
    <cellStyle name="已访问的超链接" xfId="449" builtinId="9" hidden="1"/>
    <cellStyle name="已访问的超链接" xfId="451" builtinId="9" hidden="1"/>
    <cellStyle name="已访问的超链接" xfId="453" builtinId="9" hidden="1"/>
    <cellStyle name="已访问的超链接" xfId="455" builtinId="9" hidden="1"/>
    <cellStyle name="已访问的超链接" xfId="457" builtinId="9" hidden="1"/>
    <cellStyle name="已访问的超链接" xfId="459" builtinId="9" hidden="1"/>
    <cellStyle name="已访问的超链接" xfId="461" builtinId="9" hidden="1"/>
    <cellStyle name="已访问的超链接" xfId="463" builtinId="9" hidden="1"/>
    <cellStyle name="已访问的超链接" xfId="465" builtinId="9" hidden="1"/>
    <cellStyle name="已访问的超链接" xfId="467" builtinId="9" hidden="1"/>
    <cellStyle name="已访问的超链接" xfId="469" builtinId="9" hidden="1"/>
    <cellStyle name="已访问的超链接" xfId="471" builtinId="9" hidden="1"/>
    <cellStyle name="已访问的超链接" xfId="473" builtinId="9" hidden="1"/>
    <cellStyle name="已访问的超链接" xfId="475" builtinId="9" hidden="1"/>
    <cellStyle name="已访问的超链接" xfId="477" builtinId="9" hidden="1"/>
    <cellStyle name="已访问的超链接" xfId="479" builtinId="9" hidden="1"/>
    <cellStyle name="已访问的超链接" xfId="481" builtinId="9" hidden="1"/>
    <cellStyle name="已访问的超链接" xfId="483" builtinId="9" hidden="1"/>
    <cellStyle name="已访问的超链接" xfId="485" builtinId="9" hidden="1"/>
    <cellStyle name="已访问的超链接" xfId="487" builtinId="9" hidden="1"/>
    <cellStyle name="已访问的超链接" xfId="489" builtinId="9" hidden="1"/>
    <cellStyle name="已访问的超链接" xfId="491" builtinId="9" hidden="1"/>
    <cellStyle name="已访问的超链接" xfId="493" builtinId="9" hidden="1"/>
    <cellStyle name="已访问的超链接" xfId="495" builtinId="9" hidden="1"/>
    <cellStyle name="已访问的超链接" xfId="497" builtinId="9" hidden="1"/>
    <cellStyle name="已访问的超链接" xfId="499" builtinId="9" hidden="1"/>
  </cellStyles>
  <dxfs count="0"/>
  <tableStyles count="0" defaultTableStyle="TableStyleMedium2" defaultPivotStyle="PivotStyleLight16"/>
  <colors>
    <mruColors>
      <color rgb="FFFF6600"/>
      <color rgb="FFFF9933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46E9C-3B94-4D0A-A08C-6223D188A932}">
  <sheetPr codeName="Sheet1"/>
  <dimension ref="A1:W47"/>
  <sheetViews>
    <sheetView tabSelected="1" workbookViewId="0">
      <pane ySplit="1" topLeftCell="A2" activePane="bottomLeft" state="frozen"/>
      <selection pane="bottomLeft" activeCell="F32" sqref="F32"/>
    </sheetView>
  </sheetViews>
  <sheetFormatPr defaultColWidth="9.625" defaultRowHeight="14.25"/>
  <cols>
    <col min="1" max="1" width="11.125" bestFit="1" customWidth="1"/>
  </cols>
  <sheetData>
    <row r="1" spans="1:23">
      <c r="A1" s="21" t="s">
        <v>4</v>
      </c>
      <c r="B1" s="12" t="s">
        <v>13</v>
      </c>
      <c r="C1" s="12" t="s">
        <v>9</v>
      </c>
      <c r="D1" s="13" t="s">
        <v>5</v>
      </c>
      <c r="E1" s="13" t="s">
        <v>14</v>
      </c>
      <c r="F1" s="13" t="s">
        <v>12</v>
      </c>
      <c r="G1" s="14" t="s">
        <v>6</v>
      </c>
      <c r="H1" s="15" t="s">
        <v>7</v>
      </c>
      <c r="I1" s="15" t="s">
        <v>8</v>
      </c>
      <c r="J1" s="15" t="s">
        <v>10</v>
      </c>
      <c r="K1" s="15" t="s">
        <v>11</v>
      </c>
      <c r="L1" s="15" t="s">
        <v>18</v>
      </c>
      <c r="M1" s="15" t="s">
        <v>15</v>
      </c>
      <c r="N1" s="15" t="s">
        <v>16</v>
      </c>
      <c r="O1" s="16" t="s">
        <v>17</v>
      </c>
      <c r="P1" s="16" t="s">
        <v>22</v>
      </c>
      <c r="Q1" s="16" t="s">
        <v>19</v>
      </c>
      <c r="R1" s="17" t="s">
        <v>0</v>
      </c>
      <c r="S1" s="17" t="s">
        <v>20</v>
      </c>
      <c r="T1" s="18" t="s">
        <v>1</v>
      </c>
      <c r="U1" s="19" t="s">
        <v>2</v>
      </c>
      <c r="V1" s="19" t="s">
        <v>3</v>
      </c>
      <c r="W1" s="21" t="s">
        <v>23</v>
      </c>
    </row>
    <row r="2" spans="1:23">
      <c r="A2" s="11">
        <v>43245</v>
      </c>
      <c r="B2" s="3"/>
      <c r="C2" s="3"/>
      <c r="D2" s="4">
        <v>400</v>
      </c>
      <c r="E2" s="4">
        <v>400</v>
      </c>
      <c r="F2" s="4"/>
      <c r="G2" s="5"/>
      <c r="H2" s="6"/>
      <c r="I2" s="6"/>
      <c r="J2" s="6">
        <v>400</v>
      </c>
      <c r="K2" s="6">
        <v>800</v>
      </c>
      <c r="L2" s="6"/>
      <c r="M2" s="6"/>
      <c r="N2" s="6"/>
      <c r="O2" s="7"/>
      <c r="P2" s="7"/>
      <c r="Q2" s="7"/>
      <c r="R2" s="8"/>
      <c r="S2" s="8"/>
      <c r="T2" s="9"/>
      <c r="U2" s="10"/>
      <c r="V2" s="10"/>
      <c r="W2" s="20"/>
    </row>
    <row r="3" spans="1:23">
      <c r="A3" s="11">
        <v>43250</v>
      </c>
      <c r="B3" s="3"/>
      <c r="C3" s="3"/>
      <c r="D3" s="4">
        <v>2000</v>
      </c>
      <c r="E3" s="4"/>
      <c r="F3" s="4"/>
      <c r="G3" s="5"/>
      <c r="H3" s="6"/>
      <c r="I3" s="6"/>
      <c r="J3" s="6"/>
      <c r="K3" s="6"/>
      <c r="L3" s="6"/>
      <c r="M3" s="6"/>
      <c r="N3" s="6"/>
      <c r="O3" s="7"/>
      <c r="P3" s="7"/>
      <c r="Q3" s="7"/>
      <c r="R3" s="8"/>
      <c r="S3" s="8"/>
      <c r="T3" s="9"/>
      <c r="U3" s="10"/>
      <c r="V3" s="10"/>
      <c r="W3" s="20"/>
    </row>
    <row r="4" spans="1:23">
      <c r="A4" s="11">
        <v>43270</v>
      </c>
      <c r="B4" s="3"/>
      <c r="C4" s="3"/>
      <c r="D4" s="4">
        <v>1200</v>
      </c>
      <c r="E4" s="4"/>
      <c r="F4" s="4"/>
      <c r="G4" s="5"/>
      <c r="H4" s="6"/>
      <c r="I4" s="6"/>
      <c r="J4" s="6"/>
      <c r="K4" s="6"/>
      <c r="L4" s="6"/>
      <c r="M4" s="6"/>
      <c r="N4" s="6">
        <v>400</v>
      </c>
      <c r="O4" s="7"/>
      <c r="P4" s="7"/>
      <c r="Q4" s="7"/>
      <c r="R4" s="8"/>
      <c r="S4" s="8"/>
      <c r="T4" s="9">
        <v>400</v>
      </c>
      <c r="U4" s="10"/>
      <c r="V4" s="10"/>
      <c r="W4" s="20"/>
    </row>
    <row r="5" spans="1:23">
      <c r="A5" s="11">
        <v>43286</v>
      </c>
      <c r="B5" s="3">
        <v>400</v>
      </c>
      <c r="C5" s="3">
        <v>400</v>
      </c>
      <c r="D5" s="4"/>
      <c r="E5" s="4"/>
      <c r="F5" s="4"/>
      <c r="G5" s="5">
        <v>800</v>
      </c>
      <c r="H5" s="6"/>
      <c r="I5" s="6"/>
      <c r="J5" s="6"/>
      <c r="K5" s="6"/>
      <c r="L5" s="6"/>
      <c r="M5" s="6">
        <v>400</v>
      </c>
      <c r="N5" s="6"/>
      <c r="O5" s="7"/>
      <c r="P5" s="7"/>
      <c r="Q5" s="7"/>
      <c r="R5" s="8"/>
      <c r="S5" s="8"/>
      <c r="T5" s="9"/>
      <c r="U5" s="10"/>
      <c r="V5" s="10"/>
      <c r="W5" s="20"/>
    </row>
    <row r="6" spans="1:23">
      <c r="A6" s="11">
        <v>43318</v>
      </c>
      <c r="B6" s="3"/>
      <c r="C6" s="3">
        <v>400</v>
      </c>
      <c r="D6" s="4">
        <v>800</v>
      </c>
      <c r="E6" s="4"/>
      <c r="F6" s="4"/>
      <c r="G6" s="5">
        <v>800</v>
      </c>
      <c r="H6" s="6"/>
      <c r="I6" s="6">
        <v>400</v>
      </c>
      <c r="J6" s="6"/>
      <c r="K6" s="6"/>
      <c r="L6" s="6"/>
      <c r="M6" s="6"/>
      <c r="N6" s="6"/>
      <c r="O6" s="7"/>
      <c r="P6" s="7"/>
      <c r="Q6" s="7"/>
      <c r="R6" s="8"/>
      <c r="S6" s="8"/>
      <c r="T6" s="9"/>
      <c r="U6" s="10"/>
      <c r="V6" s="10"/>
      <c r="W6" s="20"/>
    </row>
    <row r="7" spans="1:23">
      <c r="A7" s="11">
        <v>43329</v>
      </c>
      <c r="B7" s="3"/>
      <c r="C7" s="3"/>
      <c r="D7" s="4"/>
      <c r="E7" s="4"/>
      <c r="F7" s="4"/>
      <c r="G7" s="5"/>
      <c r="H7" s="6"/>
      <c r="I7" s="6">
        <v>800</v>
      </c>
      <c r="J7" s="6"/>
      <c r="K7" s="6"/>
      <c r="L7" s="6"/>
      <c r="M7" s="6"/>
      <c r="N7" s="6"/>
      <c r="O7" s="7"/>
      <c r="P7" s="7"/>
      <c r="Q7" s="7"/>
      <c r="R7" s="8"/>
      <c r="S7" s="8"/>
      <c r="T7" s="9"/>
      <c r="U7" s="10"/>
      <c r="V7" s="10"/>
      <c r="W7" s="20"/>
    </row>
    <row r="8" spans="1:23">
      <c r="A8" s="11">
        <v>43332</v>
      </c>
      <c r="B8" s="3"/>
      <c r="C8" s="3"/>
      <c r="D8" s="4"/>
      <c r="E8" s="4"/>
      <c r="F8" s="4"/>
      <c r="G8" s="5"/>
      <c r="H8" s="6">
        <v>800</v>
      </c>
      <c r="I8" s="6"/>
      <c r="J8" s="6"/>
      <c r="K8" s="6"/>
      <c r="L8" s="6"/>
      <c r="M8" s="6"/>
      <c r="N8" s="6"/>
      <c r="O8" s="7"/>
      <c r="P8" s="7"/>
      <c r="Q8" s="7"/>
      <c r="R8" s="8"/>
      <c r="S8" s="8"/>
      <c r="T8" s="9"/>
      <c r="U8" s="10"/>
      <c r="V8" s="10"/>
      <c r="W8" s="20"/>
    </row>
    <row r="9" spans="1:23">
      <c r="A9" s="11">
        <v>43346</v>
      </c>
      <c r="B9" s="3"/>
      <c r="C9" s="3">
        <v>400</v>
      </c>
      <c r="D9" s="4">
        <v>400</v>
      </c>
      <c r="E9" s="4"/>
      <c r="F9" s="4"/>
      <c r="G9" s="5"/>
      <c r="H9" s="6"/>
      <c r="I9" s="6"/>
      <c r="J9" s="6"/>
      <c r="K9" s="6"/>
      <c r="L9" s="6"/>
      <c r="M9" s="6"/>
      <c r="N9" s="6"/>
      <c r="O9" s="7"/>
      <c r="P9" s="7"/>
      <c r="Q9" s="7"/>
      <c r="R9" s="8"/>
      <c r="S9" s="8"/>
      <c r="T9" s="9"/>
      <c r="U9" s="10"/>
      <c r="V9" s="10"/>
      <c r="W9" s="20"/>
    </row>
    <row r="10" spans="1:23">
      <c r="A10" s="11">
        <v>43353</v>
      </c>
      <c r="B10" s="3"/>
      <c r="C10" s="3"/>
      <c r="D10" s="4">
        <v>800</v>
      </c>
      <c r="E10" s="4"/>
      <c r="F10" s="4"/>
      <c r="G10" s="5"/>
      <c r="H10" s="6"/>
      <c r="I10" s="6"/>
      <c r="J10" s="6">
        <v>400</v>
      </c>
      <c r="K10" s="6"/>
      <c r="L10" s="6"/>
      <c r="M10" s="6"/>
      <c r="N10" s="6"/>
      <c r="O10" s="7"/>
      <c r="P10" s="7"/>
      <c r="Q10" s="7"/>
      <c r="R10" s="8"/>
      <c r="S10" s="8"/>
      <c r="T10" s="9"/>
      <c r="U10" s="10"/>
      <c r="V10" s="10"/>
      <c r="W10" s="20"/>
    </row>
    <row r="11" spans="1:23">
      <c r="A11" s="11">
        <v>43371</v>
      </c>
      <c r="B11" s="3"/>
      <c r="C11" s="3">
        <v>400</v>
      </c>
      <c r="D11" s="4"/>
      <c r="E11" s="4"/>
      <c r="F11" s="4">
        <v>400</v>
      </c>
      <c r="G11" s="5">
        <v>400</v>
      </c>
      <c r="H11" s="6">
        <v>400</v>
      </c>
      <c r="I11" s="6"/>
      <c r="J11" s="6"/>
      <c r="K11" s="6"/>
      <c r="L11" s="6"/>
      <c r="M11" s="6">
        <v>400</v>
      </c>
      <c r="N11" s="6"/>
      <c r="O11" s="7"/>
      <c r="P11" s="7"/>
      <c r="Q11" s="7"/>
      <c r="R11" s="8"/>
      <c r="S11" s="8"/>
      <c r="T11" s="9">
        <v>400</v>
      </c>
      <c r="U11" s="10"/>
      <c r="V11" s="10"/>
      <c r="W11" s="20"/>
    </row>
    <row r="12" spans="1:23">
      <c r="A12" s="11">
        <v>43384</v>
      </c>
      <c r="B12" s="3"/>
      <c r="C12" s="3"/>
      <c r="D12" s="4">
        <v>800</v>
      </c>
      <c r="E12" s="4"/>
      <c r="F12" s="4"/>
      <c r="G12" s="5">
        <v>800</v>
      </c>
      <c r="H12" s="6">
        <v>400</v>
      </c>
      <c r="I12" s="6">
        <v>400</v>
      </c>
      <c r="J12" s="6"/>
      <c r="K12" s="6"/>
      <c r="L12" s="6"/>
      <c r="M12" s="6"/>
      <c r="N12" s="6"/>
      <c r="O12" s="7"/>
      <c r="P12" s="7"/>
      <c r="Q12" s="7"/>
      <c r="R12" s="8"/>
      <c r="S12" s="8"/>
      <c r="T12" s="9"/>
      <c r="U12" s="10"/>
      <c r="V12" s="10"/>
      <c r="W12" s="20"/>
    </row>
    <row r="13" spans="1:23">
      <c r="A13" s="11">
        <v>43403</v>
      </c>
      <c r="B13" s="3"/>
      <c r="C13" s="3">
        <v>800</v>
      </c>
      <c r="D13" s="4">
        <v>800</v>
      </c>
      <c r="E13" s="4"/>
      <c r="F13" s="4">
        <v>400</v>
      </c>
      <c r="G13" s="5">
        <v>800</v>
      </c>
      <c r="H13" s="6">
        <v>400</v>
      </c>
      <c r="I13" s="6"/>
      <c r="J13" s="6"/>
      <c r="K13" s="6"/>
      <c r="L13" s="6">
        <v>400</v>
      </c>
      <c r="M13" s="6"/>
      <c r="N13" s="6"/>
      <c r="O13" s="7"/>
      <c r="P13" s="7"/>
      <c r="Q13" s="7"/>
      <c r="R13" s="8"/>
      <c r="S13" s="8"/>
      <c r="T13" s="9">
        <v>400</v>
      </c>
      <c r="U13" s="10"/>
      <c r="V13" s="10"/>
      <c r="W13" s="20"/>
    </row>
    <row r="14" spans="1:23">
      <c r="A14" s="11">
        <v>43419</v>
      </c>
      <c r="B14" s="3"/>
      <c r="C14" s="3"/>
      <c r="D14" s="4"/>
      <c r="E14" s="4"/>
      <c r="F14" s="4"/>
      <c r="G14" s="5">
        <v>400</v>
      </c>
      <c r="H14" s="6"/>
      <c r="I14" s="6"/>
      <c r="J14" s="6"/>
      <c r="K14" s="6"/>
      <c r="L14" s="6"/>
      <c r="M14" s="6"/>
      <c r="N14" s="6"/>
      <c r="O14" s="7"/>
      <c r="P14" s="7">
        <v>800</v>
      </c>
      <c r="Q14" s="7"/>
      <c r="R14" s="8"/>
      <c r="S14" s="8"/>
      <c r="T14" s="9"/>
      <c r="U14" s="10"/>
      <c r="V14" s="10"/>
      <c r="W14" s="20"/>
    </row>
    <row r="15" spans="1:23">
      <c r="A15" s="11">
        <v>43434</v>
      </c>
      <c r="B15" s="3"/>
      <c r="C15" s="3"/>
      <c r="D15" s="4">
        <v>2000</v>
      </c>
      <c r="E15" s="4"/>
      <c r="F15" s="4"/>
      <c r="G15" s="5">
        <v>800</v>
      </c>
      <c r="H15" s="6">
        <v>800</v>
      </c>
      <c r="I15" s="6">
        <v>800</v>
      </c>
      <c r="J15" s="6"/>
      <c r="K15" s="6"/>
      <c r="L15" s="6"/>
      <c r="M15" s="6"/>
      <c r="N15" s="6"/>
      <c r="O15" s="7">
        <v>400</v>
      </c>
      <c r="P15" s="7"/>
      <c r="Q15" s="7">
        <v>400</v>
      </c>
      <c r="R15" s="8">
        <v>400</v>
      </c>
      <c r="S15" s="8"/>
      <c r="T15" s="9">
        <v>400</v>
      </c>
      <c r="U15" s="10"/>
      <c r="V15" s="10"/>
      <c r="W15" s="20"/>
    </row>
    <row r="16" spans="1:23">
      <c r="A16" s="11">
        <v>43448</v>
      </c>
      <c r="B16" s="3"/>
      <c r="C16" s="3">
        <v>400</v>
      </c>
      <c r="D16" s="4"/>
      <c r="E16" s="4"/>
      <c r="F16" s="4"/>
      <c r="G16" s="5">
        <v>1200</v>
      </c>
      <c r="H16" s="6">
        <v>2000</v>
      </c>
      <c r="I16" s="6">
        <v>2400</v>
      </c>
      <c r="J16" s="6"/>
      <c r="K16" s="6"/>
      <c r="L16" s="6"/>
      <c r="M16" s="6"/>
      <c r="N16" s="6"/>
      <c r="O16" s="7"/>
      <c r="P16" s="7"/>
      <c r="Q16" s="7"/>
      <c r="R16" s="8"/>
      <c r="S16" s="8"/>
      <c r="T16" s="9"/>
      <c r="U16" s="10"/>
      <c r="V16" s="10"/>
      <c r="W16" s="20"/>
    </row>
    <row r="17" spans="1:23">
      <c r="A17" s="11">
        <v>43461</v>
      </c>
      <c r="B17" s="3"/>
      <c r="C17" s="3"/>
      <c r="D17" s="4">
        <v>1000</v>
      </c>
      <c r="E17" s="4"/>
      <c r="F17" s="4"/>
      <c r="G17" s="5">
        <v>400</v>
      </c>
      <c r="H17" s="6">
        <v>400</v>
      </c>
      <c r="I17" s="6"/>
      <c r="J17" s="6">
        <v>400</v>
      </c>
      <c r="K17" s="6">
        <v>400</v>
      </c>
      <c r="L17" s="6"/>
      <c r="M17" s="6"/>
      <c r="N17" s="6"/>
      <c r="O17" s="7"/>
      <c r="P17" s="7"/>
      <c r="Q17" s="7"/>
      <c r="R17" s="8">
        <v>400</v>
      </c>
      <c r="S17" s="8"/>
      <c r="T17" s="9"/>
      <c r="U17" s="10"/>
      <c r="V17" s="10"/>
      <c r="W17" s="20"/>
    </row>
    <row r="18" spans="1:23">
      <c r="A18" s="11">
        <v>43480</v>
      </c>
      <c r="B18" s="3"/>
      <c r="C18" s="3"/>
      <c r="D18" s="4">
        <v>400</v>
      </c>
      <c r="E18" s="4"/>
      <c r="F18" s="4">
        <v>400</v>
      </c>
      <c r="G18" s="5">
        <v>400</v>
      </c>
      <c r="H18" s="6"/>
      <c r="I18" s="6"/>
      <c r="J18" s="6">
        <v>400</v>
      </c>
      <c r="K18" s="6">
        <v>1200</v>
      </c>
      <c r="L18" s="6"/>
      <c r="M18" s="6"/>
      <c r="N18" s="6"/>
      <c r="O18" s="7"/>
      <c r="P18" s="7"/>
      <c r="Q18" s="7"/>
      <c r="R18" s="8"/>
      <c r="S18" s="8"/>
      <c r="T18" s="9"/>
      <c r="U18" s="10">
        <v>400</v>
      </c>
      <c r="V18" s="10"/>
      <c r="W18" s="20"/>
    </row>
    <row r="19" spans="1:23">
      <c r="A19" s="11">
        <v>43496</v>
      </c>
      <c r="B19" s="3"/>
      <c r="C19" s="3">
        <v>800</v>
      </c>
      <c r="D19" s="4">
        <v>1600</v>
      </c>
      <c r="E19" s="4">
        <v>400</v>
      </c>
      <c r="F19" s="4">
        <v>800</v>
      </c>
      <c r="G19" s="5"/>
      <c r="H19" s="6"/>
      <c r="I19" s="6"/>
      <c r="J19" s="6">
        <v>800</v>
      </c>
      <c r="K19" s="6">
        <v>800</v>
      </c>
      <c r="L19" s="6"/>
      <c r="M19" s="6"/>
      <c r="N19" s="6"/>
      <c r="O19" s="7"/>
      <c r="P19" s="7"/>
      <c r="Q19" s="7">
        <v>800</v>
      </c>
      <c r="R19" s="8"/>
      <c r="S19" s="8"/>
      <c r="T19" s="9"/>
      <c r="U19" s="10"/>
      <c r="V19" s="10">
        <v>400</v>
      </c>
      <c r="W19" s="20"/>
    </row>
    <row r="20" spans="1:23">
      <c r="A20" s="11">
        <v>43524</v>
      </c>
      <c r="B20" s="3"/>
      <c r="C20" s="3"/>
      <c r="D20" s="4"/>
      <c r="E20" s="4"/>
      <c r="F20" s="4"/>
      <c r="G20" s="5"/>
      <c r="H20" s="6"/>
      <c r="I20" s="6"/>
      <c r="J20" s="6"/>
      <c r="K20" s="6"/>
      <c r="L20" s="6"/>
      <c r="M20" s="6"/>
      <c r="N20" s="6"/>
      <c r="O20" s="7"/>
      <c r="P20" s="7"/>
      <c r="Q20" s="7">
        <v>400</v>
      </c>
      <c r="R20" s="8"/>
      <c r="S20" s="8"/>
      <c r="T20" s="9"/>
      <c r="U20" s="10"/>
      <c r="V20" s="10"/>
      <c r="W20" s="20"/>
    </row>
    <row r="21" spans="1:23">
      <c r="A21" s="11">
        <v>43552</v>
      </c>
      <c r="B21" s="3"/>
      <c r="C21" s="3"/>
      <c r="D21" s="4"/>
      <c r="E21" s="4"/>
      <c r="F21" s="4"/>
      <c r="G21" s="5"/>
      <c r="H21" s="6"/>
      <c r="I21" s="6"/>
      <c r="J21" s="6"/>
      <c r="K21" s="6"/>
      <c r="L21" s="6"/>
      <c r="M21" s="6"/>
      <c r="N21" s="6"/>
      <c r="O21" s="7"/>
      <c r="P21" s="7"/>
      <c r="Q21" s="7">
        <v>400</v>
      </c>
      <c r="R21" s="8">
        <v>400</v>
      </c>
      <c r="S21" s="8">
        <v>400</v>
      </c>
      <c r="T21" s="9"/>
      <c r="U21" s="10"/>
      <c r="V21" s="10"/>
      <c r="W21" s="20"/>
    </row>
    <row r="22" spans="1:23">
      <c r="A22" s="11">
        <v>43581</v>
      </c>
      <c r="B22" s="3"/>
      <c r="C22" s="3"/>
      <c r="D22" s="4"/>
      <c r="E22" s="4"/>
      <c r="F22" s="4"/>
      <c r="G22" s="5"/>
      <c r="H22" s="6"/>
      <c r="I22" s="6"/>
      <c r="J22" s="6">
        <v>800</v>
      </c>
      <c r="K22" s="6"/>
      <c r="L22" s="6"/>
      <c r="M22" s="6"/>
      <c r="N22" s="6"/>
      <c r="O22" s="7"/>
      <c r="P22" s="7"/>
      <c r="Q22" s="7"/>
      <c r="R22" s="8"/>
      <c r="S22" s="8"/>
      <c r="T22" s="9"/>
      <c r="U22" s="10"/>
      <c r="V22" s="10"/>
      <c r="W22" s="20"/>
    </row>
    <row r="23" spans="1:23">
      <c r="A23" s="11">
        <v>43584</v>
      </c>
      <c r="B23" s="3"/>
      <c r="C23" s="3"/>
      <c r="D23" s="4"/>
      <c r="E23" s="4">
        <v>400</v>
      </c>
      <c r="F23" s="4"/>
      <c r="G23" s="5"/>
      <c r="H23" s="6"/>
      <c r="I23" s="6"/>
      <c r="J23" s="6"/>
      <c r="K23" s="6"/>
      <c r="L23" s="6"/>
      <c r="M23" s="6"/>
      <c r="N23" s="6"/>
      <c r="O23" s="7"/>
      <c r="P23" s="7"/>
      <c r="Q23" s="7"/>
      <c r="R23" s="8"/>
      <c r="S23" s="8"/>
      <c r="T23" s="9"/>
      <c r="U23" s="10"/>
      <c r="V23" s="10"/>
      <c r="W23" s="20"/>
    </row>
    <row r="24" spans="1:23">
      <c r="A24" s="11">
        <v>43600</v>
      </c>
      <c r="B24" s="3">
        <v>400</v>
      </c>
      <c r="C24" s="3">
        <v>400</v>
      </c>
      <c r="D24" s="4"/>
      <c r="E24" s="4"/>
      <c r="F24" s="4"/>
      <c r="G24" s="5"/>
      <c r="H24" s="6"/>
      <c r="I24" s="6"/>
      <c r="J24" s="6"/>
      <c r="K24" s="6"/>
      <c r="L24" s="6">
        <v>-400</v>
      </c>
      <c r="M24" s="6"/>
      <c r="N24" s="6"/>
      <c r="O24" s="7"/>
      <c r="P24" s="7"/>
      <c r="Q24" s="7"/>
      <c r="R24" s="8"/>
      <c r="S24" s="8"/>
      <c r="T24" s="9"/>
      <c r="U24" s="10"/>
      <c r="V24" s="10">
        <v>400</v>
      </c>
      <c r="W24" s="20"/>
    </row>
    <row r="25" spans="1:23">
      <c r="A25" s="11">
        <v>43601</v>
      </c>
      <c r="B25" s="3">
        <v>400</v>
      </c>
      <c r="C25" s="3"/>
      <c r="D25" s="4"/>
      <c r="E25" s="4"/>
      <c r="F25" s="4"/>
      <c r="G25" s="5">
        <v>1600</v>
      </c>
      <c r="H25" s="6"/>
      <c r="I25" s="6"/>
      <c r="J25" s="6"/>
      <c r="K25" s="6"/>
      <c r="L25" s="6"/>
      <c r="M25" s="6"/>
      <c r="N25" s="6"/>
      <c r="O25" s="7"/>
      <c r="P25" s="7"/>
      <c r="Q25" s="7"/>
      <c r="R25" s="8"/>
      <c r="S25" s="8"/>
      <c r="T25" s="9"/>
      <c r="U25" s="10"/>
      <c r="V25" s="10"/>
      <c r="W25" s="20"/>
    </row>
    <row r="26" spans="1:23">
      <c r="A26" s="11">
        <v>43615</v>
      </c>
      <c r="B26" s="3"/>
      <c r="C26" s="3"/>
      <c r="D26" s="4"/>
      <c r="E26" s="4"/>
      <c r="F26" s="4"/>
      <c r="G26" s="5"/>
      <c r="H26" s="6"/>
      <c r="I26" s="6"/>
      <c r="J26" s="6"/>
      <c r="K26" s="6"/>
      <c r="L26" s="6"/>
      <c r="M26" s="6"/>
      <c r="N26" s="6"/>
      <c r="O26" s="7"/>
      <c r="P26" s="7">
        <v>800</v>
      </c>
      <c r="Q26" s="7"/>
      <c r="R26" s="8"/>
      <c r="S26" s="8"/>
      <c r="T26" s="9"/>
      <c r="U26" s="10"/>
      <c r="V26" s="10">
        <v>800</v>
      </c>
      <c r="W26" s="20"/>
    </row>
    <row r="27" spans="1:23">
      <c r="A27" s="11">
        <v>43634</v>
      </c>
      <c r="B27" s="3"/>
      <c r="C27" s="3"/>
      <c r="D27" s="4">
        <v>800</v>
      </c>
      <c r="E27" s="4"/>
      <c r="F27" s="4"/>
      <c r="G27" s="5"/>
      <c r="H27" s="6"/>
      <c r="I27" s="6"/>
      <c r="J27" s="6"/>
      <c r="K27" s="6"/>
      <c r="L27" s="6"/>
      <c r="M27" s="6"/>
      <c r="N27" s="6"/>
      <c r="O27" s="7"/>
      <c r="P27" s="7"/>
      <c r="Q27" s="7"/>
      <c r="R27" s="8"/>
      <c r="S27" s="8"/>
      <c r="T27" s="9"/>
      <c r="U27" s="10"/>
      <c r="V27" s="10">
        <v>400</v>
      </c>
      <c r="W27" s="20"/>
    </row>
    <row r="28" spans="1:23">
      <c r="A28" s="11">
        <v>43647</v>
      </c>
      <c r="B28" s="3"/>
      <c r="C28" s="3"/>
      <c r="D28" s="4"/>
      <c r="E28" s="4"/>
      <c r="F28" s="4"/>
      <c r="G28" s="5"/>
      <c r="H28" s="6"/>
      <c r="I28" s="6"/>
      <c r="J28" s="6"/>
      <c r="K28" s="6"/>
      <c r="L28" s="6"/>
      <c r="M28" s="6"/>
      <c r="N28" s="6"/>
      <c r="O28" s="7"/>
      <c r="P28" s="7"/>
      <c r="Q28" s="7"/>
      <c r="R28" s="8"/>
      <c r="S28" s="8">
        <v>400</v>
      </c>
      <c r="T28" s="9"/>
      <c r="U28" s="10"/>
      <c r="V28" s="10"/>
      <c r="W28" s="20"/>
    </row>
    <row r="29" spans="1:23">
      <c r="A29" s="11">
        <v>43677</v>
      </c>
      <c r="B29" s="3"/>
      <c r="C29" s="3"/>
      <c r="D29" s="4"/>
      <c r="E29" s="4"/>
      <c r="F29" s="4"/>
      <c r="G29" s="5"/>
      <c r="H29" s="6"/>
      <c r="I29" s="6"/>
      <c r="J29" s="6"/>
      <c r="K29" s="6"/>
      <c r="L29" s="6"/>
      <c r="M29" s="6"/>
      <c r="N29" s="6"/>
      <c r="O29" s="7"/>
      <c r="P29" s="7"/>
      <c r="Q29" s="7"/>
      <c r="R29" s="8"/>
      <c r="S29" s="8">
        <v>400</v>
      </c>
      <c r="T29" s="9"/>
      <c r="U29" s="10"/>
      <c r="V29" s="10">
        <v>800</v>
      </c>
      <c r="W29" s="20"/>
    </row>
    <row r="30" spans="1:23">
      <c r="A30" s="11">
        <v>43770</v>
      </c>
      <c r="B30" s="3"/>
      <c r="C30" s="3"/>
      <c r="D30" s="4">
        <v>400</v>
      </c>
      <c r="E30" s="4"/>
      <c r="F30" s="4"/>
      <c r="G30" s="5">
        <v>400</v>
      </c>
      <c r="H30" s="6"/>
      <c r="I30" s="6"/>
      <c r="J30" s="6"/>
      <c r="K30" s="6"/>
      <c r="L30" s="6"/>
      <c r="M30" s="6"/>
      <c r="N30" s="6"/>
      <c r="O30" s="7"/>
      <c r="P30" s="7"/>
      <c r="Q30" s="7"/>
      <c r="R30" s="8">
        <v>400</v>
      </c>
      <c r="S30" s="8"/>
      <c r="T30" s="9"/>
      <c r="U30" s="10"/>
      <c r="V30" s="10">
        <v>800</v>
      </c>
      <c r="W30" s="20"/>
    </row>
    <row r="31" spans="1:23">
      <c r="A31" s="11">
        <v>43801</v>
      </c>
      <c r="B31" s="3"/>
      <c r="C31" s="3"/>
      <c r="D31" s="4">
        <v>400</v>
      </c>
      <c r="E31" s="4"/>
      <c r="F31" s="4">
        <v>-400</v>
      </c>
      <c r="G31" s="5"/>
      <c r="H31" s="6"/>
      <c r="I31" s="6"/>
      <c r="J31" s="6"/>
      <c r="K31" s="6"/>
      <c r="L31" s="6"/>
      <c r="M31" s="6"/>
      <c r="N31" s="6"/>
      <c r="O31" s="7"/>
      <c r="P31" s="7"/>
      <c r="Q31" s="7"/>
      <c r="R31" s="8"/>
      <c r="S31" s="8"/>
      <c r="T31" s="9"/>
      <c r="U31" s="10"/>
      <c r="V31" s="10">
        <v>400</v>
      </c>
      <c r="W31" s="20"/>
    </row>
    <row r="35" spans="1:23">
      <c r="A35" s="1" t="s">
        <v>21</v>
      </c>
      <c r="B35" s="3">
        <f>SUM(B2:B34)</f>
        <v>1200</v>
      </c>
      <c r="C35" s="3">
        <f t="shared" ref="C35:V35" si="0">SUM(C2:C34)</f>
        <v>4000</v>
      </c>
      <c r="D35" s="4">
        <f t="shared" si="0"/>
        <v>13800</v>
      </c>
      <c r="E35" s="4">
        <f t="shared" si="0"/>
        <v>1200</v>
      </c>
      <c r="F35" s="4">
        <f t="shared" si="0"/>
        <v>1600</v>
      </c>
      <c r="G35" s="5">
        <f t="shared" si="0"/>
        <v>8800</v>
      </c>
      <c r="H35" s="6">
        <f t="shared" si="0"/>
        <v>5200</v>
      </c>
      <c r="I35" s="6">
        <f t="shared" si="0"/>
        <v>4800</v>
      </c>
      <c r="J35" s="6">
        <f t="shared" si="0"/>
        <v>3200</v>
      </c>
      <c r="K35" s="6">
        <f t="shared" si="0"/>
        <v>3200</v>
      </c>
      <c r="L35" s="6">
        <f t="shared" si="0"/>
        <v>0</v>
      </c>
      <c r="M35" s="6">
        <f t="shared" si="0"/>
        <v>800</v>
      </c>
      <c r="N35" s="6">
        <f t="shared" si="0"/>
        <v>400</v>
      </c>
      <c r="O35" s="7">
        <f t="shared" si="0"/>
        <v>400</v>
      </c>
      <c r="P35" s="7">
        <f t="shared" si="0"/>
        <v>1600</v>
      </c>
      <c r="Q35" s="7">
        <f t="shared" si="0"/>
        <v>2000</v>
      </c>
      <c r="R35" s="8">
        <f t="shared" si="0"/>
        <v>1600</v>
      </c>
      <c r="S35" s="8">
        <f t="shared" si="0"/>
        <v>1200</v>
      </c>
      <c r="T35" s="9">
        <f t="shared" si="0"/>
        <v>1600</v>
      </c>
      <c r="U35" s="10">
        <f t="shared" si="0"/>
        <v>400</v>
      </c>
      <c r="V35" s="10">
        <f t="shared" si="0"/>
        <v>4000</v>
      </c>
      <c r="W35">
        <f>72000-SUM(B35:V35)</f>
        <v>11000</v>
      </c>
    </row>
    <row r="36" spans="1:23">
      <c r="B36" s="22">
        <f>B35/400*0.0055</f>
        <v>1.6500000000000001E-2</v>
      </c>
      <c r="C36" s="22">
        <f t="shared" ref="C36:V36" si="1">C35/400*0.0055</f>
        <v>5.4999999999999993E-2</v>
      </c>
      <c r="D36" s="23">
        <f t="shared" si="1"/>
        <v>0.18975</v>
      </c>
      <c r="E36" s="23">
        <f t="shared" si="1"/>
        <v>1.6500000000000001E-2</v>
      </c>
      <c r="F36" s="23">
        <f t="shared" si="1"/>
        <v>2.1999999999999999E-2</v>
      </c>
      <c r="G36" s="24">
        <f t="shared" si="1"/>
        <v>0.121</v>
      </c>
      <c r="H36" s="25">
        <f t="shared" si="1"/>
        <v>7.1499999999999994E-2</v>
      </c>
      <c r="I36" s="25">
        <f t="shared" si="1"/>
        <v>6.6000000000000003E-2</v>
      </c>
      <c r="J36" s="25">
        <f t="shared" si="1"/>
        <v>4.3999999999999997E-2</v>
      </c>
      <c r="K36" s="25">
        <f t="shared" si="1"/>
        <v>4.3999999999999997E-2</v>
      </c>
      <c r="L36" s="25">
        <f t="shared" si="1"/>
        <v>0</v>
      </c>
      <c r="M36" s="25">
        <f t="shared" si="1"/>
        <v>1.0999999999999999E-2</v>
      </c>
      <c r="N36" s="25">
        <f t="shared" si="1"/>
        <v>5.4999999999999997E-3</v>
      </c>
      <c r="O36" s="26">
        <f t="shared" si="1"/>
        <v>5.4999999999999997E-3</v>
      </c>
      <c r="P36" s="26">
        <f t="shared" si="1"/>
        <v>2.1999999999999999E-2</v>
      </c>
      <c r="Q36" s="26">
        <f t="shared" si="1"/>
        <v>2.7499999999999997E-2</v>
      </c>
      <c r="R36" s="27">
        <f t="shared" si="1"/>
        <v>2.1999999999999999E-2</v>
      </c>
      <c r="S36" s="27">
        <f t="shared" si="1"/>
        <v>1.6500000000000001E-2</v>
      </c>
      <c r="T36" s="28">
        <f t="shared" si="1"/>
        <v>2.1999999999999999E-2</v>
      </c>
      <c r="U36" s="29">
        <f t="shared" si="1"/>
        <v>5.4999999999999997E-3</v>
      </c>
      <c r="V36" s="29">
        <f t="shared" si="1"/>
        <v>5.4999999999999993E-2</v>
      </c>
      <c r="W36" s="2">
        <f>1-SUM(B36:V36)</f>
        <v>0.16125000000000012</v>
      </c>
    </row>
    <row r="47" spans="1:23">
      <c r="L47" t="s">
        <v>24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养老金计划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lishuyun</dc:creator>
  <cp:lastModifiedBy>kangliquan</cp:lastModifiedBy>
  <dcterms:created xsi:type="dcterms:W3CDTF">2018-05-19T08:29:27Z</dcterms:created>
  <dcterms:modified xsi:type="dcterms:W3CDTF">2019-12-03T04:40:53Z</dcterms:modified>
</cp:coreProperties>
</file>