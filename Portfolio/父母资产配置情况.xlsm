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8B8D28EF-60B6-4881-B84A-C3A7450CE633}" xr6:coauthVersionLast="43" xr6:coauthVersionMax="43" xr10:uidLastSave="{00000000-0000-0000-0000-000000000000}"/>
  <bookViews>
    <workbookView xWindow="-120" yWindow="-120" windowWidth="38640" windowHeight="21240" tabRatio="711" activeTab="4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21" i="12" l="1"/>
  <c r="K6" i="12" s="1"/>
  <c r="N22" i="12"/>
  <c r="K7" i="12" s="1"/>
  <c r="N23" i="12"/>
  <c r="K8" i="12" s="1"/>
  <c r="N24" i="12"/>
  <c r="K9" i="12" s="1"/>
  <c r="N25" i="12"/>
  <c r="K10" i="12" s="1"/>
  <c r="N26" i="12"/>
  <c r="K11" i="12" s="1"/>
  <c r="N27" i="12"/>
  <c r="K12" i="12" s="1"/>
  <c r="N28" i="12"/>
  <c r="K13" i="12" s="1"/>
  <c r="N29" i="12"/>
  <c r="K14" i="12" s="1"/>
  <c r="N20" i="12"/>
  <c r="K5" i="12" s="1"/>
  <c r="F34" i="11" l="1"/>
  <c r="F35" i="11"/>
  <c r="F36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G120" i="12"/>
  <c r="G107" i="12"/>
  <c r="G94" i="12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H25" i="11" l="1"/>
  <c r="F25" i="11" s="1"/>
  <c r="H26" i="11"/>
  <c r="F26" i="11" s="1"/>
  <c r="H22" i="11"/>
  <c r="F22" i="11" s="1"/>
  <c r="H21" i="11"/>
  <c r="F21" i="11" s="1"/>
  <c r="H28" i="11"/>
  <c r="F28" i="11" s="1"/>
  <c r="H27" i="11"/>
  <c r="F27" i="11" s="1"/>
  <c r="H24" i="11"/>
  <c r="F24" i="11" s="1"/>
  <c r="H23" i="11"/>
  <c r="F23" i="11" s="1"/>
  <c r="H19" i="11"/>
  <c r="F19" i="11" s="1"/>
  <c r="H20" i="11"/>
  <c r="F20" i="11" s="1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F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C37" i="11" s="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C25" i="11" s="1"/>
  <c r="E22" i="11"/>
  <c r="A37" i="11" l="1"/>
  <c r="B37" i="11"/>
  <c r="C23" i="11"/>
  <c r="C19" i="11"/>
  <c r="C21" i="1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<sst xmlns="http://schemas.openxmlformats.org/spreadsheetml/2006/main" count="362" uniqueCount="152">
  <si>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</si>
  <si>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</si>
  <si>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</si>
  <si>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</si>
  <si>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</si>
  <si>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</si>
  <si>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</si>
  <si>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</si>
  <si>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</si>
  <si>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</si>
  <si>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</si>
  <si>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</si>
  <si>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</si>
  <si>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</si>
  <si>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</si>
  <si>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</si>
  <si>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</si>
  <si>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</si>
  <si>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</si>
  <si>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</si>
  <si>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</si>
  <si>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</si>
  <si>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</si>
  <si>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</si>
  <si>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</si>
  <si>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</si>
  <si>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</si>
  <si>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</si>
  <si>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</si>
  <si>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</si>
  <si>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</si>
  <si>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</si>
  <si>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</si>
  <si>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</si>
  <si>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</si>
  <si>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</si>
  <si>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</si>
  <si>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</si>
  <si>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</si>
  <si>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</si>
  <si>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</si>
  <si>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</si>
  <si>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</si>
  <si>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</si>
  <si>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</si>
  <si>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</si>
  <si>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</si>
  <si>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</si>
  <si>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</si>
  <si>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</si>
  <si>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</si>
  <si>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</si>
  <si>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</si>
  <si>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</si>
  <si>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</si>
  <si>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</si>
  <si>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</si>
  <si>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</si>
  <si>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</si>
  <si>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</si>
  <si>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</si>
  <si>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</si>
  <si>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</si>
  <si>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</si>
  <si>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</si>
  <si>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</si>
  <si>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</si>
  <si>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</si>
  <si>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</si>
  <si>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</si>
  <si>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</si>
  <si>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</si>
  <si>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</si>
  <si>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</si>
  <si>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</si>
  <si>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</si>
  <si>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</si>
  <si>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</si>
  <si>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</si>
  <si>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</si>
  <si>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</si>
  <si>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</si>
  <si>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</si>
  <si>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</si>
  <si>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</si>
  <si>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</si>
  <si>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</si>
  <si>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</si>
  <si>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</si>
  <si>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</si>
  <si>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</si>
  <si>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</si>
  <si>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</si>
  <si>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</si>
  <si>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</si>
  <si>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</si>
  <si>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</si>
  <si>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</si>
  <si>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</si>
  <si>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</si>
  <si>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</si>
  <si>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</si>
  <si>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</si>
  <si>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</si>
  <si>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</si>
  <si>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</si>
  <si>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</si>
  <si>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</si>
  <si>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</si>
  <si>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</si>
  <si>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</si>
  <si>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</si>
  <si>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</si>
  <si>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</si>
  <si>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</si>
  <si>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</si>
  <si>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</si>
  <si>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</si>
  <si>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</si>
  <si>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</si>
  <si>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</si>
  <si>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</si>
  <si>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</si>
  <si>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</si>
  <si>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</si>
  <si>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</si>
  <si>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</si>
  <si>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</si>
  <si>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</si>
  <si>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</si>
  <si>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</si>
  <si>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</si>
  <si>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</si>
  <si>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</si>
  <si>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</si>
  <si>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</si>
  <si>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</si>
  <si>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大成景安短融债券E</t>
  </si>
  <si>
    <t>VLOOKUP生成</t>
    <phoneticPr fontId="2" type="noConversion"/>
  </si>
  <si>
    <t>d</t>
    <phoneticPr fontId="2" type="noConversion"/>
  </si>
  <si>
    <t>大成中证红利指数A</t>
  </si>
  <si>
    <t>景顺长城中证500低波动</t>
    <phoneticPr fontId="2" type="noConversion"/>
  </si>
  <si>
    <t>华宝香港中小</t>
    <phoneticPr fontId="2" type="noConversion"/>
  </si>
  <si>
    <t>大成中证红利指数A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</si>
  <si>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</si>
  <si>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</si>
  <si>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华宝红利基金</t>
    <phoneticPr fontId="2" type="noConversion"/>
  </si>
  <si>
    <t>天弘中证医药100A</t>
    <phoneticPr fontId="2" type="noConversion"/>
  </si>
  <si>
    <t>华夏上证50AH优选指数</t>
    <phoneticPr fontId="2" type="noConversion"/>
  </si>
  <si>
    <t>建信深证基本面60ETF联接A</t>
    <phoneticPr fontId="2" type="noConversion"/>
  </si>
  <si>
    <t>申万菱信沪深300价值指数</t>
    <phoneticPr fontId="2" type="noConversion"/>
  </si>
  <si>
    <t>大成景安短融债券E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</si>
</sst>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1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43" fontId="0" fillId="0" borderId="0" xfId="500" applyFo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11" borderId="0" xfId="0" applyNumberFormat="1" applyFill="1">
      <alignment vertical="center"/>
    </xf>
  </cellXfs>
  <cellStyles count="501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千位分隔" xfId="500" builtinId="3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7.8510444269359242E-2</c:v>
                </c:pt>
                <c:pt idx="1">
                  <c:v>6.0405985252692937E-3</c:v>
                </c:pt>
                <c:pt idx="2">
                  <c:v>0.92040190722658732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46"/>
  <sheetViews>
    <sheetView workbookViewId="0">
      <pane ySplit="1" topLeftCell="A2" activePane="bottomLeft" state="frozen"/>
      <selection pane="bottomLeft" activeCell="M48" sqref="M48"/>
    </sheetView>
  </sheetViews>
  <sheetFormatPr defaultColWidth="9.625" defaultRowHeight="14.25"/>
  <cols>
    <col min="1" max="1" width="11.125" bestFit="1" customWidth="1"/>
  </cols>
  <sheetData>
    <row r="1" spans="1:23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29" spans="1:23">
      <c r="A29" s="37">
        <v>43677</v>
      </c>
      <c r="B29" s="29"/>
      <c r="C29" s="29"/>
      <c r="D29" s="30"/>
      <c r="E29" s="30"/>
      <c r="F29" s="30"/>
      <c r="G29" s="31"/>
      <c r="H29" s="32"/>
      <c r="I29" s="32"/>
      <c r="J29" s="32"/>
      <c r="K29" s="32"/>
      <c r="L29" s="32"/>
      <c r="M29" s="32"/>
      <c r="N29" s="32"/>
      <c r="O29" s="33"/>
      <c r="P29" s="33"/>
      <c r="Q29" s="33"/>
      <c r="R29" s="34"/>
      <c r="S29" s="34">
        <v>400</v>
      </c>
      <c r="T29" s="35"/>
      <c r="U29" s="36"/>
      <c r="V29" s="36">
        <v>800</v>
      </c>
      <c r="W29" s="46"/>
    </row>
    <row r="34" spans="1:23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1200</v>
      </c>
      <c r="T34" s="35">
        <f t="shared" si="0"/>
        <v>1600</v>
      </c>
      <c r="U34" s="36">
        <f t="shared" si="0"/>
        <v>400</v>
      </c>
      <c r="V34" s="36">
        <f t="shared" si="0"/>
        <v>2800</v>
      </c>
      <c r="W34">
        <f>72000-SUM(B34:V34)</f>
        <v>13400</v>
      </c>
    </row>
    <row r="35" spans="1:23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1.6500000000000001E-2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3.85E-2</v>
      </c>
      <c r="W35" s="27">
        <f>1-SUM(B35:V35)</f>
        <v>0.19425000000000014</v>
      </c>
    </row>
    <row r="46" spans="1:23">
      <c r="L46" t="s">
        <v>139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46"/>
  <sheetViews>
    <sheetView zoomScaleNormal="100" workbookViewId="0">
      <selection activeCell="L5" sqref="L5:L14"/>
    </sheetView>
  </sheetViews>
  <sheetFormatPr defaultColWidth="8.875" defaultRowHeight="14.25"/>
  <cols>
    <col min="1" max="1" width="13" bestFit="1" customWidth="1"/>
    <col min="2" max="2" width="26.125" bestFit="1" customWidth="1"/>
    <col min="3" max="3" width="11" bestFit="1" customWidth="1"/>
    <col min="4" max="4" width="9" bestFit="1" customWidth="1"/>
    <col min="5" max="5" width="13" bestFit="1" customWidth="1"/>
    <col min="6" max="6" width="26.125" bestFit="1" customWidth="1"/>
    <col min="7" max="7" width="11" bestFit="1" customWidth="1"/>
    <col min="8" max="8" width="9" bestFit="1" customWidth="1"/>
    <col min="9" max="9" width="13" bestFit="1" customWidth="1"/>
    <col min="10" max="10" width="26.125" bestFit="1" customWidth="1"/>
    <col min="11" max="11" width="10" bestFit="1" customWidth="1"/>
    <col min="12" max="12" width="26.125" bestFit="1" customWidth="1"/>
    <col min="13" max="13" width="11.125" bestFit="1" customWidth="1"/>
    <col min="14" max="14" width="13" bestFit="1" customWidth="1"/>
    <col min="15" max="17" width="11.125" bestFit="1" customWidth="1"/>
    <col min="18" max="27" width="10" bestFit="1" customWidth="1"/>
  </cols>
  <sheetData>
    <row r="1" spans="1:28">
      <c r="B1" t="s">
        <v>83</v>
      </c>
    </row>
    <row r="2" spans="1:28">
      <c r="B2" t="s">
        <v>84</v>
      </c>
    </row>
    <row r="4" spans="1:28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>
      <c r="A5" s="58">
        <v>4185.62</v>
      </c>
      <c r="B5" t="s">
        <v>66</v>
      </c>
      <c r="E5" s="58">
        <v>3972.51</v>
      </c>
      <c r="F5" t="s">
        <v>66</v>
      </c>
      <c r="I5">
        <f>A5+E5</f>
        <v>8158.13</v>
      </c>
      <c r="J5" t="s">
        <v>65</v>
      </c>
      <c r="K5" s="59">
        <f>K20+N20</f>
        <v>1124.302864</v>
      </c>
      <c r="L5" s="67"/>
    </row>
    <row r="6" spans="1:28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 t="shared" ref="K6:K14" si="0">K21+N21</f>
        <v>1532.9629070000001</v>
      </c>
      <c r="L6" s="67"/>
    </row>
    <row r="7" spans="1:28">
      <c r="A7" s="58">
        <v>-33.11</v>
      </c>
      <c r="B7">
        <v>-35.53</v>
      </c>
      <c r="C7" s="56"/>
      <c r="E7" s="58">
        <v>-31.62</v>
      </c>
      <c r="F7">
        <v>-32.49</v>
      </c>
      <c r="G7" s="56"/>
      <c r="I7">
        <f>A7+E7</f>
        <v>-64.73</v>
      </c>
      <c r="J7" t="s">
        <v>67</v>
      </c>
      <c r="K7" s="59">
        <f t="shared" si="0"/>
        <v>1479.177187</v>
      </c>
      <c r="L7" s="67"/>
    </row>
    <row r="8" spans="1:28">
      <c r="J8" t="s">
        <v>68</v>
      </c>
      <c r="K8" s="59">
        <f t="shared" si="0"/>
        <v>1435.0057459999998</v>
      </c>
      <c r="L8" s="67"/>
    </row>
    <row r="9" spans="1:28">
      <c r="B9" t="s">
        <v>76</v>
      </c>
      <c r="F9" t="s">
        <v>76</v>
      </c>
      <c r="J9" t="s">
        <v>69</v>
      </c>
      <c r="K9" s="59">
        <f t="shared" si="0"/>
        <v>1115.208713</v>
      </c>
      <c r="L9" s="67"/>
    </row>
    <row r="10" spans="1:28">
      <c r="B10" s="28">
        <v>-5.9299999999999999E-2</v>
      </c>
      <c r="F10" s="28">
        <v>-5.4800000000000001E-2</v>
      </c>
      <c r="J10" t="s">
        <v>70</v>
      </c>
      <c r="K10" s="59">
        <f t="shared" si="0"/>
        <v>391.61155099999996</v>
      </c>
      <c r="L10" s="67"/>
    </row>
    <row r="11" spans="1:28">
      <c r="B11" s="28"/>
      <c r="J11" t="s">
        <v>71</v>
      </c>
      <c r="K11" s="59">
        <f t="shared" si="0"/>
        <v>296.34557100000001</v>
      </c>
      <c r="L11" s="67"/>
    </row>
    <row r="12" spans="1:28">
      <c r="B12" t="s">
        <v>77</v>
      </c>
      <c r="F12" t="s">
        <v>77</v>
      </c>
      <c r="J12" t="s">
        <v>72</v>
      </c>
      <c r="K12" s="59">
        <f t="shared" si="0"/>
        <v>250.812546</v>
      </c>
      <c r="L12" s="67"/>
    </row>
    <row r="13" spans="1:28">
      <c r="B13">
        <v>640.29</v>
      </c>
      <c r="F13">
        <v>637.28</v>
      </c>
      <c r="J13" t="s">
        <v>73</v>
      </c>
      <c r="K13" s="59">
        <f t="shared" si="0"/>
        <v>464.635807</v>
      </c>
      <c r="L13" s="67"/>
    </row>
    <row r="14" spans="1:28">
      <c r="J14" t="s">
        <v>74</v>
      </c>
      <c r="K14" s="59">
        <f t="shared" si="0"/>
        <v>68.06710799999999</v>
      </c>
      <c r="L14" s="67"/>
    </row>
    <row r="15" spans="1:28">
      <c r="B15" t="s">
        <v>78</v>
      </c>
      <c r="F15" t="s">
        <v>78</v>
      </c>
    </row>
    <row r="16" spans="1:28">
      <c r="B16" s="28">
        <v>0.1346</v>
      </c>
      <c r="C16" s="57">
        <f>$A$5*B16</f>
        <v>563.38445200000001</v>
      </c>
      <c r="F16" s="28">
        <v>0.14119999999999999</v>
      </c>
      <c r="G16" s="57">
        <f>$E$5*F16</f>
        <v>560.91841199999999</v>
      </c>
    </row>
    <row r="18" spans="2:14">
      <c r="B18" t="s">
        <v>65</v>
      </c>
      <c r="F18" t="s">
        <v>65</v>
      </c>
    </row>
    <row r="19" spans="2:14">
      <c r="B19" t="s">
        <v>75</v>
      </c>
      <c r="F19" t="s">
        <v>75</v>
      </c>
      <c r="N19" t="s">
        <v>138</v>
      </c>
    </row>
    <row r="20" spans="2:14">
      <c r="B20">
        <v>-38.57</v>
      </c>
      <c r="C20" s="56"/>
      <c r="F20">
        <v>-32.58</v>
      </c>
      <c r="G20" s="56"/>
      <c r="J20" t="s">
        <v>141</v>
      </c>
      <c r="K20" s="56">
        <v>563.38445200000001</v>
      </c>
      <c r="L20" t="s">
        <v>141</v>
      </c>
      <c r="M20" s="56">
        <v>560.91841199999999</v>
      </c>
      <c r="N20" s="66">
        <f>VLOOKUP(J$20:J$30,L$20:M$30,2,FALSE)</f>
        <v>560.91841199999999</v>
      </c>
    </row>
    <row r="21" spans="2:14">
      <c r="J21" t="s">
        <v>142</v>
      </c>
      <c r="K21" s="56">
        <v>795.26779999999997</v>
      </c>
      <c r="L21" t="s">
        <v>142</v>
      </c>
      <c r="M21" s="56">
        <v>737.69510700000001</v>
      </c>
      <c r="N21" s="66">
        <f t="shared" ref="N21:N29" si="1">VLOOKUP(J$20:J$30,L$20:M$30,2,FALSE)</f>
        <v>737.69510700000001</v>
      </c>
    </row>
    <row r="22" spans="2:14">
      <c r="B22" t="s">
        <v>76</v>
      </c>
      <c r="F22" t="s">
        <v>76</v>
      </c>
      <c r="J22" t="s">
        <v>143</v>
      </c>
      <c r="K22" s="56">
        <v>784.38518799999997</v>
      </c>
      <c r="L22" t="s">
        <v>144</v>
      </c>
      <c r="M22" s="56">
        <v>730.14733799999999</v>
      </c>
      <c r="N22" s="66">
        <f t="shared" si="1"/>
        <v>694.79199900000003</v>
      </c>
    </row>
    <row r="23" spans="2:14">
      <c r="B23" s="28">
        <v>-4.6199999999999998E-2</v>
      </c>
      <c r="F23" s="28">
        <v>-4.2299999999999997E-2</v>
      </c>
      <c r="J23" t="s">
        <v>144</v>
      </c>
      <c r="K23" s="56">
        <v>704.85840799999994</v>
      </c>
      <c r="L23" t="s">
        <v>143</v>
      </c>
      <c r="M23" s="56">
        <v>694.79199900000003</v>
      </c>
      <c r="N23" s="66">
        <f t="shared" si="1"/>
        <v>730.14733799999999</v>
      </c>
    </row>
    <row r="24" spans="2:14">
      <c r="J24" t="s">
        <v>145</v>
      </c>
      <c r="K24" s="56">
        <v>564.22157600000003</v>
      </c>
      <c r="L24" t="s">
        <v>145</v>
      </c>
      <c r="M24" s="56">
        <v>550.98713699999996</v>
      </c>
      <c r="N24" s="66">
        <f t="shared" si="1"/>
        <v>550.98713699999996</v>
      </c>
    </row>
    <row r="25" spans="2:14">
      <c r="B25" t="s">
        <v>77</v>
      </c>
      <c r="F25" t="s">
        <v>77</v>
      </c>
      <c r="J25" t="s">
        <v>146</v>
      </c>
      <c r="K25" s="56">
        <v>201.32832199999999</v>
      </c>
      <c r="L25" t="s">
        <v>146</v>
      </c>
      <c r="M25" s="56">
        <v>190.28322900000001</v>
      </c>
      <c r="N25" s="66">
        <f t="shared" si="1"/>
        <v>190.28322900000001</v>
      </c>
    </row>
    <row r="26" spans="2:14">
      <c r="B26">
        <v>619.16</v>
      </c>
      <c r="F26">
        <v>574.16999999999996</v>
      </c>
      <c r="J26" t="s">
        <v>147</v>
      </c>
      <c r="K26" s="56">
        <v>148.17094800000001</v>
      </c>
      <c r="L26" t="s">
        <v>147</v>
      </c>
      <c r="M26" s="56">
        <v>148.174623</v>
      </c>
      <c r="N26" s="66">
        <f t="shared" si="1"/>
        <v>148.174623</v>
      </c>
    </row>
    <row r="27" spans="2:14">
      <c r="J27" t="s">
        <v>148</v>
      </c>
      <c r="K27" s="56">
        <v>174.54035400000001</v>
      </c>
      <c r="L27" t="s">
        <v>149</v>
      </c>
      <c r="M27" s="56">
        <v>249.07637700000004</v>
      </c>
      <c r="N27" s="66">
        <f t="shared" si="1"/>
        <v>76.272192000000004</v>
      </c>
    </row>
    <row r="28" spans="2:14">
      <c r="B28" t="s">
        <v>78</v>
      </c>
      <c r="F28" t="s">
        <v>78</v>
      </c>
      <c r="J28" t="s">
        <v>149</v>
      </c>
      <c r="K28" s="56">
        <v>215.55942999999999</v>
      </c>
      <c r="L28" t="s">
        <v>148</v>
      </c>
      <c r="M28" s="56">
        <v>76.272192000000004</v>
      </c>
      <c r="N28" s="66">
        <f t="shared" si="1"/>
        <v>249.07637700000004</v>
      </c>
    </row>
    <row r="29" spans="2:14">
      <c r="B29" s="28">
        <v>0.19</v>
      </c>
      <c r="C29" s="57">
        <f>$A$5*B29</f>
        <v>795.26779999999997</v>
      </c>
      <c r="F29" s="28">
        <v>0.1857</v>
      </c>
      <c r="G29" s="57">
        <f>$E$5*F29</f>
        <v>737.69510700000001</v>
      </c>
      <c r="J29" t="s">
        <v>150</v>
      </c>
      <c r="K29" s="56">
        <v>33.903521999999995</v>
      </c>
      <c r="L29" t="s">
        <v>150</v>
      </c>
      <c r="M29" s="56">
        <v>34.163586000000002</v>
      </c>
      <c r="N29" s="66">
        <f t="shared" si="1"/>
        <v>34.163586000000002</v>
      </c>
    </row>
    <row r="30" spans="2:14">
      <c r="J30" t="s">
        <v>151</v>
      </c>
      <c r="K30" s="56"/>
      <c r="L30" t="s">
        <v>151</v>
      </c>
      <c r="M30" s="56"/>
    </row>
    <row r="31" spans="2:14">
      <c r="B31" t="s">
        <v>140</v>
      </c>
      <c r="F31" t="s">
        <v>68</v>
      </c>
    </row>
    <row r="32" spans="2:14">
      <c r="B32" t="s">
        <v>75</v>
      </c>
      <c r="F32" t="s">
        <v>75</v>
      </c>
    </row>
    <row r="33" spans="2:7">
      <c r="B33">
        <v>-57.48</v>
      </c>
      <c r="C33" s="56"/>
      <c r="F33">
        <v>-8.89</v>
      </c>
      <c r="G33" s="56"/>
    </row>
    <row r="35" spans="2:7">
      <c r="B35" t="s">
        <v>76</v>
      </c>
      <c r="F35" t="s">
        <v>76</v>
      </c>
    </row>
    <row r="36" spans="2:7">
      <c r="B36" s="28">
        <v>-6.83E-2</v>
      </c>
      <c r="F36" s="28">
        <v>-1.2E-2</v>
      </c>
    </row>
    <row r="38" spans="2:7">
      <c r="B38" t="s">
        <v>77</v>
      </c>
      <c r="F38" t="s">
        <v>77</v>
      </c>
    </row>
    <row r="39" spans="2:7">
      <c r="B39">
        <v>501.1</v>
      </c>
      <c r="F39">
        <v>451.78</v>
      </c>
    </row>
    <row r="41" spans="2:7">
      <c r="B41" t="s">
        <v>78</v>
      </c>
      <c r="F41" t="s">
        <v>78</v>
      </c>
    </row>
    <row r="42" spans="2:7">
      <c r="B42" s="28">
        <v>0.18740000000000001</v>
      </c>
      <c r="C42" s="57">
        <f>$A$5*B42</f>
        <v>784.38518799999997</v>
      </c>
      <c r="F42" s="28">
        <v>0.18379999999999999</v>
      </c>
      <c r="G42" s="57">
        <f>$E$5*F42</f>
        <v>730.14733799999999</v>
      </c>
    </row>
    <row r="44" spans="2:7">
      <c r="B44" t="s">
        <v>68</v>
      </c>
      <c r="F44" t="s">
        <v>140</v>
      </c>
    </row>
    <row r="45" spans="2:7">
      <c r="B45" t="s">
        <v>75</v>
      </c>
      <c r="F45" t="s">
        <v>75</v>
      </c>
    </row>
    <row r="46" spans="2:7">
      <c r="B46">
        <v>-6.19</v>
      </c>
      <c r="C46" s="56"/>
      <c r="F46">
        <v>-46.91</v>
      </c>
      <c r="G46" s="56"/>
    </row>
    <row r="48" spans="2:7">
      <c r="B48" t="s">
        <v>76</v>
      </c>
      <c r="F48" t="s">
        <v>76</v>
      </c>
    </row>
    <row r="49" spans="2:7">
      <c r="B49" s="28">
        <v>-8.6999999999999994E-3</v>
      </c>
      <c r="F49" s="28">
        <v>-6.3200000000000006E-2</v>
      </c>
    </row>
    <row r="51" spans="2:7">
      <c r="B51" t="s">
        <v>77</v>
      </c>
      <c r="F51" t="s">
        <v>77</v>
      </c>
    </row>
    <row r="52" spans="2:7">
      <c r="B52">
        <v>436.22</v>
      </c>
      <c r="F52">
        <v>444.05</v>
      </c>
    </row>
    <row r="54" spans="2:7">
      <c r="B54" t="s">
        <v>78</v>
      </c>
      <c r="F54" t="s">
        <v>78</v>
      </c>
    </row>
    <row r="55" spans="2:7">
      <c r="B55" s="28">
        <v>0.16839999999999999</v>
      </c>
      <c r="C55" s="57">
        <f>$A$5*B55</f>
        <v>704.85840799999994</v>
      </c>
      <c r="F55" s="28">
        <v>0.1749</v>
      </c>
      <c r="G55" s="57">
        <f>$E$5*F55</f>
        <v>694.79199900000003</v>
      </c>
    </row>
    <row r="57" spans="2:7">
      <c r="B57" t="s">
        <v>69</v>
      </c>
      <c r="F57" t="s">
        <v>69</v>
      </c>
    </row>
    <row r="58" spans="2:7">
      <c r="B58" t="s">
        <v>75</v>
      </c>
      <c r="F58" t="s">
        <v>75</v>
      </c>
    </row>
    <row r="59" spans="2:7">
      <c r="B59">
        <v>-22.59</v>
      </c>
      <c r="C59" s="56"/>
      <c r="F59">
        <v>-22.45</v>
      </c>
      <c r="G59" s="56"/>
    </row>
    <row r="61" spans="2:7">
      <c r="B61" t="s">
        <v>76</v>
      </c>
      <c r="F61" t="s">
        <v>76</v>
      </c>
    </row>
    <row r="62" spans="2:7">
      <c r="B62" s="28">
        <v>-3.85E-2</v>
      </c>
      <c r="F62" s="28">
        <v>-3.9100000000000003E-2</v>
      </c>
    </row>
    <row r="64" spans="2:7">
      <c r="B64" t="s">
        <v>77</v>
      </c>
      <c r="F64" t="s">
        <v>77</v>
      </c>
    </row>
    <row r="65" spans="2:7">
      <c r="B65">
        <v>329.75</v>
      </c>
      <c r="F65">
        <v>322.19</v>
      </c>
    </row>
    <row r="67" spans="2:7">
      <c r="B67" t="s">
        <v>78</v>
      </c>
      <c r="F67" t="s">
        <v>78</v>
      </c>
    </row>
    <row r="68" spans="2:7">
      <c r="B68" s="28">
        <v>0.1348</v>
      </c>
      <c r="C68" s="57">
        <f>$A$5*B68</f>
        <v>564.22157600000003</v>
      </c>
      <c r="F68" s="28">
        <v>0.13869999999999999</v>
      </c>
      <c r="G68" s="57">
        <f>$E$5*F68</f>
        <v>550.98713699999996</v>
      </c>
    </row>
    <row r="70" spans="2:7">
      <c r="B70" t="s">
        <v>70</v>
      </c>
      <c r="F70" t="s">
        <v>70</v>
      </c>
    </row>
    <row r="71" spans="2:7">
      <c r="B71" t="s">
        <v>75</v>
      </c>
      <c r="F71" t="s">
        <v>75</v>
      </c>
    </row>
    <row r="72" spans="2:7">
      <c r="B72">
        <v>-22.2</v>
      </c>
      <c r="C72" s="56"/>
      <c r="F72">
        <v>-21.11</v>
      </c>
      <c r="G72" s="56"/>
    </row>
    <row r="74" spans="2:7">
      <c r="B74" t="s">
        <v>76</v>
      </c>
      <c r="F74" t="s">
        <v>76</v>
      </c>
    </row>
    <row r="75" spans="2:7">
      <c r="B75" s="28">
        <v>-9.9299999999999999E-2</v>
      </c>
      <c r="F75" s="28">
        <v>-9.9900000000000003E-2</v>
      </c>
    </row>
    <row r="77" spans="2:7">
      <c r="B77" t="s">
        <v>77</v>
      </c>
      <c r="F77" t="s">
        <v>77</v>
      </c>
    </row>
    <row r="78" spans="2:7">
      <c r="B78">
        <v>227.52</v>
      </c>
      <c r="F78">
        <v>214.89</v>
      </c>
    </row>
    <row r="80" spans="2:7">
      <c r="B80" t="s">
        <v>78</v>
      </c>
      <c r="F80" t="s">
        <v>78</v>
      </c>
    </row>
    <row r="81" spans="2:7">
      <c r="B81" s="28">
        <v>4.8099999999999997E-2</v>
      </c>
      <c r="C81" s="57">
        <f>$A$5*B81</f>
        <v>201.32832199999999</v>
      </c>
      <c r="F81" s="28">
        <v>4.7899999999999998E-2</v>
      </c>
      <c r="G81" s="57">
        <f>$E$5*F81</f>
        <v>190.28322900000001</v>
      </c>
    </row>
    <row r="83" spans="2:7">
      <c r="B83" t="s">
        <v>71</v>
      </c>
      <c r="F83" t="s">
        <v>71</v>
      </c>
    </row>
    <row r="84" spans="2:7">
      <c r="B84" t="s">
        <v>75</v>
      </c>
      <c r="F84" t="s">
        <v>75</v>
      </c>
    </row>
    <row r="85" spans="2:7">
      <c r="B85">
        <v>5.57</v>
      </c>
      <c r="C85" s="56"/>
      <c r="F85">
        <v>5.57</v>
      </c>
      <c r="G85" s="56"/>
    </row>
    <row r="87" spans="2:7">
      <c r="B87" t="s">
        <v>76</v>
      </c>
      <c r="F87" t="s">
        <v>76</v>
      </c>
    </row>
    <row r="88" spans="2:7">
      <c r="B88" s="28">
        <v>3.9E-2</v>
      </c>
      <c r="F88" s="28">
        <v>3.9E-2</v>
      </c>
    </row>
    <row r="90" spans="2:7">
      <c r="B90" t="s">
        <v>77</v>
      </c>
      <c r="F90" t="s">
        <v>77</v>
      </c>
    </row>
    <row r="91" spans="2:7">
      <c r="B91">
        <v>212.74</v>
      </c>
      <c r="F91">
        <v>212.74</v>
      </c>
    </row>
    <row r="93" spans="2:7">
      <c r="B93" t="s">
        <v>78</v>
      </c>
      <c r="F93" t="s">
        <v>78</v>
      </c>
    </row>
    <row r="94" spans="2:7">
      <c r="B94" s="28">
        <v>3.5400000000000001E-2</v>
      </c>
      <c r="C94" s="57">
        <f>$A$5*B94</f>
        <v>148.17094800000001</v>
      </c>
      <c r="F94" s="28">
        <v>3.73E-2</v>
      </c>
      <c r="G94" s="57">
        <f>$E$5*F94</f>
        <v>148.174623</v>
      </c>
    </row>
    <row r="96" spans="2:7">
      <c r="B96" t="s">
        <v>72</v>
      </c>
      <c r="F96" t="s">
        <v>73</v>
      </c>
    </row>
    <row r="97" spans="2:7">
      <c r="B97" t="s">
        <v>75</v>
      </c>
      <c r="F97" t="s">
        <v>75</v>
      </c>
    </row>
    <row r="98" spans="2:7">
      <c r="B98">
        <v>-7.78</v>
      </c>
      <c r="C98" s="56"/>
      <c r="F98">
        <v>-12.41</v>
      </c>
      <c r="G98" s="56"/>
    </row>
    <row r="100" spans="2:7">
      <c r="B100" t="s">
        <v>76</v>
      </c>
      <c r="F100" t="s">
        <v>76</v>
      </c>
    </row>
    <row r="101" spans="2:7">
      <c r="B101" s="28">
        <v>-4.2599999999999999E-2</v>
      </c>
      <c r="F101" s="28">
        <v>-4.7399999999999998E-2</v>
      </c>
    </row>
    <row r="103" spans="2:7">
      <c r="B103" t="s">
        <v>77</v>
      </c>
      <c r="F103" t="s">
        <v>77</v>
      </c>
    </row>
    <row r="104" spans="2:7">
      <c r="B104">
        <v>142.1</v>
      </c>
      <c r="F104">
        <v>124.45</v>
      </c>
    </row>
    <row r="106" spans="2:7">
      <c r="B106" t="s">
        <v>78</v>
      </c>
      <c r="F106" t="s">
        <v>78</v>
      </c>
    </row>
    <row r="107" spans="2:7">
      <c r="B107" s="28">
        <v>4.1700000000000001E-2</v>
      </c>
      <c r="C107" s="57">
        <f>$A$5*B107</f>
        <v>174.54035400000001</v>
      </c>
      <c r="F107" s="28">
        <v>6.2700000000000006E-2</v>
      </c>
      <c r="G107" s="57">
        <f>$E$5*F107</f>
        <v>249.07637700000004</v>
      </c>
    </row>
    <row r="109" spans="2:7">
      <c r="B109" t="s">
        <v>73</v>
      </c>
      <c r="F109" t="s">
        <v>72</v>
      </c>
    </row>
    <row r="110" spans="2:7">
      <c r="B110" t="s">
        <v>75</v>
      </c>
      <c r="F110" t="s">
        <v>75</v>
      </c>
    </row>
    <row r="111" spans="2:7">
      <c r="B111">
        <v>-10</v>
      </c>
      <c r="C111" s="56"/>
      <c r="F111">
        <v>-3.71</v>
      </c>
      <c r="G111" s="56"/>
    </row>
    <row r="113" spans="2:7">
      <c r="B113" t="s">
        <v>76</v>
      </c>
      <c r="F113" t="s">
        <v>76</v>
      </c>
    </row>
    <row r="114" spans="2:7">
      <c r="B114" s="28">
        <v>-4.4400000000000002E-2</v>
      </c>
      <c r="F114" s="28">
        <v>-4.6399999999999997E-2</v>
      </c>
    </row>
    <row r="116" spans="2:7">
      <c r="B116" t="s">
        <v>77</v>
      </c>
      <c r="F116" t="s">
        <v>77</v>
      </c>
    </row>
    <row r="117" spans="2:7">
      <c r="B117">
        <v>107.55</v>
      </c>
      <c r="F117">
        <v>62.09</v>
      </c>
    </row>
    <row r="119" spans="2:7">
      <c r="B119" t="s">
        <v>78</v>
      </c>
      <c r="F119" t="s">
        <v>78</v>
      </c>
    </row>
    <row r="120" spans="2:7">
      <c r="B120" s="28">
        <v>5.1499999999999997E-2</v>
      </c>
      <c r="C120" s="57">
        <f>$A$5*B120</f>
        <v>215.55942999999999</v>
      </c>
      <c r="F120" s="28">
        <v>1.9199999999999998E-2</v>
      </c>
      <c r="G120" s="57">
        <f>$E$5*F120</f>
        <v>76.272192000000004</v>
      </c>
    </row>
    <row r="122" spans="2:7">
      <c r="B122" t="s">
        <v>74</v>
      </c>
      <c r="F122" t="s">
        <v>74</v>
      </c>
    </row>
    <row r="123" spans="2:7">
      <c r="B123" t="s">
        <v>75</v>
      </c>
      <c r="F123" t="s">
        <v>75</v>
      </c>
    </row>
    <row r="124" spans="2:7">
      <c r="B124">
        <v>-2.98</v>
      </c>
      <c r="C124" s="56"/>
      <c r="F124">
        <v>-2.98</v>
      </c>
      <c r="G124" s="56"/>
    </row>
    <row r="126" spans="2:7">
      <c r="B126" t="s">
        <v>76</v>
      </c>
      <c r="F126" t="s">
        <v>76</v>
      </c>
    </row>
    <row r="127" spans="2:7">
      <c r="B127" s="28">
        <v>-7.4899999999999994E-2</v>
      </c>
      <c r="F127" s="28">
        <v>-7.4899999999999994E-2</v>
      </c>
    </row>
    <row r="129" spans="2:7">
      <c r="B129" t="s">
        <v>77</v>
      </c>
      <c r="F129" t="s">
        <v>77</v>
      </c>
    </row>
    <row r="130" spans="2:7">
      <c r="B130">
        <v>22.5</v>
      </c>
      <c r="F130">
        <v>22.5</v>
      </c>
    </row>
    <row r="132" spans="2:7">
      <c r="B132" t="s">
        <v>78</v>
      </c>
      <c r="F132" t="s">
        <v>78</v>
      </c>
    </row>
    <row r="133" spans="2:7">
      <c r="B133" s="28">
        <v>8.0999999999999996E-3</v>
      </c>
      <c r="C133" s="57">
        <f>$A$5*B133</f>
        <v>33.903521999999995</v>
      </c>
      <c r="F133" s="28">
        <v>8.6E-3</v>
      </c>
      <c r="G133" s="57">
        <f>$E$5*F133</f>
        <v>34.163586000000002</v>
      </c>
    </row>
    <row r="135" spans="2:7">
      <c r="B135" t="s">
        <v>137</v>
      </c>
      <c r="F135" t="s">
        <v>137</v>
      </c>
    </row>
    <row r="136" spans="2:7">
      <c r="B136" t="s">
        <v>75</v>
      </c>
      <c r="F136" t="s">
        <v>75</v>
      </c>
    </row>
    <row r="137" spans="2:7">
      <c r="B137">
        <v>0.44</v>
      </c>
      <c r="F137">
        <v>0.27</v>
      </c>
    </row>
    <row r="139" spans="2:7">
      <c r="B139" t="s">
        <v>76</v>
      </c>
      <c r="F139" t="s">
        <v>76</v>
      </c>
    </row>
    <row r="140" spans="2:7">
      <c r="B140" s="28">
        <v>2.0999999999999999E-3</v>
      </c>
      <c r="F140" s="28">
        <v>2E-3</v>
      </c>
    </row>
    <row r="142" spans="2:7">
      <c r="B142" t="s">
        <v>77</v>
      </c>
      <c r="F142" t="s">
        <v>77</v>
      </c>
    </row>
    <row r="143" spans="2:7">
      <c r="B143">
        <v>0</v>
      </c>
      <c r="F143">
        <v>0</v>
      </c>
    </row>
    <row r="145" spans="2:6">
      <c r="B145" t="s">
        <v>78</v>
      </c>
      <c r="F145" t="s">
        <v>78</v>
      </c>
    </row>
    <row r="146" spans="2:6">
      <c r="B146" s="28">
        <v>0</v>
      </c>
      <c r="F146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G25" sqref="G25"/>
    </sheetView>
  </sheetViews>
  <sheetFormatPr defaultColWidth="8.875"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>
      <c r="A2">
        <v>482002</v>
      </c>
      <c r="B2" t="s">
        <v>99</v>
      </c>
      <c r="C2" t="s">
        <v>100</v>
      </c>
      <c r="D2" s="60">
        <v>43686</v>
      </c>
      <c r="E2">
        <v>1</v>
      </c>
      <c r="F2">
        <v>4711.8100000000004</v>
      </c>
      <c r="G2" s="59">
        <v>4711.8100000000004</v>
      </c>
      <c r="H2" t="s">
        <v>101</v>
      </c>
    </row>
    <row r="3" spans="1:8">
      <c r="A3">
        <v>360003</v>
      </c>
      <c r="B3" t="s">
        <v>102</v>
      </c>
      <c r="C3" t="s">
        <v>100</v>
      </c>
      <c r="D3" s="60">
        <v>43686</v>
      </c>
      <c r="E3">
        <v>1</v>
      </c>
      <c r="F3">
        <v>2309.98</v>
      </c>
      <c r="G3" s="59">
        <v>2309.98</v>
      </c>
      <c r="H3" t="s">
        <v>101</v>
      </c>
    </row>
    <row r="4" spans="1:8">
      <c r="A4">
        <v>3474</v>
      </c>
      <c r="B4" t="s">
        <v>103</v>
      </c>
      <c r="C4" t="s">
        <v>100</v>
      </c>
      <c r="D4" s="60">
        <v>43686</v>
      </c>
      <c r="E4">
        <v>1</v>
      </c>
      <c r="F4">
        <v>609357.05000000005</v>
      </c>
      <c r="G4" s="59">
        <v>609357.05000000005</v>
      </c>
      <c r="H4" t="s">
        <v>101</v>
      </c>
    </row>
    <row r="5" spans="1:8">
      <c r="A5">
        <v>600</v>
      </c>
      <c r="B5" t="s">
        <v>104</v>
      </c>
      <c r="C5" t="s">
        <v>100</v>
      </c>
      <c r="D5" s="60">
        <v>43686</v>
      </c>
      <c r="E5">
        <v>1</v>
      </c>
      <c r="F5">
        <v>401.29</v>
      </c>
      <c r="G5" s="59">
        <v>401.29</v>
      </c>
      <c r="H5" t="s">
        <v>101</v>
      </c>
    </row>
    <row r="6" spans="1:8">
      <c r="A6">
        <v>638</v>
      </c>
      <c r="B6" t="s">
        <v>105</v>
      </c>
      <c r="C6" t="s">
        <v>100</v>
      </c>
      <c r="D6" s="60">
        <v>43686</v>
      </c>
      <c r="E6">
        <v>1</v>
      </c>
      <c r="F6">
        <v>7.0000000000000007E-2</v>
      </c>
      <c r="G6" s="59">
        <v>7.0000000000000007E-2</v>
      </c>
      <c r="H6" t="s">
        <v>101</v>
      </c>
    </row>
    <row r="7" spans="1:8">
      <c r="A7">
        <v>51</v>
      </c>
      <c r="B7" t="s">
        <v>106</v>
      </c>
      <c r="C7" t="s">
        <v>107</v>
      </c>
      <c r="D7" s="60">
        <v>43686</v>
      </c>
      <c r="E7">
        <v>1.2210000000000001</v>
      </c>
      <c r="F7">
        <v>325.61</v>
      </c>
      <c r="G7" s="59">
        <v>397.56</v>
      </c>
      <c r="H7" t="s">
        <v>108</v>
      </c>
    </row>
    <row r="8" spans="1:8">
      <c r="A8">
        <v>968</v>
      </c>
      <c r="B8" t="s">
        <v>109</v>
      </c>
      <c r="C8" t="s">
        <v>107</v>
      </c>
      <c r="D8" s="60">
        <v>43686</v>
      </c>
      <c r="E8">
        <v>0.89190000000000003</v>
      </c>
      <c r="F8">
        <v>6096.21</v>
      </c>
      <c r="G8" s="59">
        <v>5437.2</v>
      </c>
      <c r="H8" t="s">
        <v>108</v>
      </c>
    </row>
    <row r="9" spans="1:8">
      <c r="A9">
        <v>110026</v>
      </c>
      <c r="B9" t="s">
        <v>110</v>
      </c>
      <c r="C9" t="s">
        <v>107</v>
      </c>
      <c r="D9" s="60">
        <v>43686</v>
      </c>
      <c r="E9">
        <v>1.5712999999999999</v>
      </c>
      <c r="F9">
        <v>1213.0899999999999</v>
      </c>
      <c r="G9" s="59">
        <v>1906.12</v>
      </c>
      <c r="H9" t="s">
        <v>108</v>
      </c>
    </row>
    <row r="10" spans="1:8">
      <c r="A10">
        <v>164906</v>
      </c>
      <c r="B10" t="s">
        <v>111</v>
      </c>
      <c r="C10" t="s">
        <v>112</v>
      </c>
      <c r="D10" s="60">
        <v>43685</v>
      </c>
      <c r="E10">
        <v>1.107</v>
      </c>
      <c r="F10">
        <v>1407.29</v>
      </c>
      <c r="G10" s="59">
        <v>1557.87</v>
      </c>
      <c r="H10" t="s">
        <v>108</v>
      </c>
    </row>
    <row r="11" spans="1:8">
      <c r="A11">
        <v>71</v>
      </c>
      <c r="B11" t="s">
        <v>113</v>
      </c>
      <c r="C11" t="s">
        <v>112</v>
      </c>
      <c r="D11" s="60">
        <v>43686</v>
      </c>
      <c r="E11">
        <v>1.4487000000000001</v>
      </c>
      <c r="F11">
        <v>275.49</v>
      </c>
      <c r="G11" s="59">
        <v>399.1</v>
      </c>
      <c r="H11" t="s">
        <v>114</v>
      </c>
    </row>
    <row r="12" spans="1:8">
      <c r="A12">
        <v>216</v>
      </c>
      <c r="B12" t="s">
        <v>115</v>
      </c>
      <c r="C12" t="s">
        <v>107</v>
      </c>
      <c r="D12" s="60">
        <v>43686</v>
      </c>
      <c r="E12">
        <v>1.2583</v>
      </c>
      <c r="F12">
        <v>733.79</v>
      </c>
      <c r="G12" s="59">
        <v>923.32</v>
      </c>
      <c r="H12" t="s">
        <v>114</v>
      </c>
    </row>
    <row r="13" spans="1:8">
      <c r="A13">
        <v>614</v>
      </c>
      <c r="B13" t="s">
        <v>116</v>
      </c>
      <c r="C13" t="s">
        <v>112</v>
      </c>
      <c r="D13" s="60">
        <v>43684</v>
      </c>
      <c r="E13">
        <v>1.087</v>
      </c>
      <c r="F13">
        <v>1884.74</v>
      </c>
      <c r="G13" s="59">
        <v>2048.71</v>
      </c>
      <c r="H13" t="s">
        <v>114</v>
      </c>
    </row>
    <row r="14" spans="1:8">
      <c r="A14">
        <v>1051</v>
      </c>
      <c r="B14" t="s">
        <v>117</v>
      </c>
      <c r="C14" t="s">
        <v>107</v>
      </c>
      <c r="D14" s="60">
        <v>43686</v>
      </c>
      <c r="E14">
        <v>0.95399999999999996</v>
      </c>
      <c r="F14">
        <v>1338.46</v>
      </c>
      <c r="G14" s="59">
        <v>1276.8900000000001</v>
      </c>
      <c r="H14" t="s">
        <v>114</v>
      </c>
    </row>
    <row r="15" spans="1:8">
      <c r="A15">
        <v>1064</v>
      </c>
      <c r="B15" t="s">
        <v>118</v>
      </c>
      <c r="C15" t="s">
        <v>107</v>
      </c>
      <c r="D15" s="60">
        <v>43686</v>
      </c>
      <c r="E15">
        <v>0.52459999999999996</v>
      </c>
      <c r="F15">
        <v>5949.77</v>
      </c>
      <c r="G15" s="59">
        <v>3121.24</v>
      </c>
      <c r="H15" t="s">
        <v>114</v>
      </c>
    </row>
    <row r="16" spans="1:8">
      <c r="A16">
        <v>1180</v>
      </c>
      <c r="B16" t="s">
        <v>119</v>
      </c>
      <c r="C16" t="s">
        <v>107</v>
      </c>
      <c r="D16" s="60">
        <v>43686</v>
      </c>
      <c r="E16">
        <v>0.75139999999999996</v>
      </c>
      <c r="F16">
        <v>6750.28</v>
      </c>
      <c r="G16" s="59">
        <v>5072.16</v>
      </c>
      <c r="H16" t="s">
        <v>114</v>
      </c>
    </row>
    <row r="17" spans="1:8">
      <c r="A17">
        <v>1469</v>
      </c>
      <c r="B17" t="s">
        <v>120</v>
      </c>
      <c r="C17" t="s">
        <v>107</v>
      </c>
      <c r="D17" s="60">
        <v>43686</v>
      </c>
      <c r="E17">
        <v>1.0424</v>
      </c>
      <c r="F17">
        <v>900.35</v>
      </c>
      <c r="G17" s="59">
        <v>938.52</v>
      </c>
      <c r="H17" t="s">
        <v>114</v>
      </c>
    </row>
    <row r="18" spans="1:8">
      <c r="A18">
        <v>2903</v>
      </c>
      <c r="B18" t="s">
        <v>121</v>
      </c>
      <c r="C18" t="s">
        <v>107</v>
      </c>
      <c r="D18" s="60">
        <v>43686</v>
      </c>
      <c r="E18">
        <v>0.8145</v>
      </c>
      <c r="F18">
        <v>275.95999999999998</v>
      </c>
      <c r="G18" s="59">
        <v>224.76</v>
      </c>
      <c r="H18" t="s">
        <v>114</v>
      </c>
    </row>
    <row r="19" spans="1:8">
      <c r="A19">
        <v>3765</v>
      </c>
      <c r="B19" t="s">
        <v>122</v>
      </c>
      <c r="C19" t="s">
        <v>107</v>
      </c>
      <c r="D19" s="60">
        <v>43686</v>
      </c>
      <c r="E19">
        <v>0.85799999999999998</v>
      </c>
      <c r="F19">
        <v>492.57</v>
      </c>
      <c r="G19" s="59">
        <v>422.62</v>
      </c>
      <c r="H19" t="s">
        <v>114</v>
      </c>
    </row>
    <row r="20" spans="1:8">
      <c r="A20">
        <v>4752</v>
      </c>
      <c r="B20" t="s">
        <v>123</v>
      </c>
      <c r="C20" t="s">
        <v>107</v>
      </c>
      <c r="D20" s="60">
        <v>43686</v>
      </c>
      <c r="E20">
        <v>0.68469999999999998</v>
      </c>
      <c r="F20">
        <v>4423.4799999999996</v>
      </c>
      <c r="G20" s="59">
        <v>3028.75</v>
      </c>
      <c r="H20" t="s">
        <v>114</v>
      </c>
    </row>
    <row r="21" spans="1:8">
      <c r="A21">
        <v>100032</v>
      </c>
      <c r="B21" t="s">
        <v>124</v>
      </c>
      <c r="C21" t="s">
        <v>107</v>
      </c>
      <c r="D21" s="60">
        <v>43686</v>
      </c>
      <c r="E21">
        <v>1.0620000000000001</v>
      </c>
      <c r="F21">
        <v>8318.43</v>
      </c>
      <c r="G21" s="59">
        <v>8834.17</v>
      </c>
      <c r="H21" t="s">
        <v>114</v>
      </c>
    </row>
    <row r="22" spans="1:8">
      <c r="A22">
        <v>100038</v>
      </c>
      <c r="B22" t="s">
        <v>125</v>
      </c>
      <c r="C22" t="s">
        <v>107</v>
      </c>
      <c r="D22" s="60">
        <v>43686</v>
      </c>
      <c r="E22">
        <v>1.7010000000000001</v>
      </c>
      <c r="F22">
        <v>2463.04</v>
      </c>
      <c r="G22" s="59">
        <v>4189.63</v>
      </c>
      <c r="H22" t="s">
        <v>114</v>
      </c>
    </row>
    <row r="23" spans="1:8">
      <c r="A23">
        <v>110027</v>
      </c>
      <c r="B23" t="s">
        <v>126</v>
      </c>
      <c r="C23" t="s">
        <v>127</v>
      </c>
      <c r="D23" s="60">
        <v>43686</v>
      </c>
      <c r="E23">
        <v>1.63</v>
      </c>
      <c r="F23">
        <v>1743.65</v>
      </c>
      <c r="G23" s="59">
        <v>2842.14</v>
      </c>
      <c r="H23" t="s">
        <v>114</v>
      </c>
    </row>
    <row r="24" spans="1:8">
      <c r="A24">
        <v>161017</v>
      </c>
      <c r="B24" t="s">
        <v>128</v>
      </c>
      <c r="C24" t="s">
        <v>107</v>
      </c>
      <c r="D24" s="60">
        <v>43686</v>
      </c>
      <c r="E24">
        <v>1.6519999999999999</v>
      </c>
      <c r="F24">
        <v>1838.18</v>
      </c>
      <c r="G24" s="59">
        <v>3036.67</v>
      </c>
      <c r="H24" t="s">
        <v>114</v>
      </c>
    </row>
    <row r="25" spans="1:8">
      <c r="A25">
        <v>162411</v>
      </c>
      <c r="B25" t="s">
        <v>129</v>
      </c>
      <c r="C25" t="s">
        <v>112</v>
      </c>
      <c r="D25" s="60">
        <v>43685</v>
      </c>
      <c r="E25">
        <v>0.40200000000000002</v>
      </c>
      <c r="F25">
        <v>2329.2199999999998</v>
      </c>
      <c r="G25" s="59">
        <v>936.34</v>
      </c>
      <c r="H25" t="s">
        <v>114</v>
      </c>
    </row>
    <row r="26" spans="1:8">
      <c r="A26">
        <v>162413</v>
      </c>
      <c r="B26" t="s">
        <v>130</v>
      </c>
      <c r="C26" t="s">
        <v>107</v>
      </c>
      <c r="D26" s="60">
        <v>43686</v>
      </c>
      <c r="E26">
        <v>0.74829999999999997</v>
      </c>
      <c r="F26">
        <v>1495.03</v>
      </c>
      <c r="G26" s="59">
        <v>1118.73</v>
      </c>
      <c r="H26" t="s">
        <v>114</v>
      </c>
    </row>
    <row r="27" spans="1:8">
      <c r="A27">
        <v>162711</v>
      </c>
      <c r="B27" t="s">
        <v>131</v>
      </c>
      <c r="C27" t="s">
        <v>107</v>
      </c>
      <c r="D27" s="60">
        <v>43686</v>
      </c>
      <c r="E27">
        <v>1.0187999999999999</v>
      </c>
      <c r="F27">
        <v>9331.14</v>
      </c>
      <c r="G27" s="59">
        <v>9506.56</v>
      </c>
      <c r="H27" t="s">
        <v>114</v>
      </c>
    </row>
    <row r="28" spans="1:8">
      <c r="A28">
        <v>340001</v>
      </c>
      <c r="B28" t="s">
        <v>132</v>
      </c>
      <c r="C28" t="s">
        <v>133</v>
      </c>
      <c r="D28" s="60">
        <v>43686</v>
      </c>
      <c r="E28">
        <v>1.0964</v>
      </c>
      <c r="F28">
        <v>1630.08</v>
      </c>
      <c r="G28" s="59">
        <v>1787.21</v>
      </c>
      <c r="H28" t="s">
        <v>114</v>
      </c>
    </row>
    <row r="29" spans="1:8">
      <c r="A29">
        <v>502010</v>
      </c>
      <c r="B29" t="s">
        <v>134</v>
      </c>
      <c r="C29" t="s">
        <v>107</v>
      </c>
      <c r="D29" s="60">
        <v>43686</v>
      </c>
      <c r="E29">
        <v>0.94479999999999997</v>
      </c>
      <c r="F29">
        <v>496.13</v>
      </c>
      <c r="G29" s="59">
        <v>468.74</v>
      </c>
      <c r="H29" t="s">
        <v>114</v>
      </c>
    </row>
    <row r="30" spans="1:8">
      <c r="A30">
        <v>519977</v>
      </c>
      <c r="B30" t="s">
        <v>135</v>
      </c>
      <c r="C30" t="s">
        <v>127</v>
      </c>
      <c r="D30" s="60">
        <v>43686</v>
      </c>
      <c r="E30">
        <v>1.3117000000000001</v>
      </c>
      <c r="F30">
        <v>333.04</v>
      </c>
      <c r="G30" s="59">
        <v>436.84</v>
      </c>
      <c r="H30" t="s">
        <v>114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I33" sqref="I33"/>
    </sheetView>
  </sheetViews>
  <sheetFormatPr defaultColWidth="8.875" defaultRowHeight="14.25"/>
  <cols>
    <col min="2" max="2" width="27.625" bestFit="1" customWidth="1"/>
    <col min="3" max="3" width="10.375" bestFit="1" customWidth="1"/>
    <col min="5" max="5" width="26.125" bestFit="1" customWidth="1"/>
  </cols>
  <sheetData>
    <row r="1" spans="1:3">
      <c r="A1" s="62">
        <v>482002</v>
      </c>
      <c r="B1" s="61" t="s">
        <v>99</v>
      </c>
      <c r="C1" s="69">
        <v>4711.8100000000004</v>
      </c>
    </row>
    <row r="2" spans="1:3">
      <c r="A2" s="62">
        <v>360003</v>
      </c>
      <c r="B2" s="61" t="s">
        <v>102</v>
      </c>
      <c r="C2" s="69">
        <v>2309.98</v>
      </c>
    </row>
    <row r="3" spans="1:3">
      <c r="A3" s="62">
        <v>3474</v>
      </c>
      <c r="B3" s="61" t="s">
        <v>103</v>
      </c>
      <c r="C3" s="69">
        <v>609357.05000000005</v>
      </c>
    </row>
    <row r="4" spans="1:3">
      <c r="A4" s="62">
        <v>600</v>
      </c>
      <c r="B4" s="61" t="s">
        <v>104</v>
      </c>
      <c r="C4" s="69">
        <v>401.29</v>
      </c>
    </row>
    <row r="5" spans="1:3">
      <c r="A5" s="62">
        <v>638</v>
      </c>
      <c r="B5" s="61" t="s">
        <v>105</v>
      </c>
      <c r="C5" s="69">
        <v>7.0000000000000007E-2</v>
      </c>
    </row>
    <row r="6" spans="1:3">
      <c r="A6" s="62">
        <v>51</v>
      </c>
      <c r="B6" s="61" t="s">
        <v>106</v>
      </c>
      <c r="C6" s="69">
        <v>397.56</v>
      </c>
    </row>
    <row r="7" spans="1:3">
      <c r="A7" s="62">
        <v>968</v>
      </c>
      <c r="B7" s="61" t="s">
        <v>109</v>
      </c>
      <c r="C7" s="69">
        <v>5437.2</v>
      </c>
    </row>
    <row r="8" spans="1:3">
      <c r="A8" s="62">
        <v>110026</v>
      </c>
      <c r="B8" s="61" t="s">
        <v>110</v>
      </c>
      <c r="C8" s="69">
        <v>1906.12</v>
      </c>
    </row>
    <row r="9" spans="1:3">
      <c r="A9" s="62">
        <v>164906</v>
      </c>
      <c r="B9" s="61" t="s">
        <v>111</v>
      </c>
      <c r="C9" s="69">
        <v>1557.87</v>
      </c>
    </row>
    <row r="10" spans="1:3">
      <c r="A10" s="62">
        <v>71</v>
      </c>
      <c r="B10" s="61" t="s">
        <v>113</v>
      </c>
      <c r="C10" s="69">
        <v>399.1</v>
      </c>
    </row>
    <row r="11" spans="1:3">
      <c r="A11" s="62">
        <v>216</v>
      </c>
      <c r="B11" s="61" t="s">
        <v>115</v>
      </c>
      <c r="C11" s="69">
        <v>923.32</v>
      </c>
    </row>
    <row r="12" spans="1:3">
      <c r="A12" s="62">
        <v>614</v>
      </c>
      <c r="B12" s="61" t="s">
        <v>116</v>
      </c>
      <c r="C12" s="69">
        <v>2048.71</v>
      </c>
    </row>
    <row r="13" spans="1:3">
      <c r="A13" s="62">
        <v>1051</v>
      </c>
      <c r="B13" s="61" t="s">
        <v>117</v>
      </c>
      <c r="C13" s="69">
        <v>1276.8900000000001</v>
      </c>
    </row>
    <row r="14" spans="1:3">
      <c r="A14" s="62">
        <v>1064</v>
      </c>
      <c r="B14" s="61" t="s">
        <v>118</v>
      </c>
      <c r="C14" s="69">
        <v>3121.24</v>
      </c>
    </row>
    <row r="15" spans="1:3">
      <c r="A15" s="62">
        <v>1180</v>
      </c>
      <c r="B15" s="61" t="s">
        <v>119</v>
      </c>
      <c r="C15" s="69">
        <v>5072.16</v>
      </c>
    </row>
    <row r="16" spans="1:3">
      <c r="A16" s="62">
        <v>1469</v>
      </c>
      <c r="B16" s="61" t="s">
        <v>120</v>
      </c>
      <c r="C16" s="69">
        <v>938.52</v>
      </c>
    </row>
    <row r="17" spans="1:3">
      <c r="A17" s="62">
        <v>2903</v>
      </c>
      <c r="B17" s="61" t="s">
        <v>121</v>
      </c>
      <c r="C17" s="69">
        <v>224.76</v>
      </c>
    </row>
    <row r="18" spans="1:3">
      <c r="A18" s="62">
        <v>3765</v>
      </c>
      <c r="B18" s="61" t="s">
        <v>122</v>
      </c>
      <c r="C18" s="69">
        <v>422.62</v>
      </c>
    </row>
    <row r="19" spans="1:3">
      <c r="A19" s="62">
        <v>4752</v>
      </c>
      <c r="B19" s="61" t="s">
        <v>123</v>
      </c>
      <c r="C19" s="69">
        <v>3028.75</v>
      </c>
    </row>
    <row r="20" spans="1:3">
      <c r="A20" s="62">
        <v>100032</v>
      </c>
      <c r="B20" s="61" t="s">
        <v>124</v>
      </c>
      <c r="C20" s="69">
        <v>8834.17</v>
      </c>
    </row>
    <row r="21" spans="1:3">
      <c r="A21" s="62">
        <v>100038</v>
      </c>
      <c r="B21" s="61" t="s">
        <v>125</v>
      </c>
      <c r="C21" s="69">
        <v>4189.63</v>
      </c>
    </row>
    <row r="22" spans="1:3">
      <c r="A22" s="62">
        <v>110027</v>
      </c>
      <c r="B22" s="61" t="s">
        <v>126</v>
      </c>
      <c r="C22" s="69">
        <v>2842.14</v>
      </c>
    </row>
    <row r="23" spans="1:3">
      <c r="A23" s="62">
        <v>161017</v>
      </c>
      <c r="B23" s="61" t="s">
        <v>128</v>
      </c>
      <c r="C23" s="69">
        <v>3036.67</v>
      </c>
    </row>
    <row r="24" spans="1:3">
      <c r="A24" s="62">
        <v>162411</v>
      </c>
      <c r="B24" s="61" t="s">
        <v>129</v>
      </c>
      <c r="C24" s="69">
        <v>936.34</v>
      </c>
    </row>
    <row r="25" spans="1:3">
      <c r="A25" s="62">
        <v>162413</v>
      </c>
      <c r="B25" s="61" t="s">
        <v>130</v>
      </c>
      <c r="C25" s="69">
        <v>1118.73</v>
      </c>
    </row>
    <row r="26" spans="1:3">
      <c r="A26" s="62">
        <v>162711</v>
      </c>
      <c r="B26" s="61" t="s">
        <v>131</v>
      </c>
      <c r="C26" s="69">
        <v>9506.56</v>
      </c>
    </row>
    <row r="27" spans="1:3">
      <c r="A27" s="62">
        <v>340001</v>
      </c>
      <c r="B27" s="61" t="s">
        <v>132</v>
      </c>
      <c r="C27" s="69">
        <v>1787.21</v>
      </c>
    </row>
    <row r="28" spans="1:3">
      <c r="A28" s="62">
        <v>502010</v>
      </c>
      <c r="B28" s="61" t="s">
        <v>134</v>
      </c>
      <c r="C28" s="69">
        <v>468.74</v>
      </c>
    </row>
    <row r="29" spans="1:3">
      <c r="A29" s="62">
        <v>519977</v>
      </c>
      <c r="B29" s="61" t="s">
        <v>135</v>
      </c>
      <c r="C29" s="69">
        <v>436.84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tabSelected="1" zoomScaleNormal="100" workbookViewId="0">
      <pane ySplit="1" topLeftCell="A2" activePane="bottomLeft" state="frozen"/>
      <selection pane="bottomLeft" activeCell="I27" sqref="I27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2" width="15.125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136</v>
      </c>
      <c r="K1" s="18" t="s">
        <v>35</v>
      </c>
      <c r="L1" s="18" t="s">
        <v>36</v>
      </c>
      <c r="M1" s="17"/>
      <c r="N1" s="8"/>
    </row>
    <row r="2" spans="1:15">
      <c r="A2" s="68" t="str">
        <f>"A股"&amp;" , "&amp;TEXT(SUM(E2:E28),"0.00%")</f>
        <v>A股 , 71.14%</v>
      </c>
      <c r="B2" s="68" t="str">
        <f>"大盘股"&amp;" , "&amp;TEXT(SUM(E2:E4),"0.00%")</f>
        <v>大盘股 , 6.96%</v>
      </c>
      <c r="C2" s="20" t="str">
        <f>"上证50"&amp;" , "&amp;TEXT(SUM(E2:E2),"0.00%")</f>
        <v>上证50 , 1.51%</v>
      </c>
      <c r="D2" s="10" t="s">
        <v>22</v>
      </c>
      <c r="E2" s="11">
        <f t="shared" ref="E2:E28" si="0">F2/$F$38</f>
        <v>1.514479768744992E-2</v>
      </c>
      <c r="F2" s="2">
        <f>SUM(G2:H2)</f>
        <v>1276.8900000000001</v>
      </c>
      <c r="G2" s="65">
        <v>1276.8900000000001</v>
      </c>
      <c r="H2" s="2"/>
      <c r="I2" s="63">
        <v>1051</v>
      </c>
      <c r="K2" s="18">
        <f>K4+K6</f>
        <v>80158.13</v>
      </c>
      <c r="L2" s="18">
        <f>$K$4+$K$6+$K$8+$K$10</f>
        <v>838690.07</v>
      </c>
      <c r="M2" s="17"/>
      <c r="N2" s="8"/>
    </row>
    <row r="3" spans="1:15">
      <c r="A3" s="68"/>
      <c r="B3" s="68"/>
      <c r="C3" s="68" t="str">
        <f>"沪深300"&amp;" , "&amp;TEXT(SUM(E3:E4),"0.00%")</f>
        <v>沪深300 , 5.44%</v>
      </c>
      <c r="D3" s="10" t="s">
        <v>24</v>
      </c>
      <c r="E3" s="11">
        <f t="shared" si="0"/>
        <v>4.969190669146975E-2</v>
      </c>
      <c r="F3" s="2">
        <f t="shared" ref="F3:F37" si="1">SUM(G3:H3)</f>
        <v>4189.63</v>
      </c>
      <c r="G3" s="65">
        <v>4189.63</v>
      </c>
      <c r="I3" s="63">
        <v>100038</v>
      </c>
      <c r="K3" s="18" t="s">
        <v>23</v>
      </c>
      <c r="L3" s="18" t="s">
        <v>89</v>
      </c>
      <c r="M3" s="8"/>
      <c r="N3" s="1"/>
    </row>
    <row r="4" spans="1:15">
      <c r="A4" s="68"/>
      <c r="B4" s="68"/>
      <c r="C4" s="68"/>
      <c r="D4" s="21" t="s">
        <v>42</v>
      </c>
      <c r="E4" s="11">
        <f t="shared" si="0"/>
        <v>4.7153363004037857E-3</v>
      </c>
      <c r="F4" s="2">
        <f t="shared" si="1"/>
        <v>397.56</v>
      </c>
      <c r="G4" s="65">
        <v>397.56</v>
      </c>
      <c r="I4" s="63">
        <v>51</v>
      </c>
      <c r="K4" s="18">
        <v>72000</v>
      </c>
      <c r="L4" s="18">
        <f>F38-SUM(F19:F28)-K4</f>
        <v>4153.9899999999907</v>
      </c>
      <c r="M4" s="8"/>
      <c r="N4" s="1"/>
    </row>
    <row r="5" spans="1:15">
      <c r="A5" s="68"/>
      <c r="B5" s="68" t="str">
        <f>"中小盘股"&amp;" , "&amp;TEXT(SUM(E5:E10),"0.00%")</f>
        <v>中小盘股 , 19.23%</v>
      </c>
      <c r="C5" s="68" t="str">
        <f>"中证500"&amp;" , "&amp;TEXT(SUM(E5:E7),"0.00%")</f>
        <v>中证500 , 15.14%</v>
      </c>
      <c r="D5" s="10" t="s">
        <v>44</v>
      </c>
      <c r="E5" s="11">
        <f t="shared" si="0"/>
        <v>0.1127543703088002</v>
      </c>
      <c r="F5" s="2">
        <f t="shared" si="1"/>
        <v>9506.56</v>
      </c>
      <c r="G5" s="65">
        <v>9506.56</v>
      </c>
      <c r="H5" s="2"/>
      <c r="I5" s="63">
        <v>162711</v>
      </c>
      <c r="K5" s="18" t="s">
        <v>87</v>
      </c>
      <c r="L5" s="18" t="s">
        <v>88</v>
      </c>
    </row>
    <row r="6" spans="1:15">
      <c r="A6" s="68"/>
      <c r="B6" s="68"/>
      <c r="C6" s="68"/>
      <c r="D6" s="22" t="s">
        <v>43</v>
      </c>
      <c r="E6" s="11">
        <f t="shared" si="0"/>
        <v>2.6658089014960128E-3</v>
      </c>
      <c r="F6" s="2">
        <f t="shared" si="1"/>
        <v>224.76</v>
      </c>
      <c r="G6" s="65">
        <v>224.76</v>
      </c>
      <c r="H6" s="2"/>
      <c r="I6" s="63">
        <v>2903</v>
      </c>
      <c r="K6" s="18">
        <f>螺丝钉计划!I5</f>
        <v>8158.13</v>
      </c>
      <c r="L6" s="18">
        <f>螺丝钉计划!I7</f>
        <v>-64.73</v>
      </c>
      <c r="N6" s="12"/>
      <c r="O6" s="12"/>
    </row>
    <row r="7" spans="1:15">
      <c r="A7" s="68"/>
      <c r="B7" s="68"/>
      <c r="C7" s="68"/>
      <c r="D7" s="10" t="s">
        <v>25</v>
      </c>
      <c r="E7" s="11">
        <f t="shared" si="0"/>
        <v>3.6017004435423994E-2</v>
      </c>
      <c r="F7" s="2">
        <f t="shared" si="1"/>
        <v>3036.67</v>
      </c>
      <c r="G7" s="65">
        <v>3036.67</v>
      </c>
      <c r="H7" s="2"/>
      <c r="I7" s="63">
        <v>161017</v>
      </c>
      <c r="K7" s="18" t="s">
        <v>32</v>
      </c>
      <c r="L7" s="18" t="s">
        <v>34</v>
      </c>
      <c r="O7" s="13"/>
    </row>
    <row r="8" spans="1:15">
      <c r="A8" s="68"/>
      <c r="B8" s="68"/>
      <c r="C8" s="20" t="str">
        <f>"中证1000"&amp;" , "&amp;TEXT(SUM(E8:E8),"0.00%")</f>
        <v>中证1000 , 1.33%</v>
      </c>
      <c r="D8" s="10" t="s">
        <v>26</v>
      </c>
      <c r="E8" s="11">
        <f t="shared" si="0"/>
        <v>1.3268910804282944E-2</v>
      </c>
      <c r="F8" s="2">
        <f t="shared" si="1"/>
        <v>1118.73</v>
      </c>
      <c r="G8" s="65">
        <v>1118.73</v>
      </c>
      <c r="I8" s="63">
        <v>162413</v>
      </c>
      <c r="K8" s="18">
        <v>616780.19999999995</v>
      </c>
      <c r="L8" s="24">
        <v>24823.91</v>
      </c>
      <c r="N8" s="12"/>
      <c r="O8" s="12"/>
    </row>
    <row r="9" spans="1:15">
      <c r="A9" s="68"/>
      <c r="B9" s="68"/>
      <c r="C9" s="68" t="str">
        <f>"创业板"&amp;" , "&amp;TEXT(SUM(E9:E10),"0.00%")</f>
        <v>创业板 , 2.76%</v>
      </c>
      <c r="D9" s="10" t="s">
        <v>27</v>
      </c>
      <c r="E9" s="11">
        <f t="shared" si="0"/>
        <v>5.0125652160092765E-3</v>
      </c>
      <c r="F9" s="2">
        <f t="shared" si="1"/>
        <v>422.62</v>
      </c>
      <c r="G9" s="65">
        <v>422.62</v>
      </c>
      <c r="H9" s="14"/>
      <c r="I9" s="63">
        <v>3765</v>
      </c>
      <c r="K9" s="18" t="s">
        <v>33</v>
      </c>
      <c r="L9" s="18" t="s">
        <v>34</v>
      </c>
      <c r="O9" s="13"/>
    </row>
    <row r="10" spans="1:15">
      <c r="A10" s="68"/>
      <c r="B10" s="68"/>
      <c r="C10" s="68"/>
      <c r="D10" s="10" t="s">
        <v>9</v>
      </c>
      <c r="E10" s="11">
        <f t="shared" si="0"/>
        <v>2.2607900263924095E-2</v>
      </c>
      <c r="F10" s="2">
        <f t="shared" si="1"/>
        <v>1906.12</v>
      </c>
      <c r="G10" s="65">
        <v>1906.12</v>
      </c>
      <c r="H10" s="2"/>
      <c r="I10" s="63">
        <v>110026</v>
      </c>
      <c r="K10" s="18">
        <v>141751.74</v>
      </c>
      <c r="L10" s="24">
        <v>3939.22</v>
      </c>
      <c r="N10" s="12"/>
      <c r="O10" s="12"/>
    </row>
    <row r="11" spans="1:15">
      <c r="A11" s="68"/>
      <c r="B11" s="22" t="str">
        <f>"红利价值"&amp;" , "&amp;TEXT(SUM(E11:E11),"0.00%")</f>
        <v>红利价值 , 10.48%</v>
      </c>
      <c r="C11" s="20" t="str">
        <f>"中证红利"&amp;" , "&amp;TEXT(SUM(E11:E11),"0.00%")</f>
        <v>中证红利 , 10.48%</v>
      </c>
      <c r="D11" s="10" t="s">
        <v>10</v>
      </c>
      <c r="E11" s="11">
        <f t="shared" si="0"/>
        <v>0.10477936031023773</v>
      </c>
      <c r="F11" s="2">
        <f t="shared" si="1"/>
        <v>8834.17</v>
      </c>
      <c r="G11" s="65">
        <v>8834.17</v>
      </c>
      <c r="H11" s="2"/>
      <c r="I11" s="63">
        <v>100032</v>
      </c>
      <c r="K11" s="18" t="s">
        <v>41</v>
      </c>
      <c r="L11" s="18" t="s">
        <v>40</v>
      </c>
      <c r="O11" s="13"/>
    </row>
    <row r="12" spans="1:15">
      <c r="A12" s="68"/>
      <c r="B12" s="68" t="str">
        <f>"行业股"&amp;" , "&amp;TEXT(SUM(E12:E18),"0.00%")</f>
        <v>行业股 , 24.80%</v>
      </c>
      <c r="C12" s="20" t="str">
        <f>"养老产业"&amp;" , "&amp;TEXT(SUM(E12:E12),"0.00%")</f>
        <v>养老产业 , 6.45%</v>
      </c>
      <c r="D12" s="10" t="s">
        <v>11</v>
      </c>
      <c r="E12" s="11">
        <f t="shared" si="0"/>
        <v>6.4488948919799435E-2</v>
      </c>
      <c r="F12" s="2">
        <f t="shared" si="1"/>
        <v>5437.2</v>
      </c>
      <c r="G12" s="65">
        <v>5437.2</v>
      </c>
      <c r="I12" s="63">
        <v>968</v>
      </c>
      <c r="K12" s="18" t="s">
        <v>37</v>
      </c>
      <c r="L12" s="1">
        <f>SUM($F$2:$F$33)/($K$2+$K$8+K$10)</f>
        <v>7.8510444269359242E-2</v>
      </c>
      <c r="N12" s="12"/>
      <c r="O12" s="12"/>
    </row>
    <row r="13" spans="1:15">
      <c r="A13" s="68"/>
      <c r="B13" s="68"/>
      <c r="C13" s="20" t="str">
        <f>"全指医药"&amp;" , "&amp;TEXT(SUM(E13:E13),"0.00%")</f>
        <v>全指医药 , 6.02%</v>
      </c>
      <c r="D13" s="20" t="s">
        <v>7</v>
      </c>
      <c r="E13" s="11">
        <f t="shared" si="0"/>
        <v>6.0159322289606763E-2</v>
      </c>
      <c r="F13" s="2">
        <f t="shared" si="1"/>
        <v>5072.16</v>
      </c>
      <c r="G13" s="65">
        <v>5072.16</v>
      </c>
      <c r="H13" s="2"/>
      <c r="I13" s="63">
        <v>1180</v>
      </c>
      <c r="K13" s="18" t="s">
        <v>39</v>
      </c>
      <c r="L13" s="1">
        <f>SUM($F$34:$F$36)/($K$2+$K$8+K$10)</f>
        <v>6.0405985252692937E-3</v>
      </c>
      <c r="O13" s="13"/>
    </row>
    <row r="14" spans="1:15">
      <c r="A14" s="68"/>
      <c r="B14" s="68"/>
      <c r="C14" s="20" t="str">
        <f>"中证传媒"&amp;" , "&amp;TEXT(SUM(E14:E14),"0.00%")</f>
        <v>中证传媒 , 3.59%</v>
      </c>
      <c r="D14" s="10" t="s">
        <v>28</v>
      </c>
      <c r="E14" s="11">
        <f t="shared" si="0"/>
        <v>3.5923067762974055E-2</v>
      </c>
      <c r="F14" s="2">
        <f t="shared" si="1"/>
        <v>3028.75</v>
      </c>
      <c r="G14" s="65">
        <v>3028.75</v>
      </c>
      <c r="H14" s="2"/>
      <c r="I14" s="63">
        <v>4752</v>
      </c>
      <c r="K14" s="18" t="s">
        <v>38</v>
      </c>
      <c r="L14" s="1">
        <f>(F37+SUM($K$8:$K$10))/($K$2+$K$8+K$10)</f>
        <v>0.92040190722658732</v>
      </c>
      <c r="N14" s="12"/>
      <c r="O14" s="12"/>
    </row>
    <row r="15" spans="1:15">
      <c r="A15" s="68"/>
      <c r="B15" s="68"/>
      <c r="C15" s="20" t="str">
        <f>"中证环保"&amp;" , "&amp;TEXT(SUM(E15:E15),"0.00%")</f>
        <v>中证环保 , 3.70%</v>
      </c>
      <c r="D15" s="10" t="s">
        <v>29</v>
      </c>
      <c r="E15" s="11">
        <f t="shared" si="0"/>
        <v>3.7020063070410281E-2</v>
      </c>
      <c r="F15" s="2">
        <f t="shared" si="1"/>
        <v>3121.24</v>
      </c>
      <c r="G15" s="65">
        <v>3121.24</v>
      </c>
      <c r="I15" s="63">
        <v>1064</v>
      </c>
      <c r="K15" s="19"/>
      <c r="L15" s="19"/>
      <c r="O15" s="13"/>
    </row>
    <row r="16" spans="1:15">
      <c r="A16" s="68"/>
      <c r="B16" s="68"/>
      <c r="C16" s="20" t="str">
        <f>"全指消费"&amp;" , "&amp;TEXT(SUM(E16:E16),"0.00%")</f>
        <v>全指消费 , 3.37%</v>
      </c>
      <c r="D16" s="10" t="s">
        <v>12</v>
      </c>
      <c r="E16" s="11">
        <f t="shared" si="0"/>
        <v>3.3709744221827181E-2</v>
      </c>
      <c r="F16" s="2">
        <f t="shared" si="1"/>
        <v>2842.14</v>
      </c>
      <c r="G16" s="65">
        <v>2842.14</v>
      </c>
      <c r="H16" s="2"/>
      <c r="I16" s="64">
        <v>110027</v>
      </c>
      <c r="K16" s="19"/>
      <c r="L16" s="19"/>
      <c r="M16" s="2"/>
      <c r="N16" s="12"/>
      <c r="O16" s="12"/>
    </row>
    <row r="17" spans="1:15" s="19" customFormat="1">
      <c r="A17" s="68"/>
      <c r="B17" s="68"/>
      <c r="C17" s="20" t="str">
        <f>"金融地产"&amp;" , "&amp;TEXT(SUM(E17:E17),"0.00%")</f>
        <v>金融地产 , 1.11%</v>
      </c>
      <c r="D17" s="10" t="s">
        <v>13</v>
      </c>
      <c r="E17" s="11">
        <f t="shared" si="0"/>
        <v>1.1131495685317841E-2</v>
      </c>
      <c r="F17" s="2">
        <f t="shared" si="1"/>
        <v>938.52</v>
      </c>
      <c r="G17" s="65">
        <v>938.52</v>
      </c>
      <c r="H17" s="14"/>
      <c r="I17" s="63">
        <v>1469</v>
      </c>
      <c r="M17" s="9"/>
      <c r="N17" s="12"/>
      <c r="O17" s="12"/>
    </row>
    <row r="18" spans="1:15">
      <c r="A18" s="68"/>
      <c r="B18" s="68"/>
      <c r="C18" s="20" t="str">
        <f>"证券公司"&amp;" , "&amp;TEXT(SUM(E18:E18),"0.00%")</f>
        <v>证券公司 , 0.56%</v>
      </c>
      <c r="D18" s="10" t="s">
        <v>30</v>
      </c>
      <c r="E18" s="11">
        <f t="shared" si="0"/>
        <v>5.5595802833566521E-3</v>
      </c>
      <c r="F18" s="2">
        <f t="shared" si="1"/>
        <v>468.74</v>
      </c>
      <c r="G18" s="65">
        <v>468.74</v>
      </c>
      <c r="H18" s="19"/>
      <c r="I18" s="63">
        <v>502010</v>
      </c>
      <c r="K18" s="19"/>
      <c r="L18" s="19"/>
      <c r="N18" s="12"/>
      <c r="O18" s="13"/>
    </row>
    <row r="19" spans="1:15">
      <c r="A19" s="68"/>
      <c r="B19" s="68" t="str">
        <f>"螺丝钉定投"&amp;" , "&amp;TEXT(SUM(E19:E28),"0.00%")</f>
        <v>螺丝钉定投 , 9.68%</v>
      </c>
      <c r="C19" s="68" t="str">
        <f>"大盘股"&amp;" , "&amp;TEXT(E26+E27+E28+E22,"0.00%")</f>
        <v>大盘股 , 2.63%</v>
      </c>
      <c r="D19" s="20" t="s">
        <v>65</v>
      </c>
      <c r="E19" s="11">
        <f t="shared" si="0"/>
        <v>1.3335008821981941E-2</v>
      </c>
      <c r="F19" s="2">
        <f t="shared" si="1"/>
        <v>1124.302864</v>
      </c>
      <c r="G19" s="2">
        <v>0</v>
      </c>
      <c r="H19" s="2">
        <f>螺丝钉计划!K5</f>
        <v>1124.302864</v>
      </c>
      <c r="I19" s="63">
        <v>0</v>
      </c>
      <c r="K19" s="19"/>
      <c r="L19" s="19"/>
      <c r="M19" s="19"/>
      <c r="N19" s="12"/>
    </row>
    <row r="20" spans="1:15">
      <c r="A20" s="68"/>
      <c r="B20" s="68"/>
      <c r="C20" s="68"/>
      <c r="D20" s="20" t="s">
        <v>66</v>
      </c>
      <c r="E20" s="11">
        <f t="shared" si="0"/>
        <v>1.8181999302116947E-2</v>
      </c>
      <c r="F20" s="2">
        <f t="shared" si="1"/>
        <v>1532.9629070000001</v>
      </c>
      <c r="G20" s="2">
        <v>0</v>
      </c>
      <c r="H20" s="2">
        <f>螺丝钉计划!K6</f>
        <v>1532.9629070000001</v>
      </c>
      <c r="I20" s="63">
        <v>0</v>
      </c>
      <c r="K20" s="20"/>
      <c r="L20" s="2"/>
      <c r="N20" s="12"/>
      <c r="O20" s="13"/>
    </row>
    <row r="21" spans="1:15">
      <c r="A21" s="68"/>
      <c r="B21" s="68"/>
      <c r="C21" s="68" t="str">
        <f>"中盘股"&amp;" , "&amp;TEXT(E20+E23,"0.00%")</f>
        <v>中盘股 , 3.14%</v>
      </c>
      <c r="D21" s="20" t="s">
        <v>67</v>
      </c>
      <c r="E21" s="11">
        <f t="shared" si="0"/>
        <v>1.754406349881844E-2</v>
      </c>
      <c r="F21" s="2">
        <f t="shared" si="1"/>
        <v>1479.177187</v>
      </c>
      <c r="G21" s="2">
        <v>0</v>
      </c>
      <c r="H21" s="2">
        <f>螺丝钉计划!K7</f>
        <v>1479.177187</v>
      </c>
      <c r="I21" s="63">
        <v>0</v>
      </c>
      <c r="N21" s="12"/>
    </row>
    <row r="22" spans="1:15">
      <c r="A22" s="68"/>
      <c r="B22" s="68"/>
      <c r="C22" s="68"/>
      <c r="D22" s="21" t="s">
        <v>68</v>
      </c>
      <c r="E22" s="11">
        <f t="shared" si="0"/>
        <v>1.7020159687598888E-2</v>
      </c>
      <c r="F22" s="2">
        <f t="shared" si="1"/>
        <v>1435.0057459999998</v>
      </c>
      <c r="G22" s="2">
        <v>0</v>
      </c>
      <c r="H22" s="2">
        <f>螺丝钉计划!K8</f>
        <v>1435.0057459999998</v>
      </c>
      <c r="I22" s="63">
        <v>0</v>
      </c>
      <c r="O22" s="13"/>
    </row>
    <row r="23" spans="1:15">
      <c r="A23" s="68"/>
      <c r="B23" s="68"/>
      <c r="C23" s="68" t="str">
        <f>"螺丝钉红利"&amp;" , "&amp;TEXT(E21+E24,"0.00%")</f>
        <v>螺丝钉红利 , 2.22%</v>
      </c>
      <c r="D23" s="20" t="s">
        <v>69</v>
      </c>
      <c r="E23" s="11">
        <f t="shared" si="0"/>
        <v>1.3227145907373698E-2</v>
      </c>
      <c r="F23" s="2">
        <f t="shared" si="1"/>
        <v>1115.208713</v>
      </c>
      <c r="G23" s="2">
        <v>0</v>
      </c>
      <c r="H23" s="2">
        <f>螺丝钉计划!K9</f>
        <v>1115.208713</v>
      </c>
      <c r="I23" s="63">
        <v>0</v>
      </c>
      <c r="M23" s="2"/>
      <c r="N23" s="12"/>
      <c r="O23" s="12"/>
    </row>
    <row r="24" spans="1:15">
      <c r="A24" s="68"/>
      <c r="B24" s="68"/>
      <c r="C24" s="68"/>
      <c r="D24" s="20" t="s">
        <v>70</v>
      </c>
      <c r="E24" s="11">
        <f t="shared" si="0"/>
        <v>4.6447835850883593E-3</v>
      </c>
      <c r="F24" s="2">
        <f t="shared" si="1"/>
        <v>391.61155099999996</v>
      </c>
      <c r="G24" s="2">
        <v>0</v>
      </c>
      <c r="H24" s="2">
        <f>螺丝钉计划!K10</f>
        <v>391.61155099999996</v>
      </c>
      <c r="I24" s="63">
        <v>0</v>
      </c>
      <c r="O24" s="13"/>
    </row>
    <row r="25" spans="1:15">
      <c r="A25" s="68"/>
      <c r="B25" s="68"/>
      <c r="C25" s="68" t="str">
        <f>"医药100"&amp;" , "&amp;TEXT(E25,"0.00%")</f>
        <v>医药100 , 0.35%</v>
      </c>
      <c r="D25" s="20" t="s">
        <v>71</v>
      </c>
      <c r="E25" s="11">
        <f t="shared" si="0"/>
        <v>3.5148632367446105E-3</v>
      </c>
      <c r="F25" s="2">
        <f t="shared" si="1"/>
        <v>296.34557100000001</v>
      </c>
      <c r="G25" s="2">
        <v>0</v>
      </c>
      <c r="H25" s="2">
        <f>螺丝钉计划!K11</f>
        <v>296.34557100000001</v>
      </c>
      <c r="I25" s="63">
        <v>0</v>
      </c>
      <c r="N25" s="12"/>
      <c r="O25" s="12"/>
    </row>
    <row r="26" spans="1:15">
      <c r="A26" s="68"/>
      <c r="B26" s="68"/>
      <c r="C26" s="68"/>
      <c r="D26" s="20" t="s">
        <v>72</v>
      </c>
      <c r="E26" s="11">
        <f t="shared" si="0"/>
        <v>2.974810098476945E-3</v>
      </c>
      <c r="F26" s="2">
        <f t="shared" si="1"/>
        <v>250.812546</v>
      </c>
      <c r="G26" s="2">
        <v>0</v>
      </c>
      <c r="H26" s="2">
        <f>螺丝钉计划!K12</f>
        <v>250.812546</v>
      </c>
      <c r="I26" s="63">
        <v>0</v>
      </c>
      <c r="O26" s="13"/>
    </row>
    <row r="27" spans="1:15">
      <c r="A27" s="68"/>
      <c r="B27" s="68"/>
      <c r="C27" s="68" t="str">
        <f>"海外新兴"&amp;" , "&amp;TEXT(E19,"0.00%")</f>
        <v>海外新兴 , 1.33%</v>
      </c>
      <c r="D27" s="23" t="s">
        <v>73</v>
      </c>
      <c r="E27" s="11">
        <f t="shared" si="0"/>
        <v>5.5109017185192358E-3</v>
      </c>
      <c r="F27" s="2">
        <f t="shared" si="1"/>
        <v>464.635807</v>
      </c>
      <c r="G27" s="2">
        <v>0</v>
      </c>
      <c r="H27" s="2">
        <f>螺丝钉计划!K13</f>
        <v>464.635807</v>
      </c>
      <c r="I27" s="63">
        <v>0</v>
      </c>
      <c r="J27" s="11"/>
      <c r="N27" s="12"/>
      <c r="O27" s="12"/>
    </row>
    <row r="28" spans="1:15">
      <c r="A28" s="68"/>
      <c r="B28" s="68"/>
      <c r="C28" s="68"/>
      <c r="D28" s="20" t="s">
        <v>74</v>
      </c>
      <c r="E28" s="11">
        <f t="shared" si="0"/>
        <v>8.0732293293063907E-4</v>
      </c>
      <c r="F28" s="2">
        <f t="shared" si="1"/>
        <v>68.06710799999999</v>
      </c>
      <c r="G28" s="2">
        <v>0</v>
      </c>
      <c r="H28" s="2">
        <f>螺丝钉计划!K14</f>
        <v>68.06710799999999</v>
      </c>
      <c r="I28" s="63">
        <v>0</v>
      </c>
      <c r="J28" s="11"/>
      <c r="O28" s="13"/>
    </row>
    <row r="29" spans="1:15">
      <c r="A29" s="68" t="str">
        <f>"海外新兴"&amp;" , "&amp;TEXT(SUM(E29:E30),"0.00%")</f>
        <v>海外新兴 , 2.32%</v>
      </c>
      <c r="B29" s="20" t="str">
        <f>"香港"&amp;" , "&amp;TEXT(SUM(E29:E29),"0.00%")</f>
        <v>香港 , 0.47%</v>
      </c>
      <c r="C29" s="20" t="str">
        <f>"恒生"&amp;" , "&amp;TEXT(SUM(E29:E29),"0.00%")</f>
        <v>恒生 , 0.47%</v>
      </c>
      <c r="D29" s="10" t="s">
        <v>14</v>
      </c>
      <c r="E29" s="11">
        <f t="shared" ref="E29:E37" si="2">F29/$F$38</f>
        <v>4.7336017644912746E-3</v>
      </c>
      <c r="F29" s="2">
        <f t="shared" si="1"/>
        <v>399.1</v>
      </c>
      <c r="G29" s="65">
        <v>399.1</v>
      </c>
      <c r="H29" s="14"/>
      <c r="I29" s="63">
        <v>71</v>
      </c>
      <c r="N29" s="12"/>
      <c r="O29" s="12"/>
    </row>
    <row r="30" spans="1:15">
      <c r="A30" s="68"/>
      <c r="B30" s="20" t="str">
        <f>"海外互联"&amp;" , "&amp;TEXT(SUM(E30:E30),"0.00%")</f>
        <v>海外互联 , 1.85%</v>
      </c>
      <c r="C30" s="20" t="str">
        <f>"海外互联网"&amp;" , "&amp;TEXT(SUM(E30:E30),"0.00%")</f>
        <v>海外互联网 , 1.85%</v>
      </c>
      <c r="D30" s="10" t="s">
        <v>15</v>
      </c>
      <c r="E30" s="11">
        <f t="shared" si="2"/>
        <v>1.847741463504891E-2</v>
      </c>
      <c r="F30" s="2">
        <f t="shared" si="1"/>
        <v>1557.87</v>
      </c>
      <c r="G30" s="65">
        <v>1557.87</v>
      </c>
      <c r="H30" s="14"/>
      <c r="I30" s="63">
        <v>164906</v>
      </c>
      <c r="J30" s="19"/>
      <c r="K30" s="13"/>
      <c r="L30" s="19"/>
      <c r="M30" s="19"/>
      <c r="O30" s="13"/>
    </row>
    <row r="31" spans="1:15">
      <c r="A31" s="22" t="str">
        <f>"海外成熟"&amp;" , "&amp;TEXT(SUM(E31:E31),"0.00%")</f>
        <v>海外成熟 , 2.43%</v>
      </c>
      <c r="B31" s="20" t="str">
        <f>"海外成熟"&amp;" , "&amp;TEXT(SUM(E31:E31),"0.00%")</f>
        <v>海外成熟 , 2.43%</v>
      </c>
      <c r="C31" s="20" t="str">
        <f>"德国30"&amp;" , "&amp;TEXT(SUM(E31:E31),"0.00%")</f>
        <v>德国30 , 2.43%</v>
      </c>
      <c r="D31" s="10" t="s">
        <v>16</v>
      </c>
      <c r="E31" s="11">
        <f t="shared" si="2"/>
        <v>2.4299116188751985E-2</v>
      </c>
      <c r="F31" s="2">
        <f t="shared" si="1"/>
        <v>2048.71</v>
      </c>
      <c r="G31" s="65">
        <v>2048.71</v>
      </c>
      <c r="H31" s="14"/>
      <c r="I31" s="63">
        <v>614</v>
      </c>
      <c r="J31" s="12"/>
      <c r="K31" s="12"/>
      <c r="L31" s="19"/>
      <c r="M31" s="19"/>
      <c r="N31" s="12"/>
      <c r="O31" s="12"/>
    </row>
    <row r="32" spans="1:15">
      <c r="A32" s="68" t="str">
        <f>"商品"&amp;" , "&amp;TEXT(SUM(E32:E33),"0.00%")</f>
        <v>商品 , 2.21%</v>
      </c>
      <c r="B32" s="20" t="str">
        <f>"原油"&amp;" , "&amp;TEXT(SUM(E32:E32),"0.00%")</f>
        <v>原油 , 1.11%</v>
      </c>
      <c r="C32" s="20" t="str">
        <f>"原油"&amp;" , "&amp;TEXT(SUM(E32:E32),"0.00%")</f>
        <v>原油 , 1.11%</v>
      </c>
      <c r="D32" s="10" t="s">
        <v>17</v>
      </c>
      <c r="E32" s="11">
        <f t="shared" si="2"/>
        <v>1.1105639379012176E-2</v>
      </c>
      <c r="F32" s="2">
        <f t="shared" si="1"/>
        <v>936.34</v>
      </c>
      <c r="G32" s="65">
        <v>936.34</v>
      </c>
      <c r="H32" s="14"/>
      <c r="I32" s="63">
        <v>162411</v>
      </c>
      <c r="J32" s="19"/>
      <c r="K32" s="12"/>
      <c r="L32" s="12"/>
      <c r="M32" s="19"/>
      <c r="N32" s="19"/>
      <c r="O32" s="13"/>
    </row>
    <row r="33" spans="1:16">
      <c r="A33" s="68"/>
      <c r="B33" s="20" t="str">
        <f>"黄金"&amp;" , "&amp;TEXT(SUM(E33:E33),"0.00%")</f>
        <v>黄金 , 1.10%</v>
      </c>
      <c r="C33" s="20" t="str">
        <f>"黄金"&amp;" , "&amp;TEXT(SUM(E33:E33),"0.00%")</f>
        <v>黄金 , 1.10%</v>
      </c>
      <c r="D33" s="10" t="s">
        <v>31</v>
      </c>
      <c r="E33" s="11">
        <f t="shared" si="2"/>
        <v>1.095121318263614E-2</v>
      </c>
      <c r="F33" s="2">
        <f t="shared" si="1"/>
        <v>923.32</v>
      </c>
      <c r="G33" s="65">
        <v>923.32</v>
      </c>
      <c r="H33" s="2"/>
      <c r="I33" s="63">
        <v>216</v>
      </c>
      <c r="J33" s="12"/>
      <c r="K33" s="19"/>
      <c r="L33" s="13"/>
      <c r="M33" s="19"/>
      <c r="N33" s="19"/>
      <c r="O33" s="12"/>
    </row>
    <row r="34" spans="1:16">
      <c r="A34" s="68" t="str">
        <f>"债券"&amp;" , "&amp;TEXT(SUM(E34:E36),"0.00%")</f>
        <v>债券 , 6.01%</v>
      </c>
      <c r="B34" s="68" t="str">
        <f>"国内债券"&amp;" , "&amp;TEXT(SUM(E34:E36),"0.00%")</f>
        <v>国内债券 , 6.01%</v>
      </c>
      <c r="C34" s="68" t="str">
        <f>"可转债"&amp;" , "&amp;TEXT(SUM(E34:E36),"0.00%")</f>
        <v>可转债 , 6.01%</v>
      </c>
      <c r="D34" s="10" t="s">
        <v>18</v>
      </c>
      <c r="E34" s="11">
        <f t="shared" si="2"/>
        <v>2.1197545501168754E-2</v>
      </c>
      <c r="F34" s="2">
        <f t="shared" si="1"/>
        <v>1787.21</v>
      </c>
      <c r="G34" s="65">
        <v>1787.21</v>
      </c>
      <c r="H34" s="2"/>
      <c r="I34" s="63">
        <v>340001</v>
      </c>
      <c r="J34" s="19"/>
      <c r="K34" s="12"/>
      <c r="L34" s="12"/>
      <c r="M34" s="19"/>
      <c r="N34" s="19"/>
      <c r="O34" s="13"/>
    </row>
    <row r="35" spans="1:16">
      <c r="A35" s="68"/>
      <c r="B35" s="68"/>
      <c r="C35" s="68"/>
      <c r="D35" s="10" t="s">
        <v>19</v>
      </c>
      <c r="E35" s="11">
        <f t="shared" si="2"/>
        <v>5.1812242415443946E-3</v>
      </c>
      <c r="F35" s="2">
        <f t="shared" si="1"/>
        <v>436.84</v>
      </c>
      <c r="G35" s="65">
        <v>436.84</v>
      </c>
      <c r="H35" s="2"/>
      <c r="I35" s="63">
        <v>519977</v>
      </c>
      <c r="J35" s="12"/>
      <c r="K35" s="19"/>
      <c r="L35" s="13"/>
      <c r="M35" s="19"/>
      <c r="N35" s="19"/>
      <c r="O35" s="12"/>
    </row>
    <row r="36" spans="1:16">
      <c r="A36" s="68"/>
      <c r="B36" s="68"/>
      <c r="C36" s="68"/>
      <c r="D36" s="10" t="s">
        <v>20</v>
      </c>
      <c r="E36" s="11">
        <f t="shared" si="2"/>
        <v>3.3709744221827181E-2</v>
      </c>
      <c r="F36" s="2">
        <f t="shared" si="1"/>
        <v>2842.14</v>
      </c>
      <c r="G36" s="65">
        <v>2842.14</v>
      </c>
      <c r="H36" s="8"/>
      <c r="I36" s="63">
        <v>110027</v>
      </c>
      <c r="J36" s="19"/>
      <c r="K36" s="12"/>
      <c r="L36" s="12"/>
      <c r="M36" s="19"/>
      <c r="N36" s="19"/>
      <c r="P36" s="13"/>
    </row>
    <row r="37" spans="1:16">
      <c r="A37" s="22" t="str">
        <f>"现金"&amp;" , "&amp;TEXT(SUM(E37:E37),"0.00%")</f>
        <v>现金 , 15.89%</v>
      </c>
      <c r="B37" s="10" t="str">
        <f>"低风险理财"&amp;" , "&amp;TEXT(SUM(E37:E37),"0.00%")</f>
        <v>低风险理财 , 15.89%</v>
      </c>
      <c r="C37" s="20" t="str">
        <f>"货币基金"&amp;" , "&amp;TEXT(SUM(E37:E37),"0.00%")</f>
        <v>货币基金 , 15.89%</v>
      </c>
      <c r="D37" s="10" t="s">
        <v>21</v>
      </c>
      <c r="E37" s="11">
        <f t="shared" si="2"/>
        <v>0.15893325894307961</v>
      </c>
      <c r="F37" s="2">
        <f t="shared" si="1"/>
        <v>13400</v>
      </c>
      <c r="G37" s="2">
        <f>养老金计划!W34</f>
        <v>13400</v>
      </c>
      <c r="H37" s="8"/>
      <c r="I37" s="8"/>
      <c r="J37" s="12"/>
      <c r="K37" s="19"/>
      <c r="L37" s="13"/>
      <c r="M37" s="19"/>
      <c r="N37" s="19"/>
      <c r="O37" s="12"/>
    </row>
    <row r="38" spans="1:16">
      <c r="D38" s="8" t="s">
        <v>4</v>
      </c>
      <c r="E38" s="13">
        <f>SUM(E2:E37)</f>
        <v>1</v>
      </c>
      <c r="F38" s="2">
        <f>SUM(F2:F37)</f>
        <v>84312.12</v>
      </c>
      <c r="I38" s="8"/>
      <c r="J38" s="19"/>
      <c r="K38" s="12"/>
      <c r="L38" s="12"/>
      <c r="M38" s="19"/>
      <c r="N38" s="19"/>
      <c r="P38" s="13"/>
    </row>
    <row r="39" spans="1:16">
      <c r="D39" s="8" t="s">
        <v>5</v>
      </c>
      <c r="E39" s="15">
        <f>F38/$K$2-1</f>
        <v>5.1822441466635949E-2</v>
      </c>
      <c r="J39" s="19"/>
      <c r="K39" s="12"/>
      <c r="L39" s="12"/>
      <c r="M39" s="19"/>
      <c r="N39" s="19"/>
      <c r="O39" s="12"/>
    </row>
    <row r="40" spans="1:16" ht="15">
      <c r="A40" s="16"/>
      <c r="B40" s="8"/>
      <c r="C40" s="2"/>
      <c r="J40" s="19"/>
      <c r="K40" s="12"/>
      <c r="L40" s="13"/>
      <c r="M40" s="19"/>
      <c r="N40" s="19"/>
      <c r="P40" s="13"/>
    </row>
    <row r="41" spans="1:16" ht="15">
      <c r="C41" s="2"/>
      <c r="J41" s="19"/>
      <c r="K41" s="12"/>
      <c r="L41" s="19"/>
      <c r="M41" s="19"/>
      <c r="N41" s="19"/>
    </row>
    <row r="42" spans="1:16" ht="15">
      <c r="C42" s="2"/>
      <c r="D42" s="8"/>
      <c r="E42" s="8"/>
      <c r="F42" s="8"/>
      <c r="J42" s="19"/>
      <c r="K42" s="12"/>
      <c r="L42" s="13"/>
      <c r="M42" s="19"/>
      <c r="N42" s="19"/>
    </row>
    <row r="43" spans="1:16" ht="15">
      <c r="C43" s="2"/>
      <c r="D43" s="1"/>
      <c r="E43" s="1"/>
      <c r="F43" s="1"/>
      <c r="J43" s="19"/>
      <c r="K43" s="12"/>
      <c r="L43" s="19"/>
      <c r="M43" s="19"/>
      <c r="N43" s="19"/>
    </row>
    <row r="44" spans="1:16" ht="15">
      <c r="A44" s="8"/>
      <c r="B44" s="2"/>
      <c r="C44" s="2"/>
      <c r="D44" s="1"/>
      <c r="J44" s="19"/>
      <c r="K44" s="19"/>
      <c r="L44" s="13"/>
      <c r="M44" s="19"/>
      <c r="N44" s="19"/>
    </row>
    <row r="45" spans="1:16" ht="15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 ht="15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 ht="15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 ht="15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 ht="15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 ht="15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 ht="15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 ht="15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 ht="15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 ht="15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 ht="15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 ht="15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 ht="15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D61" s="1"/>
      <c r="E61" s="1"/>
      <c r="F61" s="1"/>
      <c r="J61" s="19"/>
      <c r="K61" s="19"/>
      <c r="L61" s="19"/>
      <c r="M61" s="19"/>
    </row>
    <row r="62" spans="1:14">
      <c r="A62" s="8"/>
      <c r="B62" s="7"/>
      <c r="D62" s="1"/>
      <c r="E62" s="1"/>
      <c r="F62" s="1"/>
      <c r="J62" s="19"/>
      <c r="K62" s="19"/>
      <c r="L62" s="19"/>
      <c r="M62" s="19"/>
    </row>
    <row r="63" spans="1:14">
      <c r="A63" s="8"/>
      <c r="B63" s="8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2"/>
      <c r="D65" s="1"/>
      <c r="E65" s="1"/>
      <c r="F65" s="1"/>
    </row>
    <row r="66" spans="1:6">
      <c r="A66" s="8"/>
      <c r="C66" s="2"/>
      <c r="D66" s="1"/>
      <c r="E66" s="1"/>
      <c r="F66" s="1"/>
    </row>
    <row r="67" spans="1:6">
      <c r="C67" s="2"/>
      <c r="D67" s="3"/>
      <c r="E67" s="8"/>
    </row>
    <row r="68" spans="1:6">
      <c r="C68" s="2"/>
    </row>
    <row r="69" spans="1:6">
      <c r="B69" s="8"/>
      <c r="C69" s="2"/>
    </row>
    <row r="70" spans="1:6">
      <c r="A70" s="8"/>
      <c r="B70" s="8"/>
      <c r="C70" s="2"/>
    </row>
    <row r="71" spans="1:6">
      <c r="A71" s="8"/>
      <c r="B71" s="8"/>
      <c r="C71" s="2"/>
      <c r="D71" s="8"/>
    </row>
    <row r="72" spans="1:6">
      <c r="A72" s="8"/>
      <c r="B72" s="8"/>
      <c r="C72" s="2"/>
      <c r="D72" s="1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5"/>
      <c r="D80" s="1"/>
    </row>
    <row r="81" spans="1:4">
      <c r="A81" s="8"/>
      <c r="B81" s="8"/>
      <c r="C81" s="2"/>
      <c r="D81" s="1"/>
    </row>
    <row r="82" spans="1:4">
      <c r="A82" s="8"/>
      <c r="B82" s="8"/>
      <c r="C82" s="2"/>
      <c r="D82" s="1"/>
    </row>
    <row r="83" spans="1:4">
      <c r="A83" s="8"/>
      <c r="B83" s="17"/>
      <c r="C83" s="2"/>
      <c r="D83" s="1"/>
    </row>
    <row r="84" spans="1:4">
      <c r="A84" s="17"/>
      <c r="B84" s="8"/>
      <c r="C84" s="2"/>
      <c r="D84" s="1"/>
    </row>
    <row r="85" spans="1:4">
      <c r="A85" s="8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D99" s="1"/>
    </row>
    <row r="100" spans="1:4">
      <c r="D100" s="1"/>
    </row>
    <row r="101" spans="1:4">
      <c r="D101" s="6"/>
    </row>
  </sheetData>
  <mergeCells count="18"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  <mergeCell ref="C34:C36"/>
    <mergeCell ref="C9:C10"/>
    <mergeCell ref="C25:C26"/>
    <mergeCell ref="A32:A33"/>
    <mergeCell ref="A34:A36"/>
    <mergeCell ref="B34:B36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5 E43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2019-08-11T04:02:28Z</dcterms:modified>
</cp:coreProperties>
</file>