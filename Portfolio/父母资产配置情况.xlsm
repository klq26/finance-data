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51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finance-data\Portfolio\"/>
    </mc:Choice>
  </mc:AlternateContent>
  <xr:revisionPtr revIDLastSave="0" documentId="13_ncr:1_{65A1D00A-E90C-42C0-847F-574B4906892D}" xr6:coauthVersionLast="36" xr6:coauthVersionMax="44" xr10:uidLastSave="{00000000-0000-0000-0000-000000000000}"/>
  <bookViews>
    <workbookView xWindow="-120" yWindow="-120" windowWidth="38640" windowHeight="21240" tabRatio="711" xr2:uid="{00000000-000D-0000-FFFF-FFFF00000000}"/>
  </bookViews>
  <sheets>
    <sheet name="养老金计划" sheetId="13" r:id="rId1"/>
    <sheet name="螺丝钉计划" sheetId="16" r:id="rId2"/>
    <sheet name="天天基金网" sheetId="14" r:id="rId3"/>
    <sheet name="持仓市值汇总" sheetId="15" r:id="rId4"/>
    <sheet name="资产配置情况" sheetId="11" r:id="rId5"/>
  </sheets>
  <calcPr calcId="191029"/>
</workbook>
</file>

<file path=xl/calcChain.xml><?xml version="1.0" encoding="utf-8"?>
<calcChain xmlns="http://schemas.openxmlformats.org/spreadsheetml/2006/main">
  <c r="L6" i="11" l="1"/>
  <c r="K6" i="11"/>
  <c r="I16" i="16"/>
  <c r="I15" i="16"/>
  <c r="H20" i="11"/>
  <c r="H21" i="11"/>
  <c r="H22" i="11"/>
  <c r="H23" i="11"/>
  <c r="H24" i="11"/>
  <c r="H25" i="11"/>
  <c r="H26" i="11"/>
  <c r="H27" i="11"/>
  <c r="H28" i="11"/>
  <c r="H29" i="11"/>
  <c r="H19" i="11"/>
  <c r="F4" i="16" l="1"/>
  <c r="E4" i="16"/>
  <c r="C4" i="16"/>
  <c r="B4" i="16"/>
  <c r="J5" i="16" l="1"/>
  <c r="J6" i="16"/>
  <c r="J7" i="16"/>
  <c r="J8" i="16"/>
  <c r="J9" i="16"/>
  <c r="J10" i="16"/>
  <c r="J11" i="16"/>
  <c r="J4" i="16"/>
  <c r="J12" i="16"/>
  <c r="J13" i="16"/>
  <c r="J3" i="16"/>
  <c r="I6" i="16"/>
  <c r="K6" i="16" s="1"/>
  <c r="I7" i="16"/>
  <c r="I8" i="16"/>
  <c r="K8" i="16" s="1"/>
  <c r="I5" i="16"/>
  <c r="K5" i="16" s="1"/>
  <c r="I9" i="16"/>
  <c r="K9" i="16" s="1"/>
  <c r="I10" i="16"/>
  <c r="K10" i="16" s="1"/>
  <c r="I4" i="16"/>
  <c r="K4" i="16" s="1"/>
  <c r="I11" i="16"/>
  <c r="K11" i="16" s="1"/>
  <c r="I12" i="16"/>
  <c r="K12" i="16" s="1"/>
  <c r="I13" i="16"/>
  <c r="K13" i="16" s="1"/>
  <c r="I3" i="16"/>
  <c r="F29" i="11"/>
  <c r="K3" i="16" l="1"/>
  <c r="K7" i="16"/>
  <c r="F35" i="11" l="1"/>
  <c r="F36" i="11"/>
  <c r="F37" i="1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30" i="11"/>
  <c r="F31" i="11"/>
  <c r="F32" i="11"/>
  <c r="F33" i="11"/>
  <c r="F34" i="11"/>
  <c r="F2" i="11"/>
  <c r="L2" i="11" l="1"/>
  <c r="F25" i="11" l="1"/>
  <c r="F26" i="11"/>
  <c r="F22" i="11"/>
  <c r="F21" i="11"/>
  <c r="F28" i="11"/>
  <c r="F27" i="11"/>
  <c r="F24" i="11"/>
  <c r="F23" i="11"/>
  <c r="F19" i="11"/>
  <c r="F20" i="11"/>
  <c r="K2" i="11"/>
  <c r="C35" i="13"/>
  <c r="C36" i="13" s="1"/>
  <c r="D35" i="13"/>
  <c r="D36" i="13" s="1"/>
  <c r="E35" i="13"/>
  <c r="E36" i="13" s="1"/>
  <c r="F35" i="13"/>
  <c r="F36" i="13" s="1"/>
  <c r="G35" i="13"/>
  <c r="G36" i="13" s="1"/>
  <c r="H35" i="13"/>
  <c r="H36" i="13" s="1"/>
  <c r="I35" i="13"/>
  <c r="I36" i="13" s="1"/>
  <c r="J35" i="13"/>
  <c r="J36" i="13" s="1"/>
  <c r="K35" i="13"/>
  <c r="K36" i="13" s="1"/>
  <c r="L35" i="13"/>
  <c r="L36" i="13" s="1"/>
  <c r="M35" i="13"/>
  <c r="M36" i="13" s="1"/>
  <c r="N35" i="13"/>
  <c r="N36" i="13" s="1"/>
  <c r="O35" i="13"/>
  <c r="O36" i="13" s="1"/>
  <c r="P35" i="13"/>
  <c r="P36" i="13" s="1"/>
  <c r="Q35" i="13"/>
  <c r="Q36" i="13" s="1"/>
  <c r="R35" i="13"/>
  <c r="R36" i="13" s="1"/>
  <c r="S35" i="13"/>
  <c r="S36" i="13" s="1"/>
  <c r="T35" i="13"/>
  <c r="T36" i="13" s="1"/>
  <c r="U35" i="13"/>
  <c r="U36" i="13" s="1"/>
  <c r="V35" i="13"/>
  <c r="V36" i="13" s="1"/>
  <c r="B35" i="13"/>
  <c r="W35" i="13" l="1"/>
  <c r="G38" i="11" s="1"/>
  <c r="F38" i="11" s="1"/>
  <c r="B36" i="13"/>
  <c r="W36" i="13" s="1"/>
  <c r="L14" i="11" l="1"/>
  <c r="L13" i="11" l="1"/>
  <c r="L12" i="11" l="1"/>
  <c r="F39" i="11"/>
  <c r="E29" i="11" l="1"/>
  <c r="C29" i="11" s="1"/>
  <c r="L4" i="11"/>
  <c r="E40" i="11"/>
  <c r="E27" i="11"/>
  <c r="E17" i="11"/>
  <c r="C17" i="11" s="1"/>
  <c r="E10" i="11"/>
  <c r="E5" i="11"/>
  <c r="E14" i="11"/>
  <c r="C14" i="11" s="1"/>
  <c r="E12" i="11"/>
  <c r="C12" i="11" s="1"/>
  <c r="E30" i="11"/>
  <c r="C30" i="11" s="1"/>
  <c r="E7" i="11"/>
  <c r="E3" i="11"/>
  <c r="E31" i="11"/>
  <c r="C31" i="11" s="1"/>
  <c r="E26" i="11"/>
  <c r="E38" i="11"/>
  <c r="C38" i="11" s="1"/>
  <c r="E37" i="11"/>
  <c r="E36" i="11"/>
  <c r="E19" i="11"/>
  <c r="E32" i="11"/>
  <c r="C32" i="11" s="1"/>
  <c r="E18" i="11"/>
  <c r="C18" i="11" s="1"/>
  <c r="E15" i="11"/>
  <c r="C15" i="11" s="1"/>
  <c r="E34" i="11"/>
  <c r="C34" i="11" s="1"/>
  <c r="E11" i="11"/>
  <c r="C11" i="11" s="1"/>
  <c r="E8" i="11"/>
  <c r="C8" i="11" s="1"/>
  <c r="E13" i="11"/>
  <c r="C13" i="11" s="1"/>
  <c r="E2" i="11"/>
  <c r="E9" i="11"/>
  <c r="E35" i="11"/>
  <c r="E16" i="11"/>
  <c r="C16" i="11" s="1"/>
  <c r="E33" i="11"/>
  <c r="B33" i="11" s="1"/>
  <c r="E24" i="11"/>
  <c r="E23" i="11"/>
  <c r="C23" i="11" s="1"/>
  <c r="E20" i="11"/>
  <c r="E28" i="11"/>
  <c r="E4" i="11"/>
  <c r="E6" i="11"/>
  <c r="E21" i="11"/>
  <c r="E25" i="11"/>
  <c r="E22" i="11"/>
  <c r="C25" i="11" l="1"/>
  <c r="C19" i="11"/>
  <c r="C27" i="11"/>
  <c r="A38" i="11"/>
  <c r="B38" i="11"/>
  <c r="C3" i="11"/>
  <c r="B11" i="11"/>
  <c r="B34" i="11"/>
  <c r="A33" i="11"/>
  <c r="C33" i="11"/>
  <c r="B30" i="11"/>
  <c r="A30" i="11"/>
  <c r="A35" i="11"/>
  <c r="C9" i="11"/>
  <c r="A32" i="11"/>
  <c r="B32" i="11"/>
  <c r="B31" i="11"/>
  <c r="E39" i="11"/>
  <c r="B2" i="11"/>
  <c r="C35" i="11"/>
  <c r="B12" i="11"/>
  <c r="C2" i="11"/>
  <c r="B35" i="11"/>
  <c r="B5" i="11"/>
  <c r="C5" i="11"/>
  <c r="B19" i="11"/>
  <c r="A2" i="11"/>
</calcChain>
</file>

<file path=xl/sharedStrings.xml><?xml version="1.0" encoding="utf-8"?>
<sst xmlns="http://schemas.openxmlformats.org/spreadsheetml/2006/main" count="323" uniqueCount="172">
  <si>
    <t>大类目</t>
    <rPh sb="0" eb="1">
      <t>da'lei'm</t>
    </rPh>
    <phoneticPr fontId="2" type="noConversion"/>
  </si>
  <si>
    <t>二级类目</t>
    <rPh sb="0" eb="1">
      <t>er'ji</t>
    </rPh>
    <rPh sb="2" eb="3">
      <t>lei'mu</t>
    </rPh>
    <phoneticPr fontId="2" type="noConversion"/>
  </si>
  <si>
    <t>品种</t>
    <rPh sb="0" eb="1">
      <t>pin'z</t>
    </rPh>
    <rPh sb="1" eb="2">
      <t>zhong</t>
    </rPh>
    <phoneticPr fontId="2" type="noConversion"/>
  </si>
  <si>
    <t>天天基金</t>
    <rPh sb="0" eb="1">
      <t>tian't'j'j</t>
    </rPh>
    <phoneticPr fontId="2" type="noConversion"/>
  </si>
  <si>
    <t>总市值</t>
    <rPh sb="0" eb="1">
      <t>zong'shi'zhi</t>
    </rPh>
    <phoneticPr fontId="2" type="noConversion"/>
  </si>
  <si>
    <t>总收益率</t>
    <rPh sb="0" eb="1">
      <t>zong</t>
    </rPh>
    <rPh sb="1" eb="2">
      <t>shou'yi'l</t>
    </rPh>
    <phoneticPr fontId="2" type="noConversion"/>
  </si>
  <si>
    <t>市值占比</t>
    <rPh sb="0" eb="1">
      <t>zui'x</t>
    </rPh>
    <rPh sb="2" eb="3">
      <t>zhan'bi</t>
    </rPh>
    <phoneticPr fontId="2" type="noConversion"/>
  </si>
  <si>
    <t>广发医药</t>
    <phoneticPr fontId="2" type="noConversion"/>
  </si>
  <si>
    <t>基金</t>
    <phoneticPr fontId="2" type="noConversion"/>
  </si>
  <si>
    <t>易方达创业板</t>
    <phoneticPr fontId="2" type="noConversion"/>
  </si>
  <si>
    <t>富国中证红利</t>
    <phoneticPr fontId="2" type="noConversion"/>
  </si>
  <si>
    <t>广发养老</t>
    <phoneticPr fontId="2" type="noConversion"/>
  </si>
  <si>
    <t>易方达消费</t>
    <phoneticPr fontId="2" type="noConversion"/>
  </si>
  <si>
    <t>广发金融地产</t>
    <phoneticPr fontId="2" type="noConversion"/>
  </si>
  <si>
    <t>华夏恒生</t>
    <phoneticPr fontId="2" type="noConversion"/>
  </si>
  <si>
    <t>交银海外互联网</t>
    <phoneticPr fontId="2" type="noConversion"/>
  </si>
  <si>
    <t>华安德国</t>
    <phoneticPr fontId="2" type="noConversion"/>
  </si>
  <si>
    <t>华宝油气</t>
    <phoneticPr fontId="2" type="noConversion"/>
  </si>
  <si>
    <t>兴全可转债</t>
    <phoneticPr fontId="2" type="noConversion"/>
  </si>
  <si>
    <t>长信可转债</t>
    <phoneticPr fontId="2" type="noConversion"/>
  </si>
  <si>
    <t>易方达安心债</t>
    <phoneticPr fontId="2" type="noConversion"/>
  </si>
  <si>
    <t>南方天天利</t>
    <phoneticPr fontId="2" type="noConversion"/>
  </si>
  <si>
    <t>华夏上证50</t>
    <phoneticPr fontId="2" type="noConversion"/>
  </si>
  <si>
    <t>养老金计划本金</t>
    <rPh sb="0" eb="1">
      <t>di'san'ci</t>
    </rPh>
    <rPh sb="2" eb="3">
      <t>lun</t>
    </rPh>
    <rPh sb="3" eb="4">
      <t>ji'h</t>
    </rPh>
    <phoneticPr fontId="2" type="noConversion"/>
  </si>
  <si>
    <t>富国沪深300</t>
    <phoneticPr fontId="2" type="noConversion"/>
  </si>
  <si>
    <t>富国中证500</t>
    <phoneticPr fontId="2" type="noConversion"/>
  </si>
  <si>
    <t>华宝中证1000</t>
    <phoneticPr fontId="2" type="noConversion"/>
  </si>
  <si>
    <t>广发创业板</t>
    <phoneticPr fontId="2" type="noConversion"/>
  </si>
  <si>
    <t>广发中证传媒</t>
    <phoneticPr fontId="2" type="noConversion"/>
  </si>
  <si>
    <t>广发中证环保</t>
    <phoneticPr fontId="2" type="noConversion"/>
  </si>
  <si>
    <t>易方达证券公司</t>
    <phoneticPr fontId="2" type="noConversion"/>
  </si>
  <si>
    <t>华安黄金</t>
    <phoneticPr fontId="2" type="noConversion"/>
  </si>
  <si>
    <t>老妈货币基金</t>
    <phoneticPr fontId="2" type="noConversion"/>
  </si>
  <si>
    <t>老爸货币基金</t>
    <phoneticPr fontId="2" type="noConversion"/>
  </si>
  <si>
    <t>货基收益</t>
    <phoneticPr fontId="2" type="noConversion"/>
  </si>
  <si>
    <t>权益类资金综合</t>
    <rPh sb="0" eb="1">
      <t>zi'j</t>
    </rPh>
    <rPh sb="2" eb="3">
      <t>ji'shu</t>
    </rPh>
    <phoneticPr fontId="2" type="noConversion"/>
  </si>
  <si>
    <t>总资金</t>
    <phoneticPr fontId="2" type="noConversion"/>
  </si>
  <si>
    <t>权益类</t>
    <phoneticPr fontId="2" type="noConversion"/>
  </si>
  <si>
    <t>低风险</t>
    <phoneticPr fontId="2" type="noConversion"/>
  </si>
  <si>
    <t>债券类</t>
    <phoneticPr fontId="2" type="noConversion"/>
  </si>
  <si>
    <t>占比</t>
    <phoneticPr fontId="2" type="noConversion"/>
  </si>
  <si>
    <t>资产分类</t>
    <phoneticPr fontId="2" type="noConversion"/>
  </si>
  <si>
    <t>华夏沪深300</t>
    <phoneticPr fontId="2" type="noConversion"/>
  </si>
  <si>
    <t>广发中证500C</t>
    <phoneticPr fontId="2" type="noConversion"/>
  </si>
  <si>
    <t>广发中证500A</t>
    <phoneticPr fontId="2" type="noConversion"/>
  </si>
  <si>
    <t>日期</t>
    <phoneticPr fontId="2" type="noConversion"/>
  </si>
  <si>
    <t>中证500</t>
    <phoneticPr fontId="2" type="noConversion"/>
  </si>
  <si>
    <t>中证红利</t>
    <phoneticPr fontId="2" type="noConversion"/>
  </si>
  <si>
    <t>养老产业</t>
    <phoneticPr fontId="2" type="noConversion"/>
  </si>
  <si>
    <t>全指医药</t>
    <phoneticPr fontId="2" type="noConversion"/>
  </si>
  <si>
    <t>沪深300</t>
    <phoneticPr fontId="2" type="noConversion"/>
  </si>
  <si>
    <t>中证传媒</t>
    <phoneticPr fontId="2" type="noConversion"/>
  </si>
  <si>
    <t>中证环保</t>
    <phoneticPr fontId="2" type="noConversion"/>
  </si>
  <si>
    <t>创业板</t>
    <phoneticPr fontId="2" type="noConversion"/>
  </si>
  <si>
    <t>上证50</t>
    <phoneticPr fontId="2" type="noConversion"/>
  </si>
  <si>
    <t>中证1000</t>
    <phoneticPr fontId="2" type="noConversion"/>
  </si>
  <si>
    <t>金融地产</t>
    <phoneticPr fontId="2" type="noConversion"/>
  </si>
  <si>
    <t>证券公司</t>
    <phoneticPr fontId="2" type="noConversion"/>
  </si>
  <si>
    <t>恒生</t>
    <phoneticPr fontId="2" type="noConversion"/>
  </si>
  <si>
    <t>全指消费</t>
    <phoneticPr fontId="2" type="noConversion"/>
  </si>
  <si>
    <t>德国30</t>
    <phoneticPr fontId="2" type="noConversion"/>
  </si>
  <si>
    <t>黄金</t>
    <phoneticPr fontId="2" type="noConversion"/>
  </si>
  <si>
    <t>总计</t>
    <phoneticPr fontId="2" type="noConversion"/>
  </si>
  <si>
    <t>海外互联</t>
    <phoneticPr fontId="2" type="noConversion"/>
  </si>
  <si>
    <t>现金剩余</t>
    <phoneticPr fontId="2" type="noConversion"/>
  </si>
  <si>
    <t>华宝香港中小</t>
  </si>
  <si>
    <t>景顺长城中证500低波动</t>
  </si>
  <si>
    <t>银河沪深300价值指数</t>
  </si>
  <si>
    <t>嘉实深证基本面120联接</t>
  </si>
  <si>
    <t>华宝红利基金</t>
  </si>
  <si>
    <t>天弘中证医药100A</t>
  </si>
  <si>
    <t>华夏上证50AH优选指数</t>
  </si>
  <si>
    <t>建信深证基本面60ETF联接A</t>
  </si>
  <si>
    <t>申万菱信沪深300价值指数</t>
  </si>
  <si>
    <t>螺丝钉计划</t>
    <phoneticPr fontId="2" type="noConversion"/>
  </si>
  <si>
    <t>螺丝钉收益</t>
    <phoneticPr fontId="2" type="noConversion"/>
  </si>
  <si>
    <t>养老金收益</t>
    <phoneticPr fontId="2" type="noConversion"/>
  </si>
  <si>
    <t>父母蛋卷</t>
    <rPh sb="0" eb="1">
      <t>tian't'j'j</t>
    </rPh>
    <phoneticPr fontId="2" type="noConversion"/>
  </si>
  <si>
    <t>基金代码</t>
  </si>
  <si>
    <t>基金简称</t>
  </si>
  <si>
    <t>基金类型</t>
  </si>
  <si>
    <t>净值日期</t>
  </si>
  <si>
    <t>单位净值</t>
  </si>
  <si>
    <t>持有份额</t>
  </si>
  <si>
    <t>参考市值</t>
  </si>
  <si>
    <t>关联银行卡</t>
  </si>
  <si>
    <t>工银货币</t>
  </si>
  <si>
    <t>货币型</t>
  </si>
  <si>
    <t>活期宝</t>
  </si>
  <si>
    <t>光大货币</t>
  </si>
  <si>
    <t>南方天天利货币Ｂ</t>
  </si>
  <si>
    <t>汇添富和聚宝货币</t>
  </si>
  <si>
    <t>富国富钱包货币</t>
  </si>
  <si>
    <t>华夏沪深300ETF联接A</t>
  </si>
  <si>
    <t>指数型</t>
  </si>
  <si>
    <t>指数宝</t>
  </si>
  <si>
    <t>广发养老指数A</t>
  </si>
  <si>
    <t>易方达创业板ETF联接A</t>
  </si>
  <si>
    <t>交银中证海外中国互联网指数</t>
  </si>
  <si>
    <t>QDII</t>
  </si>
  <si>
    <t>华夏恒生ETF联接A</t>
  </si>
  <si>
    <t>中国工商银行 | 0930</t>
  </si>
  <si>
    <t>华安黄金易ETF联接A</t>
  </si>
  <si>
    <t>华安德国30(DAX)联接</t>
  </si>
  <si>
    <t>华夏上证50ETF联接A</t>
  </si>
  <si>
    <t>广发中证环保ETF联接A</t>
  </si>
  <si>
    <t>广发医药卫生联接A</t>
  </si>
  <si>
    <t>广发中证全指金融地产联接A</t>
  </si>
  <si>
    <t>广发中证500ETF联接C</t>
  </si>
  <si>
    <t>广发创业板ETF联接A</t>
  </si>
  <si>
    <t>广发中证传媒ETF联接A</t>
  </si>
  <si>
    <t>富国中证红利指数增强</t>
  </si>
  <si>
    <t>富国沪深300指数增强</t>
  </si>
  <si>
    <t>易方达安心回报债券A</t>
  </si>
  <si>
    <t>债券型</t>
  </si>
  <si>
    <t>富国中证500指数(LOF)</t>
  </si>
  <si>
    <t>华宝标普油气上游股票</t>
  </si>
  <si>
    <t>华宝中证1000指数分级</t>
  </si>
  <si>
    <t>广发中证500ETF联接A</t>
  </si>
  <si>
    <t>兴全可转债混合</t>
  </si>
  <si>
    <t>混合型</t>
  </si>
  <si>
    <t>易方达证券公司分级</t>
  </si>
  <si>
    <t>长信可转债债券A</t>
  </si>
  <si>
    <t>代码</t>
    <phoneticPr fontId="2" type="noConversion"/>
  </si>
  <si>
    <t>d</t>
    <phoneticPr fontId="2" type="noConversion"/>
  </si>
  <si>
    <t>大成中证红利指数A</t>
  </si>
  <si>
    <t>工银货币</t>
    <phoneticPr fontId="2" type="noConversion"/>
  </si>
  <si>
    <t>光大货币</t>
    <phoneticPr fontId="2" type="noConversion"/>
  </si>
  <si>
    <t>南方天天利货币Ｂ</t>
    <phoneticPr fontId="2" type="noConversion"/>
  </si>
  <si>
    <t>汇添富和聚宝货币</t>
    <phoneticPr fontId="2" type="noConversion"/>
  </si>
  <si>
    <t>富国富钱包货币</t>
    <phoneticPr fontId="2" type="noConversion"/>
  </si>
  <si>
    <t>华夏沪深300ETF联接A</t>
    <phoneticPr fontId="2" type="noConversion"/>
  </si>
  <si>
    <t>广发养老指数A</t>
    <phoneticPr fontId="2" type="noConversion"/>
  </si>
  <si>
    <t>易方达创业板ETF联接A</t>
    <phoneticPr fontId="2" type="noConversion"/>
  </si>
  <si>
    <t>交银中证海外中国互联网指数</t>
    <phoneticPr fontId="2" type="noConversion"/>
  </si>
  <si>
    <t>华夏恒生ETF联接A</t>
    <phoneticPr fontId="2" type="noConversion"/>
  </si>
  <si>
    <t>华安黄金易ETF联接A</t>
    <phoneticPr fontId="2" type="noConversion"/>
  </si>
  <si>
    <t>华安德国30(DAX)联接</t>
    <phoneticPr fontId="2" type="noConversion"/>
  </si>
  <si>
    <t>华夏上证50ETF联接A</t>
    <phoneticPr fontId="2" type="noConversion"/>
  </si>
  <si>
    <t>广发中证环保ETF联接A</t>
    <phoneticPr fontId="2" type="noConversion"/>
  </si>
  <si>
    <t>广发医药卫生联接A</t>
    <phoneticPr fontId="2" type="noConversion"/>
  </si>
  <si>
    <t>广发中证全指金融地产联接A</t>
    <phoneticPr fontId="2" type="noConversion"/>
  </si>
  <si>
    <t>广发中证500ETF联接C</t>
    <phoneticPr fontId="2" type="noConversion"/>
  </si>
  <si>
    <t>广发创业板ETF联接A</t>
    <phoneticPr fontId="2" type="noConversion"/>
  </si>
  <si>
    <t>广发中证传媒ETF联接A</t>
    <phoneticPr fontId="2" type="noConversion"/>
  </si>
  <si>
    <t>富国中证红利指数增强</t>
    <phoneticPr fontId="2" type="noConversion"/>
  </si>
  <si>
    <t>富国沪深300指数增强</t>
    <phoneticPr fontId="2" type="noConversion"/>
  </si>
  <si>
    <t>易方达安心回报债券A</t>
    <phoneticPr fontId="2" type="noConversion"/>
  </si>
  <si>
    <t>富国中证500指数(LOF)</t>
    <phoneticPr fontId="2" type="noConversion"/>
  </si>
  <si>
    <t>华宝标普油气上游股票</t>
    <phoneticPr fontId="2" type="noConversion"/>
  </si>
  <si>
    <t>华宝中证1000指数分级</t>
    <phoneticPr fontId="2" type="noConversion"/>
  </si>
  <si>
    <t>广发中证500ETF联接A</t>
    <phoneticPr fontId="2" type="noConversion"/>
  </si>
  <si>
    <t>兴全可转债混合</t>
    <phoneticPr fontId="2" type="noConversion"/>
  </si>
  <si>
    <t>易方达证券公司分级</t>
    <phoneticPr fontId="2" type="noConversion"/>
  </si>
  <si>
    <t>长信可转债债券A</t>
    <phoneticPr fontId="2" type="noConversion"/>
  </si>
  <si>
    <t>广发中证养老</t>
  </si>
  <si>
    <t>持有金额（元）</t>
  </si>
  <si>
    <t>持有金额元）</t>
  </si>
  <si>
    <t>更多数据&gt;</t>
  </si>
  <si>
    <t>累计收益（元）</t>
  </si>
  <si>
    <t>更多数据）</t>
  </si>
  <si>
    <t>更多数据</t>
  </si>
  <si>
    <t>老妈螺丝钉</t>
    <phoneticPr fontId="2" type="noConversion"/>
  </si>
  <si>
    <t>老爸螺丝钉</t>
    <phoneticPr fontId="2" type="noConversion"/>
  </si>
  <si>
    <t>市值</t>
    <phoneticPr fontId="2" type="noConversion"/>
  </si>
  <si>
    <t>盈亏</t>
    <phoneticPr fontId="2" type="noConversion"/>
  </si>
  <si>
    <t>老妈</t>
    <phoneticPr fontId="2" type="noConversion"/>
  </si>
  <si>
    <t>老爸</t>
    <phoneticPr fontId="2" type="noConversion"/>
  </si>
  <si>
    <t>总额</t>
    <phoneticPr fontId="2" type="noConversion"/>
  </si>
  <si>
    <t>品种</t>
    <phoneticPr fontId="2" type="noConversion"/>
  </si>
  <si>
    <t>总金额</t>
    <phoneticPr fontId="2" type="noConversion"/>
  </si>
  <si>
    <t>总盈亏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</si>
</sst>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0.00_);[Red]\(0.00\)"/>
    <numFmt numFmtId="178" formatCode="#000000"/>
  </numFmts>
  <fonts count="10">
    <font>
      <sz val="11"/>
      <color theme="1"/>
      <name val="DengXian"/>
      <family val="2"/>
      <charset val="134"/>
      <scheme val="minor"/>
    </font>
    <font>
      <sz val="11"/>
      <color theme="1"/>
      <name val="DengXian"/>
      <family val="2"/>
      <charset val="134"/>
      <scheme val="minor"/>
    </font>
    <font>
      <sz val="9"/>
      <name val="DengXian"/>
      <family val="2"/>
      <charset val="134"/>
      <scheme val="minor"/>
    </font>
    <font>
      <u/>
      <sz val="11"/>
      <color theme="10"/>
      <name val="DengXian"/>
      <family val="2"/>
      <charset val="134"/>
      <scheme val="minor"/>
    </font>
    <font>
      <u/>
      <sz val="11"/>
      <color theme="11"/>
      <name val="DengXian"/>
      <family val="2"/>
      <charset val="134"/>
      <scheme val="minor"/>
    </font>
    <font>
      <b/>
      <sz val="11"/>
      <color rgb="FFFF0000"/>
      <name val="DengXian"/>
      <family val="4"/>
      <charset val="134"/>
      <scheme val="minor"/>
    </font>
    <font>
      <b/>
      <sz val="11"/>
      <color theme="1"/>
      <name val="DengXian"/>
      <family val="4"/>
      <charset val="134"/>
      <scheme val="minor"/>
    </font>
    <font>
      <sz val="11"/>
      <color rgb="FFFF0000"/>
      <name val="DengXian"/>
      <family val="4"/>
      <charset val="134"/>
      <scheme val="minor"/>
    </font>
    <font>
      <sz val="11"/>
      <color theme="1"/>
      <name val="DengXian"/>
      <family val="4"/>
      <charset val="134"/>
      <scheme val="minor"/>
    </font>
    <font>
      <b/>
      <sz val="11"/>
      <color rgb="FFFF0000"/>
      <name val="DengXian"/>
      <family val="4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66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500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84">
    <xf numFmtId="0" fontId="0" fillId="0" borderId="0" xfId="0">
      <alignment vertical="center"/>
    </xf>
    <xf numFmtId="10" fontId="0" fillId="0" borderId="0" xfId="1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0" fontId="5" fillId="0" borderId="0" xfId="1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9" fontId="0" fillId="0" borderId="0" xfId="1" applyFont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10" fontId="0" fillId="0" borderId="0" xfId="1" applyNumberFormat="1" applyFont="1" applyAlignment="1">
      <alignment vertical="center"/>
    </xf>
    <xf numFmtId="4" fontId="0" fillId="0" borderId="0" xfId="0" applyNumberFormat="1" applyAlignment="1">
      <alignment vertical="center"/>
    </xf>
    <xf numFmtId="10" fontId="0" fillId="0" borderId="0" xfId="0" applyNumberFormat="1" applyAlignment="1">
      <alignment vertical="center"/>
    </xf>
    <xf numFmtId="2" fontId="0" fillId="0" borderId="0" xfId="0" applyNumberFormat="1" applyFill="1" applyAlignment="1">
      <alignment horizontal="center" vertical="center"/>
    </xf>
    <xf numFmtId="10" fontId="9" fillId="0" borderId="0" xfId="1" applyNumberFormat="1" applyFont="1" applyAlignment="1">
      <alignment horizontal="right" vertical="center"/>
    </xf>
    <xf numFmtId="0" fontId="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10" fontId="0" fillId="0" borderId="0" xfId="1" applyNumberFormat="1" applyFont="1">
      <alignment vertical="center"/>
    </xf>
    <xf numFmtId="0" fontId="0" fillId="2" borderId="1" xfId="0" applyFill="1" applyBorder="1" applyAlignment="1">
      <alignment horizontal="right" vertical="center"/>
    </xf>
    <xf numFmtId="0" fontId="0" fillId="3" borderId="1" xfId="0" applyFill="1" applyBorder="1" applyAlignment="1">
      <alignment horizontal="right" vertical="center"/>
    </xf>
    <xf numFmtId="0" fontId="0" fillId="4" borderId="1" xfId="0" applyFill="1" applyBorder="1" applyAlignment="1">
      <alignment horizontal="right" vertical="center"/>
    </xf>
    <xf numFmtId="0" fontId="0" fillId="5" borderId="1" xfId="0" applyFill="1" applyBorder="1" applyAlignment="1">
      <alignment horizontal="right" vertical="center"/>
    </xf>
    <xf numFmtId="0" fontId="0" fillId="6" borderId="1" xfId="0" applyFill="1" applyBorder="1" applyAlignment="1">
      <alignment horizontal="right" vertical="center"/>
    </xf>
    <xf numFmtId="0" fontId="0" fillId="7" borderId="1" xfId="0" applyFill="1" applyBorder="1" applyAlignment="1">
      <alignment horizontal="right" vertical="center"/>
    </xf>
    <xf numFmtId="0" fontId="0" fillId="8" borderId="1" xfId="0" applyFill="1" applyBorder="1" applyAlignment="1">
      <alignment horizontal="right" vertical="center"/>
    </xf>
    <xf numFmtId="0" fontId="0" fillId="9" borderId="1" xfId="0" applyFill="1" applyBorder="1" applyAlignment="1">
      <alignment horizontal="right" vertical="center"/>
    </xf>
    <xf numFmtId="14" fontId="0" fillId="0" borderId="2" xfId="0" applyNumberFormat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10" fontId="0" fillId="2" borderId="1" xfId="1" applyNumberFormat="1" applyFont="1" applyFill="1" applyBorder="1" applyAlignment="1">
      <alignment horizontal="right" vertical="center"/>
    </xf>
    <xf numFmtId="10" fontId="0" fillId="3" borderId="1" xfId="1" applyNumberFormat="1" applyFont="1" applyFill="1" applyBorder="1" applyAlignment="1">
      <alignment horizontal="right" vertical="center"/>
    </xf>
    <xf numFmtId="10" fontId="0" fillId="4" borderId="1" xfId="1" applyNumberFormat="1" applyFont="1" applyFill="1" applyBorder="1" applyAlignment="1">
      <alignment horizontal="right" vertical="center"/>
    </xf>
    <xf numFmtId="10" fontId="0" fillId="5" borderId="1" xfId="1" applyNumberFormat="1" applyFont="1" applyFill="1" applyBorder="1" applyAlignment="1">
      <alignment horizontal="right" vertical="center"/>
    </xf>
    <xf numFmtId="10" fontId="0" fillId="6" borderId="1" xfId="1" applyNumberFormat="1" applyFont="1" applyFill="1" applyBorder="1" applyAlignment="1">
      <alignment horizontal="right" vertical="center"/>
    </xf>
    <xf numFmtId="10" fontId="0" fillId="7" borderId="1" xfId="1" applyNumberFormat="1" applyFont="1" applyFill="1" applyBorder="1" applyAlignment="1">
      <alignment horizontal="right" vertical="center"/>
    </xf>
    <xf numFmtId="10" fontId="0" fillId="8" borderId="1" xfId="1" applyNumberFormat="1" applyFont="1" applyFill="1" applyBorder="1" applyAlignment="1">
      <alignment horizontal="right" vertical="center"/>
    </xf>
    <xf numFmtId="10" fontId="0" fillId="9" borderId="1" xfId="1" applyNumberFormat="1" applyFont="1" applyFill="1" applyBorder="1" applyAlignment="1">
      <alignment horizontal="right" vertical="center"/>
    </xf>
    <xf numFmtId="177" fontId="0" fillId="0" borderId="0" xfId="0" applyNumberFormat="1">
      <alignment vertical="center"/>
    </xf>
    <xf numFmtId="58" fontId="0" fillId="0" borderId="0" xfId="0" applyNumberFormat="1">
      <alignment vertical="center"/>
    </xf>
    <xf numFmtId="0" fontId="0" fillId="10" borderId="0" xfId="0" applyFill="1">
      <alignment vertical="center"/>
    </xf>
    <xf numFmtId="178" fontId="0" fillId="10" borderId="0" xfId="0" applyNumberFormat="1" applyFill="1">
      <alignment vertical="center"/>
    </xf>
    <xf numFmtId="178" fontId="0" fillId="0" borderId="0" xfId="0" applyNumberFormat="1" applyFill="1">
      <alignment vertical="center"/>
    </xf>
    <xf numFmtId="0" fontId="0" fillId="0" borderId="0" xfId="0" applyFill="1" applyAlignment="1">
      <alignment vertical="center"/>
    </xf>
    <xf numFmtId="2" fontId="0" fillId="10" borderId="0" xfId="0" applyNumberFormat="1" applyFill="1" applyAlignment="1">
      <alignment horizontal="center" vertical="center"/>
    </xf>
    <xf numFmtId="2" fontId="0" fillId="10" borderId="0" xfId="0" applyNumberFormat="1" applyFill="1">
      <alignment vertical="center"/>
    </xf>
    <xf numFmtId="0" fontId="0" fillId="0" borderId="0" xfId="0" applyAlignment="1">
      <alignment horizontal="center" vertical="center" wrapText="1"/>
    </xf>
    <xf numFmtId="4" fontId="0" fillId="0" borderId="0" xfId="0" applyNumberFormat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4" fontId="0" fillId="0" borderId="5" xfId="0" applyNumberFormat="1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2" fontId="0" fillId="0" borderId="1" xfId="0" applyNumberFormat="1" applyBorder="1">
      <alignment vertical="center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wrapText="1"/>
    </xf>
    <xf numFmtId="2" fontId="0" fillId="0" borderId="6" xfId="0" applyNumberFormat="1" applyBorder="1" applyAlignment="1">
      <alignment horizontal="right" vertical="center" wrapText="1"/>
    </xf>
    <xf numFmtId="0" fontId="0" fillId="0" borderId="7" xfId="0" applyBorder="1" applyAlignment="1">
      <alignment horizontal="left" vertical="center" wrapText="1"/>
    </xf>
    <xf numFmtId="2" fontId="0" fillId="0" borderId="10" xfId="0" applyNumberFormat="1" applyBorder="1">
      <alignment vertical="center"/>
    </xf>
    <xf numFmtId="2" fontId="0" fillId="0" borderId="8" xfId="0" applyNumberFormat="1" applyBorder="1" applyAlignment="1">
      <alignment horizontal="right" vertical="center" wrapText="1"/>
    </xf>
    <xf numFmtId="0" fontId="0" fillId="0" borderId="1" xfId="0" applyFill="1" applyBorder="1" applyAlignment="1">
      <alignment horizontal="left" vertical="center" wrapText="1"/>
    </xf>
    <xf numFmtId="2" fontId="0" fillId="0" borderId="1" xfId="0" applyNumberFormat="1" applyFill="1" applyBorder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Border="1">
      <alignment vertical="center"/>
    </xf>
  </cellXfs>
  <cellStyles count="500">
    <cellStyle name="百分比" xfId="1" builtinId="5"/>
    <cellStyle name="常规" xfId="0" builtinId="0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超链接" xfId="14" builtinId="8" hidden="1"/>
    <cellStyle name="超链接" xfId="16" builtinId="8" hidden="1"/>
    <cellStyle name="超链接" xfId="18" builtinId="8" hidden="1"/>
    <cellStyle name="超链接" xfId="20" builtinId="8" hidden="1"/>
    <cellStyle name="超链接" xfId="22" builtinId="8" hidden="1"/>
    <cellStyle name="超链接" xfId="24" builtinId="8" hidden="1"/>
    <cellStyle name="超链接" xfId="26" builtinId="8" hidden="1"/>
    <cellStyle name="超链接" xfId="28" builtinId="8" hidden="1"/>
    <cellStyle name="超链接" xfId="30" builtinId="8" hidden="1"/>
    <cellStyle name="超链接" xfId="32" builtinId="8" hidden="1"/>
    <cellStyle name="超链接" xfId="34" builtinId="8" hidden="1"/>
    <cellStyle name="超链接" xfId="36" builtinId="8" hidden="1"/>
    <cellStyle name="超链接" xfId="38" builtinId="8" hidden="1"/>
    <cellStyle name="超链接" xfId="40" builtinId="8" hidden="1"/>
    <cellStyle name="超链接" xfId="42" builtinId="8" hidden="1"/>
    <cellStyle name="超链接" xfId="44" builtinId="8" hidden="1"/>
    <cellStyle name="超链接" xfId="46" builtinId="8" hidden="1"/>
    <cellStyle name="超链接" xfId="48" builtinId="8" hidden="1"/>
    <cellStyle name="超链接" xfId="50" builtinId="8" hidden="1"/>
    <cellStyle name="超链接" xfId="52" builtinId="8" hidden="1"/>
    <cellStyle name="超链接" xfId="54" builtinId="8" hidden="1"/>
    <cellStyle name="超链接" xfId="56" builtinId="8" hidden="1"/>
    <cellStyle name="超链接" xfId="58" builtinId="8" hidden="1"/>
    <cellStyle name="超链接" xfId="60" builtinId="8" hidden="1"/>
    <cellStyle name="超链接" xfId="62" builtinId="8" hidden="1"/>
    <cellStyle name="超链接" xfId="64" builtinId="8" hidden="1"/>
    <cellStyle name="超链接" xfId="66" builtinId="8" hidden="1"/>
    <cellStyle name="超链接" xfId="68" builtinId="8" hidden="1"/>
    <cellStyle name="超链接" xfId="70" builtinId="8" hidden="1"/>
    <cellStyle name="超链接" xfId="72" builtinId="8" hidden="1"/>
    <cellStyle name="超链接" xfId="74" builtinId="8" hidden="1"/>
    <cellStyle name="超链接" xfId="76" builtinId="8" hidden="1"/>
    <cellStyle name="超链接" xfId="78" builtinId="8" hidden="1"/>
    <cellStyle name="超链接" xfId="80" builtinId="8" hidden="1"/>
    <cellStyle name="超链接" xfId="82" builtinId="8" hidden="1"/>
    <cellStyle name="超链接" xfId="84" builtinId="8" hidden="1"/>
    <cellStyle name="超链接" xfId="86" builtinId="8" hidden="1"/>
    <cellStyle name="超链接" xfId="88" builtinId="8" hidden="1"/>
    <cellStyle name="超链接" xfId="90" builtinId="8" hidden="1"/>
    <cellStyle name="超链接" xfId="92" builtinId="8" hidden="1"/>
    <cellStyle name="超链接" xfId="94" builtinId="8" hidden="1"/>
    <cellStyle name="超链接" xfId="96" builtinId="8" hidden="1"/>
    <cellStyle name="超链接" xfId="98" builtinId="8" hidden="1"/>
    <cellStyle name="超链接" xfId="100" builtinId="8" hidden="1"/>
    <cellStyle name="超链接" xfId="102" builtinId="8" hidden="1"/>
    <cellStyle name="超链接" xfId="104" builtinId="8" hidden="1"/>
    <cellStyle name="超链接" xfId="106" builtinId="8" hidden="1"/>
    <cellStyle name="超链接" xfId="108" builtinId="8" hidden="1"/>
    <cellStyle name="超链接" xfId="110" builtinId="8" hidden="1"/>
    <cellStyle name="超链接" xfId="112" builtinId="8" hidden="1"/>
    <cellStyle name="超链接" xfId="114" builtinId="8" hidden="1"/>
    <cellStyle name="超链接" xfId="116" builtinId="8" hidden="1"/>
    <cellStyle name="超链接" xfId="118" builtinId="8" hidden="1"/>
    <cellStyle name="超链接" xfId="120" builtinId="8" hidden="1"/>
    <cellStyle name="超链接" xfId="122" builtinId="8" hidden="1"/>
    <cellStyle name="超链接" xfId="124" builtinId="8" hidden="1"/>
    <cellStyle name="超链接" xfId="126" builtinId="8" hidden="1"/>
    <cellStyle name="超链接" xfId="128" builtinId="8" hidden="1"/>
    <cellStyle name="超链接" xfId="130" builtinId="8" hidden="1"/>
    <cellStyle name="超链接" xfId="132" builtinId="8" hidden="1"/>
    <cellStyle name="超链接" xfId="134" builtinId="8" hidden="1"/>
    <cellStyle name="超链接" xfId="136" builtinId="8" hidden="1"/>
    <cellStyle name="超链接" xfId="138" builtinId="8" hidden="1"/>
    <cellStyle name="超链接" xfId="140" builtinId="8" hidden="1"/>
    <cellStyle name="超链接" xfId="142" builtinId="8" hidden="1"/>
    <cellStyle name="超链接" xfId="144" builtinId="8" hidden="1"/>
    <cellStyle name="超链接" xfId="146" builtinId="8" hidden="1"/>
    <cellStyle name="超链接" xfId="148" builtinId="8" hidden="1"/>
    <cellStyle name="超链接" xfId="150" builtinId="8" hidden="1"/>
    <cellStyle name="超链接" xfId="152" builtinId="8" hidden="1"/>
    <cellStyle name="超链接" xfId="154" builtinId="8" hidden="1"/>
    <cellStyle name="超链接" xfId="156" builtinId="8" hidden="1"/>
    <cellStyle name="超链接" xfId="158" builtinId="8" hidden="1"/>
    <cellStyle name="超链接" xfId="160" builtinId="8" hidden="1"/>
    <cellStyle name="超链接" xfId="162" builtinId="8" hidden="1"/>
    <cellStyle name="超链接" xfId="164" builtinId="8" hidden="1"/>
    <cellStyle name="超链接" xfId="166" builtinId="8" hidden="1"/>
    <cellStyle name="超链接" xfId="168" builtinId="8" hidden="1"/>
    <cellStyle name="超链接" xfId="170" builtinId="8" hidden="1"/>
    <cellStyle name="超链接" xfId="172" builtinId="8" hidden="1"/>
    <cellStyle name="超链接" xfId="174" builtinId="8" hidden="1"/>
    <cellStyle name="超链接" xfId="176" builtinId="8" hidden="1"/>
    <cellStyle name="超链接" xfId="178" builtinId="8" hidden="1"/>
    <cellStyle name="超链接" xfId="180" builtinId="8" hidden="1"/>
    <cellStyle name="超链接" xfId="182" builtinId="8" hidden="1"/>
    <cellStyle name="超链接" xfId="184" builtinId="8" hidden="1"/>
    <cellStyle name="超链接" xfId="186" builtinId="8" hidden="1"/>
    <cellStyle name="超链接" xfId="188" builtinId="8" hidden="1"/>
    <cellStyle name="超链接" xfId="190" builtinId="8" hidden="1"/>
    <cellStyle name="超链接" xfId="192" builtinId="8" hidden="1"/>
    <cellStyle name="超链接" xfId="194" builtinId="8" hidden="1"/>
    <cellStyle name="超链接" xfId="196" builtinId="8" hidden="1"/>
    <cellStyle name="超链接" xfId="198" builtinId="8" hidden="1"/>
    <cellStyle name="超链接" xfId="200" builtinId="8" hidden="1"/>
    <cellStyle name="超链接" xfId="202" builtinId="8" hidden="1"/>
    <cellStyle name="超链接" xfId="204" builtinId="8" hidden="1"/>
    <cellStyle name="超链接" xfId="206" builtinId="8" hidden="1"/>
    <cellStyle name="超链接" xfId="208" builtinId="8" hidden="1"/>
    <cellStyle name="超链接" xfId="210" builtinId="8" hidden="1"/>
    <cellStyle name="超链接" xfId="212" builtinId="8" hidden="1"/>
    <cellStyle name="超链接" xfId="214" builtinId="8" hidden="1"/>
    <cellStyle name="超链接" xfId="216" builtinId="8" hidden="1"/>
    <cellStyle name="超链接" xfId="218" builtinId="8" hidden="1"/>
    <cellStyle name="超链接" xfId="220" builtinId="8" hidden="1"/>
    <cellStyle name="超链接" xfId="222" builtinId="8" hidden="1"/>
    <cellStyle name="超链接" xfId="224" builtinId="8" hidden="1"/>
    <cellStyle name="超链接" xfId="226" builtinId="8" hidden="1"/>
    <cellStyle name="超链接" xfId="228" builtinId="8" hidden="1"/>
    <cellStyle name="超链接" xfId="230" builtinId="8" hidden="1"/>
    <cellStyle name="超链接" xfId="232" builtinId="8" hidden="1"/>
    <cellStyle name="超链接" xfId="234" builtinId="8" hidden="1"/>
    <cellStyle name="超链接" xfId="236" builtinId="8" hidden="1"/>
    <cellStyle name="超链接" xfId="238" builtinId="8" hidden="1"/>
    <cellStyle name="超链接" xfId="240" builtinId="8" hidden="1"/>
    <cellStyle name="超链接" xfId="242" builtinId="8" hidden="1"/>
    <cellStyle name="超链接" xfId="244" builtinId="8" hidden="1"/>
    <cellStyle name="超链接" xfId="246" builtinId="8" hidden="1"/>
    <cellStyle name="超链接" xfId="248" builtinId="8" hidden="1"/>
    <cellStyle name="超链接" xfId="250" builtinId="8" hidden="1"/>
    <cellStyle name="超链接" xfId="252" builtinId="8" hidden="1"/>
    <cellStyle name="超链接" xfId="254" builtinId="8" hidden="1"/>
    <cellStyle name="超链接" xfId="256" builtinId="8" hidden="1"/>
    <cellStyle name="超链接" xfId="258" builtinId="8" hidden="1"/>
    <cellStyle name="超链接" xfId="260" builtinId="8" hidden="1"/>
    <cellStyle name="超链接" xfId="262" builtinId="8" hidden="1"/>
    <cellStyle name="超链接" xfId="264" builtinId="8" hidden="1"/>
    <cellStyle name="超链接" xfId="266" builtinId="8" hidden="1"/>
    <cellStyle name="超链接" xfId="268" builtinId="8" hidden="1"/>
    <cellStyle name="超链接" xfId="270" builtinId="8" hidden="1"/>
    <cellStyle name="超链接" xfId="272" builtinId="8" hidden="1"/>
    <cellStyle name="超链接" xfId="274" builtinId="8" hidden="1"/>
    <cellStyle name="超链接" xfId="276" builtinId="8" hidden="1"/>
    <cellStyle name="超链接" xfId="278" builtinId="8" hidden="1"/>
    <cellStyle name="超链接" xfId="280" builtinId="8" hidden="1"/>
    <cellStyle name="超链接" xfId="282" builtinId="8" hidden="1"/>
    <cellStyle name="超链接" xfId="284" builtinId="8" hidden="1"/>
    <cellStyle name="超链接" xfId="286" builtinId="8" hidden="1"/>
    <cellStyle name="超链接" xfId="288" builtinId="8" hidden="1"/>
    <cellStyle name="超链接" xfId="290" builtinId="8" hidden="1"/>
    <cellStyle name="超链接" xfId="292" builtinId="8" hidden="1"/>
    <cellStyle name="超链接" xfId="294" builtinId="8" hidden="1"/>
    <cellStyle name="超链接" xfId="296" builtinId="8" hidden="1"/>
    <cellStyle name="超链接" xfId="298" builtinId="8" hidden="1"/>
    <cellStyle name="超链接" xfId="300" builtinId="8" hidden="1"/>
    <cellStyle name="超链接" xfId="302" builtinId="8" hidden="1"/>
    <cellStyle name="超链接" xfId="304" builtinId="8" hidden="1"/>
    <cellStyle name="超链接" xfId="306" builtinId="8" hidden="1"/>
    <cellStyle name="超链接" xfId="308" builtinId="8" hidden="1"/>
    <cellStyle name="超链接" xfId="310" builtinId="8" hidden="1"/>
    <cellStyle name="超链接" xfId="312" builtinId="8" hidden="1"/>
    <cellStyle name="超链接" xfId="314" builtinId="8" hidden="1"/>
    <cellStyle name="超链接" xfId="316" builtinId="8" hidden="1"/>
    <cellStyle name="超链接" xfId="318" builtinId="8" hidden="1"/>
    <cellStyle name="超链接" xfId="320" builtinId="8" hidden="1"/>
    <cellStyle name="超链接" xfId="322" builtinId="8" hidden="1"/>
    <cellStyle name="超链接" xfId="324" builtinId="8" hidden="1"/>
    <cellStyle name="超链接" xfId="326" builtinId="8" hidden="1"/>
    <cellStyle name="超链接" xfId="328" builtinId="8" hidden="1"/>
    <cellStyle name="超链接" xfId="330" builtinId="8" hidden="1"/>
    <cellStyle name="超链接" xfId="332" builtinId="8" hidden="1"/>
    <cellStyle name="超链接" xfId="334" builtinId="8" hidden="1"/>
    <cellStyle name="超链接" xfId="336" builtinId="8" hidden="1"/>
    <cellStyle name="超链接" xfId="338" builtinId="8" hidden="1"/>
    <cellStyle name="超链接" xfId="340" builtinId="8" hidden="1"/>
    <cellStyle name="超链接" xfId="342" builtinId="8" hidden="1"/>
    <cellStyle name="超链接" xfId="344" builtinId="8" hidden="1"/>
    <cellStyle name="超链接" xfId="346" builtinId="8" hidden="1"/>
    <cellStyle name="超链接" xfId="348" builtinId="8" hidden="1"/>
    <cellStyle name="超链接" xfId="350" builtinId="8" hidden="1"/>
    <cellStyle name="超链接" xfId="352" builtinId="8" hidden="1"/>
    <cellStyle name="超链接" xfId="354" builtinId="8" hidden="1"/>
    <cellStyle name="超链接" xfId="356" builtinId="8" hidden="1"/>
    <cellStyle name="超链接" xfId="358" builtinId="8" hidden="1"/>
    <cellStyle name="超链接" xfId="360" builtinId="8" hidden="1"/>
    <cellStyle name="超链接" xfId="362" builtinId="8" hidden="1"/>
    <cellStyle name="超链接" xfId="364" builtinId="8" hidden="1"/>
    <cellStyle name="超链接" xfId="366" builtinId="8" hidden="1"/>
    <cellStyle name="超链接" xfId="368" builtinId="8" hidden="1"/>
    <cellStyle name="超链接" xfId="370" builtinId="8" hidden="1"/>
    <cellStyle name="超链接" xfId="372" builtinId="8" hidden="1"/>
    <cellStyle name="超链接" xfId="374" builtinId="8" hidden="1"/>
    <cellStyle name="超链接" xfId="376" builtinId="8" hidden="1"/>
    <cellStyle name="超链接" xfId="378" builtinId="8" hidden="1"/>
    <cellStyle name="超链接" xfId="380" builtinId="8" hidden="1"/>
    <cellStyle name="超链接" xfId="382" builtinId="8" hidden="1"/>
    <cellStyle name="超链接" xfId="384" builtinId="8" hidden="1"/>
    <cellStyle name="超链接" xfId="386" builtinId="8" hidden="1"/>
    <cellStyle name="超链接" xfId="388" builtinId="8" hidden="1"/>
    <cellStyle name="超链接" xfId="390" builtinId="8" hidden="1"/>
    <cellStyle name="超链接" xfId="392" builtinId="8" hidden="1"/>
    <cellStyle name="超链接" xfId="394" builtinId="8" hidden="1"/>
    <cellStyle name="超链接" xfId="396" builtinId="8" hidden="1"/>
    <cellStyle name="超链接" xfId="398" builtinId="8" hidden="1"/>
    <cellStyle name="超链接" xfId="400" builtinId="8" hidden="1"/>
    <cellStyle name="超链接" xfId="402" builtinId="8" hidden="1"/>
    <cellStyle name="超链接" xfId="404" builtinId="8" hidden="1"/>
    <cellStyle name="超链接" xfId="406" builtinId="8" hidden="1"/>
    <cellStyle name="超链接" xfId="408" builtinId="8" hidden="1"/>
    <cellStyle name="超链接" xfId="410" builtinId="8" hidden="1"/>
    <cellStyle name="超链接" xfId="412" builtinId="8" hidden="1"/>
    <cellStyle name="超链接" xfId="414" builtinId="8" hidden="1"/>
    <cellStyle name="超链接" xfId="416" builtinId="8" hidden="1"/>
    <cellStyle name="超链接" xfId="418" builtinId="8" hidden="1"/>
    <cellStyle name="超链接" xfId="420" builtinId="8" hidden="1"/>
    <cellStyle name="超链接" xfId="422" builtinId="8" hidden="1"/>
    <cellStyle name="超链接" xfId="424" builtinId="8" hidden="1"/>
    <cellStyle name="超链接" xfId="426" builtinId="8" hidden="1"/>
    <cellStyle name="超链接" xfId="428" builtinId="8" hidden="1"/>
    <cellStyle name="超链接" xfId="430" builtinId="8" hidden="1"/>
    <cellStyle name="超链接" xfId="432" builtinId="8" hidden="1"/>
    <cellStyle name="超链接" xfId="434" builtinId="8" hidden="1"/>
    <cellStyle name="超链接" xfId="436" builtinId="8" hidden="1"/>
    <cellStyle name="超链接" xfId="438" builtinId="8" hidden="1"/>
    <cellStyle name="超链接" xfId="440" builtinId="8" hidden="1"/>
    <cellStyle name="超链接" xfId="442" builtinId="8" hidden="1"/>
    <cellStyle name="超链接" xfId="444" builtinId="8" hidden="1"/>
    <cellStyle name="超链接" xfId="446" builtinId="8" hidden="1"/>
    <cellStyle name="超链接" xfId="448" builtinId="8" hidden="1"/>
    <cellStyle name="超链接" xfId="450" builtinId="8" hidden="1"/>
    <cellStyle name="超链接" xfId="452" builtinId="8" hidden="1"/>
    <cellStyle name="超链接" xfId="454" builtinId="8" hidden="1"/>
    <cellStyle name="超链接" xfId="456" builtinId="8" hidden="1"/>
    <cellStyle name="超链接" xfId="458" builtinId="8" hidden="1"/>
    <cellStyle name="超链接" xfId="460" builtinId="8" hidden="1"/>
    <cellStyle name="超链接" xfId="462" builtinId="8" hidden="1"/>
    <cellStyle name="超链接" xfId="464" builtinId="8" hidden="1"/>
    <cellStyle name="超链接" xfId="466" builtinId="8" hidden="1"/>
    <cellStyle name="超链接" xfId="468" builtinId="8" hidden="1"/>
    <cellStyle name="超链接" xfId="470" builtinId="8" hidden="1"/>
    <cellStyle name="超链接" xfId="472" builtinId="8" hidden="1"/>
    <cellStyle name="超链接" xfId="474" builtinId="8" hidden="1"/>
    <cellStyle name="超链接" xfId="476" builtinId="8" hidden="1"/>
    <cellStyle name="超链接" xfId="478" builtinId="8" hidden="1"/>
    <cellStyle name="超链接" xfId="480" builtinId="8" hidden="1"/>
    <cellStyle name="超链接" xfId="482" builtinId="8" hidden="1"/>
    <cellStyle name="超链接" xfId="484" builtinId="8" hidden="1"/>
    <cellStyle name="超链接" xfId="486" builtinId="8" hidden="1"/>
    <cellStyle name="超链接" xfId="488" builtinId="8" hidden="1"/>
    <cellStyle name="超链接" xfId="490" builtinId="8" hidden="1"/>
    <cellStyle name="超链接" xfId="492" builtinId="8" hidden="1"/>
    <cellStyle name="超链接" xfId="494" builtinId="8" hidden="1"/>
    <cellStyle name="超链接" xfId="496" builtinId="8" hidden="1"/>
    <cellStyle name="超链接" xfId="498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  <cellStyle name="已访问的超链接" xfId="15" builtinId="9" hidden="1"/>
    <cellStyle name="已访问的超链接" xfId="17" builtinId="9" hidden="1"/>
    <cellStyle name="已访问的超链接" xfId="19" builtinId="9" hidden="1"/>
    <cellStyle name="已访问的超链接" xfId="21" builtinId="9" hidden="1"/>
    <cellStyle name="已访问的超链接" xfId="23" builtinId="9" hidden="1"/>
    <cellStyle name="已访问的超链接" xfId="25" builtinId="9" hidden="1"/>
    <cellStyle name="已访问的超链接" xfId="27" builtinId="9" hidden="1"/>
    <cellStyle name="已访问的超链接" xfId="29" builtinId="9" hidden="1"/>
    <cellStyle name="已访问的超链接" xfId="31" builtinId="9" hidden="1"/>
    <cellStyle name="已访问的超链接" xfId="33" builtinId="9" hidden="1"/>
    <cellStyle name="已访问的超链接" xfId="35" builtinId="9" hidden="1"/>
    <cellStyle name="已访问的超链接" xfId="37" builtinId="9" hidden="1"/>
    <cellStyle name="已访问的超链接" xfId="39" builtinId="9" hidden="1"/>
    <cellStyle name="已访问的超链接" xfId="41" builtinId="9" hidden="1"/>
    <cellStyle name="已访问的超链接" xfId="43" builtinId="9" hidden="1"/>
    <cellStyle name="已访问的超链接" xfId="45" builtinId="9" hidden="1"/>
    <cellStyle name="已访问的超链接" xfId="47" builtinId="9" hidden="1"/>
    <cellStyle name="已访问的超链接" xfId="49" builtinId="9" hidden="1"/>
    <cellStyle name="已访问的超链接" xfId="51" builtinId="9" hidden="1"/>
    <cellStyle name="已访问的超链接" xfId="53" builtinId="9" hidden="1"/>
    <cellStyle name="已访问的超链接" xfId="55" builtinId="9" hidden="1"/>
    <cellStyle name="已访问的超链接" xfId="57" builtinId="9" hidden="1"/>
    <cellStyle name="已访问的超链接" xfId="59" builtinId="9" hidden="1"/>
    <cellStyle name="已访问的超链接" xfId="61" builtinId="9" hidden="1"/>
    <cellStyle name="已访问的超链接" xfId="63" builtinId="9" hidden="1"/>
    <cellStyle name="已访问的超链接" xfId="65" builtinId="9" hidden="1"/>
    <cellStyle name="已访问的超链接" xfId="67" builtinId="9" hidden="1"/>
    <cellStyle name="已访问的超链接" xfId="69" builtinId="9" hidden="1"/>
    <cellStyle name="已访问的超链接" xfId="71" builtinId="9" hidden="1"/>
    <cellStyle name="已访问的超链接" xfId="73" builtinId="9" hidden="1"/>
    <cellStyle name="已访问的超链接" xfId="75" builtinId="9" hidden="1"/>
    <cellStyle name="已访问的超链接" xfId="77" builtinId="9" hidden="1"/>
    <cellStyle name="已访问的超链接" xfId="79" builtinId="9" hidden="1"/>
    <cellStyle name="已访问的超链接" xfId="81" builtinId="9" hidden="1"/>
    <cellStyle name="已访问的超链接" xfId="83" builtinId="9" hidden="1"/>
    <cellStyle name="已访问的超链接" xfId="85" builtinId="9" hidden="1"/>
    <cellStyle name="已访问的超链接" xfId="87" builtinId="9" hidden="1"/>
    <cellStyle name="已访问的超链接" xfId="89" builtinId="9" hidden="1"/>
    <cellStyle name="已访问的超链接" xfId="91" builtinId="9" hidden="1"/>
    <cellStyle name="已访问的超链接" xfId="93" builtinId="9" hidden="1"/>
    <cellStyle name="已访问的超链接" xfId="95" builtinId="9" hidden="1"/>
    <cellStyle name="已访问的超链接" xfId="97" builtinId="9" hidden="1"/>
    <cellStyle name="已访问的超链接" xfId="99" builtinId="9" hidden="1"/>
    <cellStyle name="已访问的超链接" xfId="101" builtinId="9" hidden="1"/>
    <cellStyle name="已访问的超链接" xfId="103" builtinId="9" hidden="1"/>
    <cellStyle name="已访问的超链接" xfId="105" builtinId="9" hidden="1"/>
    <cellStyle name="已访问的超链接" xfId="107" builtinId="9" hidden="1"/>
    <cellStyle name="已访问的超链接" xfId="109" builtinId="9" hidden="1"/>
    <cellStyle name="已访问的超链接" xfId="111" builtinId="9" hidden="1"/>
    <cellStyle name="已访问的超链接" xfId="113" builtinId="9" hidden="1"/>
    <cellStyle name="已访问的超链接" xfId="115" builtinId="9" hidden="1"/>
    <cellStyle name="已访问的超链接" xfId="117" builtinId="9" hidden="1"/>
    <cellStyle name="已访问的超链接" xfId="119" builtinId="9" hidden="1"/>
    <cellStyle name="已访问的超链接" xfId="121" builtinId="9" hidden="1"/>
    <cellStyle name="已访问的超链接" xfId="123" builtinId="9" hidden="1"/>
    <cellStyle name="已访问的超链接" xfId="125" builtinId="9" hidden="1"/>
    <cellStyle name="已访问的超链接" xfId="127" builtinId="9" hidden="1"/>
    <cellStyle name="已访问的超链接" xfId="129" builtinId="9" hidden="1"/>
    <cellStyle name="已访问的超链接" xfId="131" builtinId="9" hidden="1"/>
    <cellStyle name="已访问的超链接" xfId="133" builtinId="9" hidden="1"/>
    <cellStyle name="已访问的超链接" xfId="135" builtinId="9" hidden="1"/>
    <cellStyle name="已访问的超链接" xfId="137" builtinId="9" hidden="1"/>
    <cellStyle name="已访问的超链接" xfId="139" builtinId="9" hidden="1"/>
    <cellStyle name="已访问的超链接" xfId="141" builtinId="9" hidden="1"/>
    <cellStyle name="已访问的超链接" xfId="143" builtinId="9" hidden="1"/>
    <cellStyle name="已访问的超链接" xfId="145" builtinId="9" hidden="1"/>
    <cellStyle name="已访问的超链接" xfId="147" builtinId="9" hidden="1"/>
    <cellStyle name="已访问的超链接" xfId="149" builtinId="9" hidden="1"/>
    <cellStyle name="已访问的超链接" xfId="151" builtinId="9" hidden="1"/>
    <cellStyle name="已访问的超链接" xfId="153" builtinId="9" hidden="1"/>
    <cellStyle name="已访问的超链接" xfId="155" builtinId="9" hidden="1"/>
    <cellStyle name="已访问的超链接" xfId="157" builtinId="9" hidden="1"/>
    <cellStyle name="已访问的超链接" xfId="159" builtinId="9" hidden="1"/>
    <cellStyle name="已访问的超链接" xfId="161" builtinId="9" hidden="1"/>
    <cellStyle name="已访问的超链接" xfId="163" builtinId="9" hidden="1"/>
    <cellStyle name="已访问的超链接" xfId="165" builtinId="9" hidden="1"/>
    <cellStyle name="已访问的超链接" xfId="167" builtinId="9" hidden="1"/>
    <cellStyle name="已访问的超链接" xfId="169" builtinId="9" hidden="1"/>
    <cellStyle name="已访问的超链接" xfId="171" builtinId="9" hidden="1"/>
    <cellStyle name="已访问的超链接" xfId="173" builtinId="9" hidden="1"/>
    <cellStyle name="已访问的超链接" xfId="175" builtinId="9" hidden="1"/>
    <cellStyle name="已访问的超链接" xfId="177" builtinId="9" hidden="1"/>
    <cellStyle name="已访问的超链接" xfId="179" builtinId="9" hidden="1"/>
    <cellStyle name="已访问的超链接" xfId="181" builtinId="9" hidden="1"/>
    <cellStyle name="已访问的超链接" xfId="183" builtinId="9" hidden="1"/>
    <cellStyle name="已访问的超链接" xfId="185" builtinId="9" hidden="1"/>
    <cellStyle name="已访问的超链接" xfId="187" builtinId="9" hidden="1"/>
    <cellStyle name="已访问的超链接" xfId="189" builtinId="9" hidden="1"/>
    <cellStyle name="已访问的超链接" xfId="191" builtinId="9" hidden="1"/>
    <cellStyle name="已访问的超链接" xfId="193" builtinId="9" hidden="1"/>
    <cellStyle name="已访问的超链接" xfId="195" builtinId="9" hidden="1"/>
    <cellStyle name="已访问的超链接" xfId="197" builtinId="9" hidden="1"/>
    <cellStyle name="已访问的超链接" xfId="199" builtinId="9" hidden="1"/>
    <cellStyle name="已访问的超链接" xfId="201" builtinId="9" hidden="1"/>
    <cellStyle name="已访问的超链接" xfId="203" builtinId="9" hidden="1"/>
    <cellStyle name="已访问的超链接" xfId="205" builtinId="9" hidden="1"/>
    <cellStyle name="已访问的超链接" xfId="207" builtinId="9" hidden="1"/>
    <cellStyle name="已访问的超链接" xfId="209" builtinId="9" hidden="1"/>
    <cellStyle name="已访问的超链接" xfId="211" builtinId="9" hidden="1"/>
    <cellStyle name="已访问的超链接" xfId="213" builtinId="9" hidden="1"/>
    <cellStyle name="已访问的超链接" xfId="215" builtinId="9" hidden="1"/>
    <cellStyle name="已访问的超链接" xfId="217" builtinId="9" hidden="1"/>
    <cellStyle name="已访问的超链接" xfId="219" builtinId="9" hidden="1"/>
    <cellStyle name="已访问的超链接" xfId="221" builtinId="9" hidden="1"/>
    <cellStyle name="已访问的超链接" xfId="223" builtinId="9" hidden="1"/>
    <cellStyle name="已访问的超链接" xfId="225" builtinId="9" hidden="1"/>
    <cellStyle name="已访问的超链接" xfId="227" builtinId="9" hidden="1"/>
    <cellStyle name="已访问的超链接" xfId="229" builtinId="9" hidden="1"/>
    <cellStyle name="已访问的超链接" xfId="231" builtinId="9" hidden="1"/>
    <cellStyle name="已访问的超链接" xfId="233" builtinId="9" hidden="1"/>
    <cellStyle name="已访问的超链接" xfId="235" builtinId="9" hidden="1"/>
    <cellStyle name="已访问的超链接" xfId="237" builtinId="9" hidden="1"/>
    <cellStyle name="已访问的超链接" xfId="239" builtinId="9" hidden="1"/>
    <cellStyle name="已访问的超链接" xfId="241" builtinId="9" hidden="1"/>
    <cellStyle name="已访问的超链接" xfId="243" builtinId="9" hidden="1"/>
    <cellStyle name="已访问的超链接" xfId="245" builtinId="9" hidden="1"/>
    <cellStyle name="已访问的超链接" xfId="247" builtinId="9" hidden="1"/>
    <cellStyle name="已访问的超链接" xfId="249" builtinId="9" hidden="1"/>
    <cellStyle name="已访问的超链接" xfId="251" builtinId="9" hidden="1"/>
    <cellStyle name="已访问的超链接" xfId="253" builtinId="9" hidden="1"/>
    <cellStyle name="已访问的超链接" xfId="255" builtinId="9" hidden="1"/>
    <cellStyle name="已访问的超链接" xfId="257" builtinId="9" hidden="1"/>
    <cellStyle name="已访问的超链接" xfId="259" builtinId="9" hidden="1"/>
    <cellStyle name="已访问的超链接" xfId="261" builtinId="9" hidden="1"/>
    <cellStyle name="已访问的超链接" xfId="263" builtinId="9" hidden="1"/>
    <cellStyle name="已访问的超链接" xfId="265" builtinId="9" hidden="1"/>
    <cellStyle name="已访问的超链接" xfId="267" builtinId="9" hidden="1"/>
    <cellStyle name="已访问的超链接" xfId="269" builtinId="9" hidden="1"/>
    <cellStyle name="已访问的超链接" xfId="271" builtinId="9" hidden="1"/>
    <cellStyle name="已访问的超链接" xfId="273" builtinId="9" hidden="1"/>
    <cellStyle name="已访问的超链接" xfId="275" builtinId="9" hidden="1"/>
    <cellStyle name="已访问的超链接" xfId="277" builtinId="9" hidden="1"/>
    <cellStyle name="已访问的超链接" xfId="279" builtinId="9" hidden="1"/>
    <cellStyle name="已访问的超链接" xfId="281" builtinId="9" hidden="1"/>
    <cellStyle name="已访问的超链接" xfId="283" builtinId="9" hidden="1"/>
    <cellStyle name="已访问的超链接" xfId="285" builtinId="9" hidden="1"/>
    <cellStyle name="已访问的超链接" xfId="287" builtinId="9" hidden="1"/>
    <cellStyle name="已访问的超链接" xfId="289" builtinId="9" hidden="1"/>
    <cellStyle name="已访问的超链接" xfId="291" builtinId="9" hidden="1"/>
    <cellStyle name="已访问的超链接" xfId="293" builtinId="9" hidden="1"/>
    <cellStyle name="已访问的超链接" xfId="295" builtinId="9" hidden="1"/>
    <cellStyle name="已访问的超链接" xfId="297" builtinId="9" hidden="1"/>
    <cellStyle name="已访问的超链接" xfId="299" builtinId="9" hidden="1"/>
    <cellStyle name="已访问的超链接" xfId="301" builtinId="9" hidden="1"/>
    <cellStyle name="已访问的超链接" xfId="303" builtinId="9" hidden="1"/>
    <cellStyle name="已访问的超链接" xfId="305" builtinId="9" hidden="1"/>
    <cellStyle name="已访问的超链接" xfId="307" builtinId="9" hidden="1"/>
    <cellStyle name="已访问的超链接" xfId="309" builtinId="9" hidden="1"/>
    <cellStyle name="已访问的超链接" xfId="311" builtinId="9" hidden="1"/>
    <cellStyle name="已访问的超链接" xfId="313" builtinId="9" hidden="1"/>
    <cellStyle name="已访问的超链接" xfId="315" builtinId="9" hidden="1"/>
    <cellStyle name="已访问的超链接" xfId="317" builtinId="9" hidden="1"/>
    <cellStyle name="已访问的超链接" xfId="319" builtinId="9" hidden="1"/>
    <cellStyle name="已访问的超链接" xfId="321" builtinId="9" hidden="1"/>
    <cellStyle name="已访问的超链接" xfId="323" builtinId="9" hidden="1"/>
    <cellStyle name="已访问的超链接" xfId="325" builtinId="9" hidden="1"/>
    <cellStyle name="已访问的超链接" xfId="327" builtinId="9" hidden="1"/>
    <cellStyle name="已访问的超链接" xfId="329" builtinId="9" hidden="1"/>
    <cellStyle name="已访问的超链接" xfId="331" builtinId="9" hidden="1"/>
    <cellStyle name="已访问的超链接" xfId="333" builtinId="9" hidden="1"/>
    <cellStyle name="已访问的超链接" xfId="335" builtinId="9" hidden="1"/>
    <cellStyle name="已访问的超链接" xfId="337" builtinId="9" hidden="1"/>
    <cellStyle name="已访问的超链接" xfId="339" builtinId="9" hidden="1"/>
    <cellStyle name="已访问的超链接" xfId="341" builtinId="9" hidden="1"/>
    <cellStyle name="已访问的超链接" xfId="343" builtinId="9" hidden="1"/>
    <cellStyle name="已访问的超链接" xfId="345" builtinId="9" hidden="1"/>
    <cellStyle name="已访问的超链接" xfId="347" builtinId="9" hidden="1"/>
    <cellStyle name="已访问的超链接" xfId="349" builtinId="9" hidden="1"/>
    <cellStyle name="已访问的超链接" xfId="351" builtinId="9" hidden="1"/>
    <cellStyle name="已访问的超链接" xfId="353" builtinId="9" hidden="1"/>
    <cellStyle name="已访问的超链接" xfId="355" builtinId="9" hidden="1"/>
    <cellStyle name="已访问的超链接" xfId="357" builtinId="9" hidden="1"/>
    <cellStyle name="已访问的超链接" xfId="359" builtinId="9" hidden="1"/>
    <cellStyle name="已访问的超链接" xfId="361" builtinId="9" hidden="1"/>
    <cellStyle name="已访问的超链接" xfId="363" builtinId="9" hidden="1"/>
    <cellStyle name="已访问的超链接" xfId="365" builtinId="9" hidden="1"/>
    <cellStyle name="已访问的超链接" xfId="367" builtinId="9" hidden="1"/>
    <cellStyle name="已访问的超链接" xfId="369" builtinId="9" hidden="1"/>
    <cellStyle name="已访问的超链接" xfId="371" builtinId="9" hidden="1"/>
    <cellStyle name="已访问的超链接" xfId="373" builtinId="9" hidden="1"/>
    <cellStyle name="已访问的超链接" xfId="375" builtinId="9" hidden="1"/>
    <cellStyle name="已访问的超链接" xfId="377" builtinId="9" hidden="1"/>
    <cellStyle name="已访问的超链接" xfId="379" builtinId="9" hidden="1"/>
    <cellStyle name="已访问的超链接" xfId="381" builtinId="9" hidden="1"/>
    <cellStyle name="已访问的超链接" xfId="383" builtinId="9" hidden="1"/>
    <cellStyle name="已访问的超链接" xfId="385" builtinId="9" hidden="1"/>
    <cellStyle name="已访问的超链接" xfId="387" builtinId="9" hidden="1"/>
    <cellStyle name="已访问的超链接" xfId="389" builtinId="9" hidden="1"/>
    <cellStyle name="已访问的超链接" xfId="391" builtinId="9" hidden="1"/>
    <cellStyle name="已访问的超链接" xfId="393" builtinId="9" hidden="1"/>
    <cellStyle name="已访问的超链接" xfId="395" builtinId="9" hidden="1"/>
    <cellStyle name="已访问的超链接" xfId="397" builtinId="9" hidden="1"/>
    <cellStyle name="已访问的超链接" xfId="399" builtinId="9" hidden="1"/>
    <cellStyle name="已访问的超链接" xfId="401" builtinId="9" hidden="1"/>
    <cellStyle name="已访问的超链接" xfId="403" builtinId="9" hidden="1"/>
    <cellStyle name="已访问的超链接" xfId="405" builtinId="9" hidden="1"/>
    <cellStyle name="已访问的超链接" xfId="407" builtinId="9" hidden="1"/>
    <cellStyle name="已访问的超链接" xfId="409" builtinId="9" hidden="1"/>
    <cellStyle name="已访问的超链接" xfId="411" builtinId="9" hidden="1"/>
    <cellStyle name="已访问的超链接" xfId="413" builtinId="9" hidden="1"/>
    <cellStyle name="已访问的超链接" xfId="415" builtinId="9" hidden="1"/>
    <cellStyle name="已访问的超链接" xfId="417" builtinId="9" hidden="1"/>
    <cellStyle name="已访问的超链接" xfId="419" builtinId="9" hidden="1"/>
    <cellStyle name="已访问的超链接" xfId="421" builtinId="9" hidden="1"/>
    <cellStyle name="已访问的超链接" xfId="423" builtinId="9" hidden="1"/>
    <cellStyle name="已访问的超链接" xfId="425" builtinId="9" hidden="1"/>
    <cellStyle name="已访问的超链接" xfId="427" builtinId="9" hidden="1"/>
    <cellStyle name="已访问的超链接" xfId="429" builtinId="9" hidden="1"/>
    <cellStyle name="已访问的超链接" xfId="431" builtinId="9" hidden="1"/>
    <cellStyle name="已访问的超链接" xfId="433" builtinId="9" hidden="1"/>
    <cellStyle name="已访问的超链接" xfId="435" builtinId="9" hidden="1"/>
    <cellStyle name="已访问的超链接" xfId="437" builtinId="9" hidden="1"/>
    <cellStyle name="已访问的超链接" xfId="439" builtinId="9" hidden="1"/>
    <cellStyle name="已访问的超链接" xfId="441" builtinId="9" hidden="1"/>
    <cellStyle name="已访问的超链接" xfId="443" builtinId="9" hidden="1"/>
    <cellStyle name="已访问的超链接" xfId="445" builtinId="9" hidden="1"/>
    <cellStyle name="已访问的超链接" xfId="447" builtinId="9" hidden="1"/>
    <cellStyle name="已访问的超链接" xfId="449" builtinId="9" hidden="1"/>
    <cellStyle name="已访问的超链接" xfId="451" builtinId="9" hidden="1"/>
    <cellStyle name="已访问的超链接" xfId="453" builtinId="9" hidden="1"/>
    <cellStyle name="已访问的超链接" xfId="455" builtinId="9" hidden="1"/>
    <cellStyle name="已访问的超链接" xfId="457" builtinId="9" hidden="1"/>
    <cellStyle name="已访问的超链接" xfId="459" builtinId="9" hidden="1"/>
    <cellStyle name="已访问的超链接" xfId="461" builtinId="9" hidden="1"/>
    <cellStyle name="已访问的超链接" xfId="463" builtinId="9" hidden="1"/>
    <cellStyle name="已访问的超链接" xfId="465" builtinId="9" hidden="1"/>
    <cellStyle name="已访问的超链接" xfId="467" builtinId="9" hidden="1"/>
    <cellStyle name="已访问的超链接" xfId="469" builtinId="9" hidden="1"/>
    <cellStyle name="已访问的超链接" xfId="471" builtinId="9" hidden="1"/>
    <cellStyle name="已访问的超链接" xfId="473" builtinId="9" hidden="1"/>
    <cellStyle name="已访问的超链接" xfId="475" builtinId="9" hidden="1"/>
    <cellStyle name="已访问的超链接" xfId="477" builtinId="9" hidden="1"/>
    <cellStyle name="已访问的超链接" xfId="479" builtinId="9" hidden="1"/>
    <cellStyle name="已访问的超链接" xfId="481" builtinId="9" hidden="1"/>
    <cellStyle name="已访问的超链接" xfId="483" builtinId="9" hidden="1"/>
    <cellStyle name="已访问的超链接" xfId="485" builtinId="9" hidden="1"/>
    <cellStyle name="已访问的超链接" xfId="487" builtinId="9" hidden="1"/>
    <cellStyle name="已访问的超链接" xfId="489" builtinId="9" hidden="1"/>
    <cellStyle name="已访问的超链接" xfId="491" builtinId="9" hidden="1"/>
    <cellStyle name="已访问的超链接" xfId="493" builtinId="9" hidden="1"/>
    <cellStyle name="已访问的超链接" xfId="495" builtinId="9" hidden="1"/>
    <cellStyle name="已访问的超链接" xfId="497" builtinId="9" hidden="1"/>
    <cellStyle name="已访问的超链接" xfId="499" builtinId="9" hidden="1"/>
  </cellStyles>
  <dxfs count="0"/>
  <tableStyles count="0" defaultTableStyle="TableStyleMedium2" defaultPivotStyle="PivotStyleLight16"/>
  <colors>
    <mruColors>
      <color rgb="FFFF6600"/>
      <color rgb="FFFF9933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资产配置情况!$L$11</c:f>
              <c:strCache>
                <c:ptCount val="1"/>
                <c:pt idx="0">
                  <c:v>占比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3F4-49C2-A4D3-A8345C29EC0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968-41B3-BFE2-9C3E04C8E34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3F4-49C2-A4D3-A8345C29EC0E}"/>
              </c:ext>
            </c:extLst>
          </c:dPt>
          <c:dLbls>
            <c:dLbl>
              <c:idx val="1"/>
              <c:layout>
                <c:manualLayout>
                  <c:x val="2.110795961099814E-2"/>
                  <c:y val="2.960255111035869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968-41B3-BFE2-9C3E04C8E34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资产配置情况!$K$12:$K$14</c:f>
              <c:strCache>
                <c:ptCount val="3"/>
                <c:pt idx="0">
                  <c:v>权益类</c:v>
                </c:pt>
                <c:pt idx="1">
                  <c:v>债券类</c:v>
                </c:pt>
                <c:pt idx="2">
                  <c:v>低风险</c:v>
                </c:pt>
              </c:strCache>
            </c:strRef>
          </c:cat>
          <c:val>
            <c:numRef>
              <c:f>资产配置情况!$L$12:$L$14</c:f>
              <c:numCache>
                <c:formatCode>0.00%</c:formatCode>
                <c:ptCount val="3"/>
                <c:pt idx="0">
                  <c:v>8.1580300066573755E-2</c:v>
                </c:pt>
                <c:pt idx="1">
                  <c:v>6.0404722534106543E-3</c:v>
                </c:pt>
                <c:pt idx="2">
                  <c:v>0.91532519036323146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68-41B3-BFE2-9C3E04C8E3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33337</xdr:colOff>
      <xdr:row>14</xdr:row>
      <xdr:rowOff>52387</xdr:rowOff>
    </xdr:from>
    <xdr:to>
      <xdr:col>11</xdr:col>
      <xdr:colOff>933450</xdr:colOff>
      <xdr:row>26</xdr:row>
      <xdr:rowOff>19050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F47BABB-C731-4315-83CB-6EBDFF6139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DengXian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46E9C-3B94-4D0A-A08C-6223D188A932}">
  <sheetPr codeName="Sheet1"/>
  <dimension ref="A1:W47"/>
  <sheetViews>
    <sheetView tabSelected="1" topLeftCell="C1" workbookViewId="0">
      <pane ySplit="1" topLeftCell="A11" activePane="bottomLeft" state="frozen"/>
      <selection pane="bottomLeft" activeCell="S31" sqref="S31"/>
    </sheetView>
  </sheetViews>
  <sheetFormatPr defaultColWidth="9.6640625" defaultRowHeight="13.8"/>
  <cols>
    <col min="1" max="1" width="11.109375" bestFit="1" customWidth="1"/>
  </cols>
  <sheetData>
    <row r="1" spans="1:23">
      <c r="A1" s="45" t="s">
        <v>45</v>
      </c>
      <c r="B1" s="36" t="s">
        <v>54</v>
      </c>
      <c r="C1" s="36" t="s">
        <v>50</v>
      </c>
      <c r="D1" s="37" t="s">
        <v>46</v>
      </c>
      <c r="E1" s="37" t="s">
        <v>55</v>
      </c>
      <c r="F1" s="37" t="s">
        <v>53</v>
      </c>
      <c r="G1" s="38" t="s">
        <v>47</v>
      </c>
      <c r="H1" s="39" t="s">
        <v>48</v>
      </c>
      <c r="I1" s="39" t="s">
        <v>49</v>
      </c>
      <c r="J1" s="39" t="s">
        <v>51</v>
      </c>
      <c r="K1" s="39" t="s">
        <v>52</v>
      </c>
      <c r="L1" s="39" t="s">
        <v>59</v>
      </c>
      <c r="M1" s="39" t="s">
        <v>56</v>
      </c>
      <c r="N1" s="39" t="s">
        <v>57</v>
      </c>
      <c r="O1" s="40" t="s">
        <v>58</v>
      </c>
      <c r="P1" s="40" t="s">
        <v>63</v>
      </c>
      <c r="Q1" s="40" t="s">
        <v>60</v>
      </c>
      <c r="R1" s="41" t="s">
        <v>17</v>
      </c>
      <c r="S1" s="41" t="s">
        <v>61</v>
      </c>
      <c r="T1" s="42" t="s">
        <v>18</v>
      </c>
      <c r="U1" s="43" t="s">
        <v>19</v>
      </c>
      <c r="V1" s="43" t="s">
        <v>20</v>
      </c>
      <c r="W1" s="45" t="s">
        <v>64</v>
      </c>
    </row>
    <row r="2" spans="1:23">
      <c r="A2" s="35">
        <v>43245</v>
      </c>
      <c r="B2" s="27"/>
      <c r="C2" s="27"/>
      <c r="D2" s="28">
        <v>400</v>
      </c>
      <c r="E2" s="28">
        <v>400</v>
      </c>
      <c r="F2" s="28"/>
      <c r="G2" s="29"/>
      <c r="H2" s="30"/>
      <c r="I2" s="30"/>
      <c r="J2" s="30">
        <v>400</v>
      </c>
      <c r="K2" s="30">
        <v>800</v>
      </c>
      <c r="L2" s="30"/>
      <c r="M2" s="30"/>
      <c r="N2" s="30"/>
      <c r="O2" s="31"/>
      <c r="P2" s="31"/>
      <c r="Q2" s="31"/>
      <c r="R2" s="32"/>
      <c r="S2" s="32"/>
      <c r="T2" s="33"/>
      <c r="U2" s="34"/>
      <c r="V2" s="34"/>
      <c r="W2" s="44"/>
    </row>
    <row r="3" spans="1:23">
      <c r="A3" s="35">
        <v>43250</v>
      </c>
      <c r="B3" s="27"/>
      <c r="C3" s="27"/>
      <c r="D3" s="28">
        <v>2000</v>
      </c>
      <c r="E3" s="28"/>
      <c r="F3" s="28"/>
      <c r="G3" s="29"/>
      <c r="H3" s="30"/>
      <c r="I3" s="30"/>
      <c r="J3" s="30"/>
      <c r="K3" s="30"/>
      <c r="L3" s="30"/>
      <c r="M3" s="30"/>
      <c r="N3" s="30"/>
      <c r="O3" s="31"/>
      <c r="P3" s="31"/>
      <c r="Q3" s="31"/>
      <c r="R3" s="32"/>
      <c r="S3" s="32"/>
      <c r="T3" s="33"/>
      <c r="U3" s="34"/>
      <c r="V3" s="34"/>
      <c r="W3" s="44"/>
    </row>
    <row r="4" spans="1:23">
      <c r="A4" s="35">
        <v>43270</v>
      </c>
      <c r="B4" s="27"/>
      <c r="C4" s="27"/>
      <c r="D4" s="28">
        <v>1200</v>
      </c>
      <c r="E4" s="28"/>
      <c r="F4" s="28"/>
      <c r="G4" s="29"/>
      <c r="H4" s="30"/>
      <c r="I4" s="30"/>
      <c r="J4" s="30"/>
      <c r="K4" s="30"/>
      <c r="L4" s="30"/>
      <c r="M4" s="30"/>
      <c r="N4" s="30">
        <v>400</v>
      </c>
      <c r="O4" s="31"/>
      <c r="P4" s="31"/>
      <c r="Q4" s="31"/>
      <c r="R4" s="32"/>
      <c r="S4" s="32"/>
      <c r="T4" s="33">
        <v>400</v>
      </c>
      <c r="U4" s="34"/>
      <c r="V4" s="34"/>
      <c r="W4" s="44"/>
    </row>
    <row r="5" spans="1:23">
      <c r="A5" s="35">
        <v>43286</v>
      </c>
      <c r="B5" s="27">
        <v>400</v>
      </c>
      <c r="C5" s="27">
        <v>400</v>
      </c>
      <c r="D5" s="28"/>
      <c r="E5" s="28"/>
      <c r="F5" s="28"/>
      <c r="G5" s="29">
        <v>800</v>
      </c>
      <c r="H5" s="30"/>
      <c r="I5" s="30"/>
      <c r="J5" s="30"/>
      <c r="K5" s="30"/>
      <c r="L5" s="30"/>
      <c r="M5" s="30">
        <v>400</v>
      </c>
      <c r="N5" s="30"/>
      <c r="O5" s="31"/>
      <c r="P5" s="31"/>
      <c r="Q5" s="31"/>
      <c r="R5" s="32"/>
      <c r="S5" s="32"/>
      <c r="T5" s="33"/>
      <c r="U5" s="34"/>
      <c r="V5" s="34"/>
      <c r="W5" s="44"/>
    </row>
    <row r="6" spans="1:23">
      <c r="A6" s="35">
        <v>43318</v>
      </c>
      <c r="B6" s="27"/>
      <c r="C6" s="27">
        <v>400</v>
      </c>
      <c r="D6" s="28">
        <v>800</v>
      </c>
      <c r="E6" s="28"/>
      <c r="F6" s="28"/>
      <c r="G6" s="29">
        <v>800</v>
      </c>
      <c r="H6" s="30"/>
      <c r="I6" s="30">
        <v>400</v>
      </c>
      <c r="J6" s="30"/>
      <c r="K6" s="30"/>
      <c r="L6" s="30"/>
      <c r="M6" s="30"/>
      <c r="N6" s="30"/>
      <c r="O6" s="31"/>
      <c r="P6" s="31"/>
      <c r="Q6" s="31"/>
      <c r="R6" s="32"/>
      <c r="S6" s="32"/>
      <c r="T6" s="33"/>
      <c r="U6" s="34"/>
      <c r="V6" s="34"/>
      <c r="W6" s="44"/>
    </row>
    <row r="7" spans="1:23">
      <c r="A7" s="35">
        <v>43329</v>
      </c>
      <c r="B7" s="27"/>
      <c r="C7" s="27"/>
      <c r="D7" s="28"/>
      <c r="E7" s="28"/>
      <c r="F7" s="28"/>
      <c r="G7" s="29"/>
      <c r="H7" s="30"/>
      <c r="I7" s="30">
        <v>800</v>
      </c>
      <c r="J7" s="30"/>
      <c r="K7" s="30"/>
      <c r="L7" s="30"/>
      <c r="M7" s="30"/>
      <c r="N7" s="30"/>
      <c r="O7" s="31"/>
      <c r="P7" s="31"/>
      <c r="Q7" s="31"/>
      <c r="R7" s="32"/>
      <c r="S7" s="32"/>
      <c r="T7" s="33"/>
      <c r="U7" s="34"/>
      <c r="V7" s="34"/>
      <c r="W7" s="44"/>
    </row>
    <row r="8" spans="1:23">
      <c r="A8" s="35">
        <v>43332</v>
      </c>
      <c r="B8" s="27"/>
      <c r="C8" s="27"/>
      <c r="D8" s="28"/>
      <c r="E8" s="28"/>
      <c r="F8" s="28"/>
      <c r="G8" s="29"/>
      <c r="H8" s="30">
        <v>800</v>
      </c>
      <c r="I8" s="30"/>
      <c r="J8" s="30"/>
      <c r="K8" s="30"/>
      <c r="L8" s="30"/>
      <c r="M8" s="30"/>
      <c r="N8" s="30"/>
      <c r="O8" s="31"/>
      <c r="P8" s="31"/>
      <c r="Q8" s="31"/>
      <c r="R8" s="32"/>
      <c r="S8" s="32"/>
      <c r="T8" s="33"/>
      <c r="U8" s="34"/>
      <c r="V8" s="34"/>
      <c r="W8" s="44"/>
    </row>
    <row r="9" spans="1:23">
      <c r="A9" s="35">
        <v>43346</v>
      </c>
      <c r="B9" s="27"/>
      <c r="C9" s="27">
        <v>400</v>
      </c>
      <c r="D9" s="28">
        <v>400</v>
      </c>
      <c r="E9" s="28"/>
      <c r="F9" s="28"/>
      <c r="G9" s="29"/>
      <c r="H9" s="30"/>
      <c r="I9" s="30"/>
      <c r="J9" s="30"/>
      <c r="K9" s="30"/>
      <c r="L9" s="30"/>
      <c r="M9" s="30"/>
      <c r="N9" s="30"/>
      <c r="O9" s="31"/>
      <c r="P9" s="31"/>
      <c r="Q9" s="31"/>
      <c r="R9" s="32"/>
      <c r="S9" s="32"/>
      <c r="T9" s="33"/>
      <c r="U9" s="34"/>
      <c r="V9" s="34"/>
      <c r="W9" s="44"/>
    </row>
    <row r="10" spans="1:23">
      <c r="A10" s="35">
        <v>43353</v>
      </c>
      <c r="B10" s="27"/>
      <c r="C10" s="27"/>
      <c r="D10" s="28">
        <v>800</v>
      </c>
      <c r="E10" s="28"/>
      <c r="F10" s="28"/>
      <c r="G10" s="29"/>
      <c r="H10" s="30"/>
      <c r="I10" s="30"/>
      <c r="J10" s="30">
        <v>400</v>
      </c>
      <c r="K10" s="30"/>
      <c r="L10" s="30"/>
      <c r="M10" s="30"/>
      <c r="N10" s="30"/>
      <c r="O10" s="31"/>
      <c r="P10" s="31"/>
      <c r="Q10" s="31"/>
      <c r="R10" s="32"/>
      <c r="S10" s="32"/>
      <c r="T10" s="33"/>
      <c r="U10" s="34"/>
      <c r="V10" s="34"/>
      <c r="W10" s="44"/>
    </row>
    <row r="11" spans="1:23">
      <c r="A11" s="35">
        <v>43371</v>
      </c>
      <c r="B11" s="27"/>
      <c r="C11" s="27">
        <v>400</v>
      </c>
      <c r="D11" s="28"/>
      <c r="E11" s="28"/>
      <c r="F11" s="28">
        <v>400</v>
      </c>
      <c r="G11" s="29">
        <v>400</v>
      </c>
      <c r="H11" s="30">
        <v>400</v>
      </c>
      <c r="I11" s="30"/>
      <c r="J11" s="30"/>
      <c r="K11" s="30"/>
      <c r="L11" s="30"/>
      <c r="M11" s="30">
        <v>400</v>
      </c>
      <c r="N11" s="30"/>
      <c r="O11" s="31"/>
      <c r="P11" s="31"/>
      <c r="Q11" s="31"/>
      <c r="R11" s="32"/>
      <c r="S11" s="32"/>
      <c r="T11" s="33">
        <v>400</v>
      </c>
      <c r="U11" s="34"/>
      <c r="V11" s="34"/>
      <c r="W11" s="44"/>
    </row>
    <row r="12" spans="1:23">
      <c r="A12" s="35">
        <v>43384</v>
      </c>
      <c r="B12" s="27"/>
      <c r="C12" s="27"/>
      <c r="D12" s="28">
        <v>800</v>
      </c>
      <c r="E12" s="28"/>
      <c r="F12" s="28"/>
      <c r="G12" s="29">
        <v>800</v>
      </c>
      <c r="H12" s="30">
        <v>400</v>
      </c>
      <c r="I12" s="30">
        <v>400</v>
      </c>
      <c r="J12" s="30"/>
      <c r="K12" s="30"/>
      <c r="L12" s="30"/>
      <c r="M12" s="30"/>
      <c r="N12" s="30"/>
      <c r="O12" s="31"/>
      <c r="P12" s="31"/>
      <c r="Q12" s="31"/>
      <c r="R12" s="32"/>
      <c r="S12" s="32"/>
      <c r="T12" s="33"/>
      <c r="U12" s="34"/>
      <c r="V12" s="34"/>
      <c r="W12" s="44"/>
    </row>
    <row r="13" spans="1:23">
      <c r="A13" s="35">
        <v>43403</v>
      </c>
      <c r="B13" s="27"/>
      <c r="C13" s="27">
        <v>800</v>
      </c>
      <c r="D13" s="28">
        <v>800</v>
      </c>
      <c r="E13" s="28"/>
      <c r="F13" s="28">
        <v>400</v>
      </c>
      <c r="G13" s="29">
        <v>800</v>
      </c>
      <c r="H13" s="30">
        <v>400</v>
      </c>
      <c r="I13" s="30"/>
      <c r="J13" s="30"/>
      <c r="K13" s="30"/>
      <c r="L13" s="30">
        <v>400</v>
      </c>
      <c r="M13" s="30"/>
      <c r="N13" s="30"/>
      <c r="O13" s="31"/>
      <c r="P13" s="31"/>
      <c r="Q13" s="31"/>
      <c r="R13" s="32"/>
      <c r="S13" s="32"/>
      <c r="T13" s="33">
        <v>400</v>
      </c>
      <c r="U13" s="34"/>
      <c r="V13" s="34"/>
      <c r="W13" s="44"/>
    </row>
    <row r="14" spans="1:23">
      <c r="A14" s="35">
        <v>43419</v>
      </c>
      <c r="B14" s="27"/>
      <c r="C14" s="27"/>
      <c r="D14" s="28"/>
      <c r="E14" s="28"/>
      <c r="F14" s="28"/>
      <c r="G14" s="29">
        <v>400</v>
      </c>
      <c r="H14" s="30"/>
      <c r="I14" s="30"/>
      <c r="J14" s="30"/>
      <c r="K14" s="30"/>
      <c r="L14" s="30"/>
      <c r="M14" s="30"/>
      <c r="N14" s="30"/>
      <c r="O14" s="31"/>
      <c r="P14" s="31">
        <v>800</v>
      </c>
      <c r="Q14" s="31"/>
      <c r="R14" s="32"/>
      <c r="S14" s="32"/>
      <c r="T14" s="33"/>
      <c r="U14" s="34"/>
      <c r="V14" s="34"/>
      <c r="W14" s="44"/>
    </row>
    <row r="15" spans="1:23">
      <c r="A15" s="35">
        <v>43434</v>
      </c>
      <c r="B15" s="27"/>
      <c r="C15" s="27"/>
      <c r="D15" s="28">
        <v>2000</v>
      </c>
      <c r="E15" s="28"/>
      <c r="F15" s="28"/>
      <c r="G15" s="29">
        <v>800</v>
      </c>
      <c r="H15" s="30">
        <v>800</v>
      </c>
      <c r="I15" s="30">
        <v>800</v>
      </c>
      <c r="J15" s="30"/>
      <c r="K15" s="30"/>
      <c r="L15" s="30"/>
      <c r="M15" s="30"/>
      <c r="N15" s="30"/>
      <c r="O15" s="31">
        <v>400</v>
      </c>
      <c r="P15" s="31"/>
      <c r="Q15" s="31">
        <v>400</v>
      </c>
      <c r="R15" s="32">
        <v>400</v>
      </c>
      <c r="S15" s="32"/>
      <c r="T15" s="33">
        <v>400</v>
      </c>
      <c r="U15" s="34"/>
      <c r="V15" s="34"/>
      <c r="W15" s="44"/>
    </row>
    <row r="16" spans="1:23">
      <c r="A16" s="35">
        <v>43448</v>
      </c>
      <c r="B16" s="27"/>
      <c r="C16" s="27">
        <v>400</v>
      </c>
      <c r="D16" s="28"/>
      <c r="E16" s="28"/>
      <c r="F16" s="28"/>
      <c r="G16" s="29">
        <v>1200</v>
      </c>
      <c r="H16" s="30">
        <v>2000</v>
      </c>
      <c r="I16" s="30">
        <v>2400</v>
      </c>
      <c r="J16" s="30"/>
      <c r="K16" s="30"/>
      <c r="L16" s="30"/>
      <c r="M16" s="30"/>
      <c r="N16" s="30"/>
      <c r="O16" s="31"/>
      <c r="P16" s="31"/>
      <c r="Q16" s="31"/>
      <c r="R16" s="32"/>
      <c r="S16" s="32"/>
      <c r="T16" s="33"/>
      <c r="U16" s="34"/>
      <c r="V16" s="34"/>
      <c r="W16" s="44"/>
    </row>
    <row r="17" spans="1:23">
      <c r="A17" s="35">
        <v>43461</v>
      </c>
      <c r="B17" s="27"/>
      <c r="C17" s="27"/>
      <c r="D17" s="28">
        <v>1000</v>
      </c>
      <c r="E17" s="28"/>
      <c r="F17" s="28"/>
      <c r="G17" s="29">
        <v>400</v>
      </c>
      <c r="H17" s="30">
        <v>400</v>
      </c>
      <c r="I17" s="30"/>
      <c r="J17" s="30">
        <v>400</v>
      </c>
      <c r="K17" s="30">
        <v>400</v>
      </c>
      <c r="L17" s="30"/>
      <c r="M17" s="30"/>
      <c r="N17" s="30"/>
      <c r="O17" s="31"/>
      <c r="P17" s="31"/>
      <c r="Q17" s="31"/>
      <c r="R17" s="32">
        <v>400</v>
      </c>
      <c r="S17" s="32"/>
      <c r="T17" s="33"/>
      <c r="U17" s="34"/>
      <c r="V17" s="34"/>
      <c r="W17" s="44"/>
    </row>
    <row r="18" spans="1:23">
      <c r="A18" s="35">
        <v>43480</v>
      </c>
      <c r="B18" s="27"/>
      <c r="C18" s="27"/>
      <c r="D18" s="28">
        <v>400</v>
      </c>
      <c r="E18" s="28"/>
      <c r="F18" s="28">
        <v>400</v>
      </c>
      <c r="G18" s="29">
        <v>400</v>
      </c>
      <c r="H18" s="30"/>
      <c r="I18" s="30"/>
      <c r="J18" s="30">
        <v>400</v>
      </c>
      <c r="K18" s="30">
        <v>1200</v>
      </c>
      <c r="L18" s="30"/>
      <c r="M18" s="30"/>
      <c r="N18" s="30"/>
      <c r="O18" s="31"/>
      <c r="P18" s="31"/>
      <c r="Q18" s="31"/>
      <c r="R18" s="32"/>
      <c r="S18" s="32"/>
      <c r="T18" s="33"/>
      <c r="U18" s="34">
        <v>400</v>
      </c>
      <c r="V18" s="34"/>
      <c r="W18" s="44"/>
    </row>
    <row r="19" spans="1:23">
      <c r="A19" s="35">
        <v>43496</v>
      </c>
      <c r="B19" s="27"/>
      <c r="C19" s="27">
        <v>800</v>
      </c>
      <c r="D19" s="28">
        <v>1600</v>
      </c>
      <c r="E19" s="28">
        <v>400</v>
      </c>
      <c r="F19" s="28">
        <v>800</v>
      </c>
      <c r="G19" s="29"/>
      <c r="H19" s="30"/>
      <c r="I19" s="30"/>
      <c r="J19" s="30">
        <v>800</v>
      </c>
      <c r="K19" s="30">
        <v>800</v>
      </c>
      <c r="L19" s="30"/>
      <c r="M19" s="30"/>
      <c r="N19" s="30"/>
      <c r="O19" s="31"/>
      <c r="P19" s="31"/>
      <c r="Q19" s="31">
        <v>800</v>
      </c>
      <c r="R19" s="32"/>
      <c r="S19" s="32"/>
      <c r="T19" s="33"/>
      <c r="U19" s="34"/>
      <c r="V19" s="34">
        <v>400</v>
      </c>
      <c r="W19" s="44"/>
    </row>
    <row r="20" spans="1:23">
      <c r="A20" s="35">
        <v>43524</v>
      </c>
      <c r="B20" s="27"/>
      <c r="C20" s="27"/>
      <c r="D20" s="28"/>
      <c r="E20" s="28"/>
      <c r="F20" s="28"/>
      <c r="G20" s="29"/>
      <c r="H20" s="30"/>
      <c r="I20" s="30"/>
      <c r="J20" s="30"/>
      <c r="K20" s="30"/>
      <c r="L20" s="30"/>
      <c r="M20" s="30"/>
      <c r="N20" s="30"/>
      <c r="O20" s="31"/>
      <c r="P20" s="31"/>
      <c r="Q20" s="31">
        <v>400</v>
      </c>
      <c r="R20" s="32"/>
      <c r="S20" s="32"/>
      <c r="T20" s="33"/>
      <c r="U20" s="34"/>
      <c r="V20" s="34"/>
      <c r="W20" s="44"/>
    </row>
    <row r="21" spans="1:23">
      <c r="A21" s="35">
        <v>43552</v>
      </c>
      <c r="B21" s="27"/>
      <c r="C21" s="27"/>
      <c r="D21" s="28"/>
      <c r="E21" s="28"/>
      <c r="F21" s="28"/>
      <c r="G21" s="29"/>
      <c r="H21" s="30"/>
      <c r="I21" s="30"/>
      <c r="J21" s="30"/>
      <c r="K21" s="30"/>
      <c r="L21" s="30"/>
      <c r="M21" s="30"/>
      <c r="N21" s="30"/>
      <c r="O21" s="31"/>
      <c r="P21" s="31"/>
      <c r="Q21" s="31">
        <v>400</v>
      </c>
      <c r="R21" s="32">
        <v>400</v>
      </c>
      <c r="S21" s="32">
        <v>400</v>
      </c>
      <c r="T21" s="33"/>
      <c r="U21" s="34"/>
      <c r="V21" s="34"/>
      <c r="W21" s="44"/>
    </row>
    <row r="22" spans="1:23">
      <c r="A22" s="35">
        <v>43581</v>
      </c>
      <c r="B22" s="27"/>
      <c r="C22" s="27"/>
      <c r="D22" s="28"/>
      <c r="E22" s="28"/>
      <c r="F22" s="28"/>
      <c r="G22" s="29"/>
      <c r="H22" s="30"/>
      <c r="I22" s="30"/>
      <c r="J22" s="30">
        <v>800</v>
      </c>
      <c r="K22" s="30"/>
      <c r="L22" s="30"/>
      <c r="M22" s="30"/>
      <c r="N22" s="30"/>
      <c r="O22" s="31"/>
      <c r="P22" s="31"/>
      <c r="Q22" s="31"/>
      <c r="R22" s="32"/>
      <c r="S22" s="32"/>
      <c r="T22" s="33"/>
      <c r="U22" s="34"/>
      <c r="V22" s="34"/>
      <c r="W22" s="44"/>
    </row>
    <row r="23" spans="1:23">
      <c r="A23" s="35">
        <v>43584</v>
      </c>
      <c r="B23" s="27"/>
      <c r="C23" s="27"/>
      <c r="D23" s="28"/>
      <c r="E23" s="28">
        <v>400</v>
      </c>
      <c r="F23" s="28"/>
      <c r="G23" s="29"/>
      <c r="H23" s="30"/>
      <c r="I23" s="30"/>
      <c r="J23" s="30"/>
      <c r="K23" s="30"/>
      <c r="L23" s="30"/>
      <c r="M23" s="30"/>
      <c r="N23" s="30"/>
      <c r="O23" s="31"/>
      <c r="P23" s="31"/>
      <c r="Q23" s="31"/>
      <c r="R23" s="32"/>
      <c r="S23" s="32"/>
      <c r="T23" s="33"/>
      <c r="U23" s="34"/>
      <c r="V23" s="34"/>
      <c r="W23" s="44"/>
    </row>
    <row r="24" spans="1:23">
      <c r="A24" s="35">
        <v>43600</v>
      </c>
      <c r="B24" s="27">
        <v>400</v>
      </c>
      <c r="C24" s="27">
        <v>400</v>
      </c>
      <c r="D24" s="28"/>
      <c r="E24" s="28"/>
      <c r="F24" s="28"/>
      <c r="G24" s="29"/>
      <c r="H24" s="30"/>
      <c r="I24" s="30"/>
      <c r="J24" s="30"/>
      <c r="K24" s="30"/>
      <c r="L24" s="30">
        <v>-400</v>
      </c>
      <c r="M24" s="30"/>
      <c r="N24" s="30"/>
      <c r="O24" s="31"/>
      <c r="P24" s="31"/>
      <c r="Q24" s="31"/>
      <c r="R24" s="32"/>
      <c r="S24" s="32"/>
      <c r="T24" s="33"/>
      <c r="U24" s="34"/>
      <c r="V24" s="34">
        <v>400</v>
      </c>
      <c r="W24" s="44"/>
    </row>
    <row r="25" spans="1:23">
      <c r="A25" s="35">
        <v>43601</v>
      </c>
      <c r="B25" s="27">
        <v>400</v>
      </c>
      <c r="C25" s="27"/>
      <c r="D25" s="28"/>
      <c r="E25" s="28"/>
      <c r="F25" s="28"/>
      <c r="G25" s="29">
        <v>1600</v>
      </c>
      <c r="H25" s="30"/>
      <c r="I25" s="30"/>
      <c r="J25" s="30"/>
      <c r="K25" s="30"/>
      <c r="L25" s="30"/>
      <c r="M25" s="30"/>
      <c r="N25" s="30"/>
      <c r="O25" s="31"/>
      <c r="P25" s="31"/>
      <c r="Q25" s="31"/>
      <c r="R25" s="32"/>
      <c r="S25" s="32"/>
      <c r="T25" s="33"/>
      <c r="U25" s="34"/>
      <c r="V25" s="34"/>
      <c r="W25" s="44"/>
    </row>
    <row r="26" spans="1:23">
      <c r="A26" s="35">
        <v>43615</v>
      </c>
      <c r="B26" s="27"/>
      <c r="C26" s="27"/>
      <c r="D26" s="28"/>
      <c r="E26" s="28"/>
      <c r="F26" s="28"/>
      <c r="G26" s="29"/>
      <c r="H26" s="30"/>
      <c r="I26" s="30"/>
      <c r="J26" s="30"/>
      <c r="K26" s="30"/>
      <c r="L26" s="30"/>
      <c r="M26" s="30"/>
      <c r="N26" s="30"/>
      <c r="O26" s="31"/>
      <c r="P26" s="31">
        <v>800</v>
      </c>
      <c r="Q26" s="31"/>
      <c r="R26" s="32"/>
      <c r="S26" s="32"/>
      <c r="T26" s="33"/>
      <c r="U26" s="34"/>
      <c r="V26" s="34">
        <v>800</v>
      </c>
      <c r="W26" s="44"/>
    </row>
    <row r="27" spans="1:23">
      <c r="A27" s="35">
        <v>43634</v>
      </c>
      <c r="B27" s="27"/>
      <c r="C27" s="27"/>
      <c r="D27" s="28">
        <v>800</v>
      </c>
      <c r="E27" s="28"/>
      <c r="F27" s="28"/>
      <c r="G27" s="29"/>
      <c r="H27" s="30"/>
      <c r="I27" s="30"/>
      <c r="J27" s="30"/>
      <c r="K27" s="30"/>
      <c r="L27" s="30"/>
      <c r="M27" s="30"/>
      <c r="N27" s="30"/>
      <c r="O27" s="31"/>
      <c r="P27" s="31"/>
      <c r="Q27" s="31"/>
      <c r="R27" s="32"/>
      <c r="S27" s="32"/>
      <c r="T27" s="33"/>
      <c r="U27" s="34"/>
      <c r="V27" s="34">
        <v>400</v>
      </c>
      <c r="W27" s="44"/>
    </row>
    <row r="28" spans="1:23">
      <c r="A28" s="35">
        <v>43647</v>
      </c>
      <c r="B28" s="27"/>
      <c r="C28" s="27"/>
      <c r="D28" s="28"/>
      <c r="E28" s="28"/>
      <c r="F28" s="28"/>
      <c r="G28" s="29"/>
      <c r="H28" s="30"/>
      <c r="I28" s="30"/>
      <c r="J28" s="30"/>
      <c r="K28" s="30"/>
      <c r="L28" s="30"/>
      <c r="M28" s="30"/>
      <c r="N28" s="30"/>
      <c r="O28" s="31"/>
      <c r="P28" s="31"/>
      <c r="Q28" s="31"/>
      <c r="R28" s="32"/>
      <c r="S28" s="32">
        <v>400</v>
      </c>
      <c r="T28" s="33"/>
      <c r="U28" s="34"/>
      <c r="V28" s="34"/>
      <c r="W28" s="44"/>
    </row>
    <row r="29" spans="1:23">
      <c r="A29" s="35">
        <v>43677</v>
      </c>
      <c r="B29" s="27"/>
      <c r="C29" s="27"/>
      <c r="D29" s="28"/>
      <c r="E29" s="28"/>
      <c r="F29" s="28"/>
      <c r="G29" s="29"/>
      <c r="H29" s="30"/>
      <c r="I29" s="30"/>
      <c r="J29" s="30"/>
      <c r="K29" s="30"/>
      <c r="L29" s="30"/>
      <c r="M29" s="30"/>
      <c r="N29" s="30"/>
      <c r="O29" s="31"/>
      <c r="P29" s="31"/>
      <c r="Q29" s="31"/>
      <c r="R29" s="32"/>
      <c r="S29" s="32">
        <v>400</v>
      </c>
      <c r="T29" s="33"/>
      <c r="U29" s="34"/>
      <c r="V29" s="34">
        <v>800</v>
      </c>
      <c r="W29" s="44"/>
    </row>
    <row r="30" spans="1:23">
      <c r="A30" s="35">
        <v>43770</v>
      </c>
      <c r="B30" s="27"/>
      <c r="C30" s="27"/>
      <c r="D30" s="28">
        <v>400</v>
      </c>
      <c r="E30" s="28"/>
      <c r="F30" s="28"/>
      <c r="G30" s="29">
        <v>400</v>
      </c>
      <c r="H30" s="30"/>
      <c r="I30" s="30"/>
      <c r="J30" s="30"/>
      <c r="K30" s="30"/>
      <c r="L30" s="30"/>
      <c r="M30" s="30"/>
      <c r="N30" s="30"/>
      <c r="O30" s="31"/>
      <c r="P30" s="31"/>
      <c r="Q30" s="31"/>
      <c r="R30" s="32">
        <v>400</v>
      </c>
      <c r="S30" s="32"/>
      <c r="T30" s="33"/>
      <c r="U30" s="34"/>
      <c r="V30" s="34">
        <v>800</v>
      </c>
      <c r="W30" s="83"/>
    </row>
    <row r="35" spans="1:23">
      <c r="A35" s="18" t="s">
        <v>62</v>
      </c>
      <c r="B35" s="27">
        <f>SUM(B2:B34)</f>
        <v>1200</v>
      </c>
      <c r="C35" s="27">
        <f t="shared" ref="C35:V35" si="0">SUM(C2:C34)</f>
        <v>4000</v>
      </c>
      <c r="D35" s="28">
        <f t="shared" si="0"/>
        <v>13400</v>
      </c>
      <c r="E35" s="28">
        <f t="shared" si="0"/>
        <v>1200</v>
      </c>
      <c r="F35" s="28">
        <f t="shared" si="0"/>
        <v>2000</v>
      </c>
      <c r="G35" s="29">
        <f t="shared" si="0"/>
        <v>8800</v>
      </c>
      <c r="H35" s="30">
        <f t="shared" si="0"/>
        <v>5200</v>
      </c>
      <c r="I35" s="30">
        <f t="shared" si="0"/>
        <v>4800</v>
      </c>
      <c r="J35" s="30">
        <f t="shared" si="0"/>
        <v>3200</v>
      </c>
      <c r="K35" s="30">
        <f t="shared" si="0"/>
        <v>3200</v>
      </c>
      <c r="L35" s="30">
        <f t="shared" si="0"/>
        <v>0</v>
      </c>
      <c r="M35" s="30">
        <f t="shared" si="0"/>
        <v>800</v>
      </c>
      <c r="N35" s="30">
        <f t="shared" si="0"/>
        <v>400</v>
      </c>
      <c r="O35" s="31">
        <f t="shared" si="0"/>
        <v>400</v>
      </c>
      <c r="P35" s="31">
        <f t="shared" si="0"/>
        <v>1600</v>
      </c>
      <c r="Q35" s="31">
        <f t="shared" si="0"/>
        <v>2000</v>
      </c>
      <c r="R35" s="32">
        <f t="shared" si="0"/>
        <v>1600</v>
      </c>
      <c r="S35" s="32">
        <f t="shared" si="0"/>
        <v>1200</v>
      </c>
      <c r="T35" s="33">
        <f t="shared" si="0"/>
        <v>1600</v>
      </c>
      <c r="U35" s="34">
        <f t="shared" si="0"/>
        <v>400</v>
      </c>
      <c r="V35" s="34">
        <f t="shared" si="0"/>
        <v>3600</v>
      </c>
      <c r="W35">
        <f>72000-SUM(B35:V35)</f>
        <v>11400</v>
      </c>
    </row>
    <row r="36" spans="1:23">
      <c r="B36" s="46">
        <f>B35/400*0.0055</f>
        <v>1.6500000000000001E-2</v>
      </c>
      <c r="C36" s="46">
        <f t="shared" ref="C36:V36" si="1">C35/400*0.0055</f>
        <v>5.4999999999999993E-2</v>
      </c>
      <c r="D36" s="47">
        <f t="shared" si="1"/>
        <v>0.18425</v>
      </c>
      <c r="E36" s="47">
        <f t="shared" si="1"/>
        <v>1.6500000000000001E-2</v>
      </c>
      <c r="F36" s="47">
        <f t="shared" si="1"/>
        <v>2.7499999999999997E-2</v>
      </c>
      <c r="G36" s="48">
        <f t="shared" si="1"/>
        <v>0.121</v>
      </c>
      <c r="H36" s="49">
        <f t="shared" si="1"/>
        <v>7.1499999999999994E-2</v>
      </c>
      <c r="I36" s="49">
        <f t="shared" si="1"/>
        <v>6.6000000000000003E-2</v>
      </c>
      <c r="J36" s="49">
        <f t="shared" si="1"/>
        <v>4.3999999999999997E-2</v>
      </c>
      <c r="K36" s="49">
        <f t="shared" si="1"/>
        <v>4.3999999999999997E-2</v>
      </c>
      <c r="L36" s="49">
        <f t="shared" si="1"/>
        <v>0</v>
      </c>
      <c r="M36" s="49">
        <f t="shared" si="1"/>
        <v>1.0999999999999999E-2</v>
      </c>
      <c r="N36" s="49">
        <f t="shared" si="1"/>
        <v>5.4999999999999997E-3</v>
      </c>
      <c r="O36" s="50">
        <f t="shared" si="1"/>
        <v>5.4999999999999997E-3</v>
      </c>
      <c r="P36" s="50">
        <f t="shared" si="1"/>
        <v>2.1999999999999999E-2</v>
      </c>
      <c r="Q36" s="50">
        <f t="shared" si="1"/>
        <v>2.7499999999999997E-2</v>
      </c>
      <c r="R36" s="51">
        <f t="shared" si="1"/>
        <v>2.1999999999999999E-2</v>
      </c>
      <c r="S36" s="51">
        <f t="shared" si="1"/>
        <v>1.6500000000000001E-2</v>
      </c>
      <c r="T36" s="52">
        <f t="shared" si="1"/>
        <v>2.1999999999999999E-2</v>
      </c>
      <c r="U36" s="53">
        <f t="shared" si="1"/>
        <v>5.4999999999999997E-3</v>
      </c>
      <c r="V36" s="53">
        <f t="shared" si="1"/>
        <v>4.9499999999999995E-2</v>
      </c>
      <c r="W36" s="26">
        <f>1-SUM(B36:V36)</f>
        <v>0.16675000000000018</v>
      </c>
    </row>
    <row r="47" spans="1:23">
      <c r="L47" t="s">
        <v>124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26564-71D0-49C0-AB5A-4594204B0C50}">
  <sheetPr codeName="Sheet2"/>
  <dimension ref="A1:K37"/>
  <sheetViews>
    <sheetView workbookViewId="0">
      <selection activeCell="M26" sqref="M26"/>
    </sheetView>
  </sheetViews>
  <sheetFormatPr defaultRowHeight="13.8"/>
  <cols>
    <col min="1" max="1" width="8.6640625" customWidth="1"/>
    <col min="2" max="3" width="25.6640625" customWidth="1"/>
    <col min="4" max="4" width="8.6640625" customWidth="1"/>
    <col min="5" max="6" width="25.6640625" customWidth="1"/>
    <col min="7" max="7" width="8.6640625" customWidth="1"/>
    <col min="8" max="8" width="26.109375" bestFit="1" customWidth="1"/>
    <col min="9" max="11" width="8.6640625" customWidth="1"/>
  </cols>
  <sheetData>
    <row r="1" spans="1:11" ht="14.4" thickBot="1"/>
    <row r="2" spans="1:11">
      <c r="A2" s="63"/>
      <c r="B2" s="80" t="s">
        <v>162</v>
      </c>
      <c r="C2" s="81"/>
      <c r="E2" s="80" t="s">
        <v>163</v>
      </c>
      <c r="F2" s="81"/>
      <c r="H2" s="70" t="s">
        <v>169</v>
      </c>
      <c r="I2" s="71" t="s">
        <v>166</v>
      </c>
      <c r="J2" s="71" t="s">
        <v>167</v>
      </c>
      <c r="K2" s="72" t="s">
        <v>168</v>
      </c>
    </row>
    <row r="3" spans="1:11">
      <c r="B3" s="64" t="s">
        <v>164</v>
      </c>
      <c r="C3" s="65" t="s">
        <v>165</v>
      </c>
      <c r="E3" s="64" t="s">
        <v>164</v>
      </c>
      <c r="F3" s="65" t="s">
        <v>165</v>
      </c>
      <c r="H3" s="73" t="s">
        <v>71</v>
      </c>
      <c r="I3" s="69">
        <f>INDEX(B:B,MATCH($H3,B$1:B$100,0)+1)</f>
        <v>184.02</v>
      </c>
      <c r="J3" s="69">
        <f>INDEX(E:E,MATCH($H3,E$1:E$100,0)+1)</f>
        <v>80.41</v>
      </c>
      <c r="K3" s="74">
        <f>I3+J3</f>
        <v>264.43</v>
      </c>
    </row>
    <row r="4" spans="1:11">
      <c r="B4" s="64">
        <f>SUM(B5:B63)</f>
        <v>6071.9800000000005</v>
      </c>
      <c r="C4" s="65">
        <f>SUM(C5:C63)</f>
        <v>-44.839999999999989</v>
      </c>
      <c r="E4" s="64">
        <f>SUM(E5:E63)</f>
        <v>6085.4699999999993</v>
      </c>
      <c r="F4" s="65">
        <f>SUM(F5:F63)</f>
        <v>-40.290000000000006</v>
      </c>
      <c r="H4" s="73" t="s">
        <v>72</v>
      </c>
      <c r="I4" s="69">
        <f t="shared" ref="I4:I13" si="0">INDEX(B:B,MATCH($H4,B$1:B$100,0)+1)</f>
        <v>488.95</v>
      </c>
      <c r="J4" s="69">
        <f t="shared" ref="J4:J13" si="1">INDEX(E:E,MATCH($H4,E$1:E$100,0)+1)</f>
        <v>560.98</v>
      </c>
      <c r="K4" s="74">
        <f t="shared" ref="K4:K13" si="2">I4+J4</f>
        <v>1049.93</v>
      </c>
    </row>
    <row r="5" spans="1:11">
      <c r="B5" s="64" t="s">
        <v>125</v>
      </c>
      <c r="C5" s="65" t="s">
        <v>158</v>
      </c>
      <c r="E5" s="64" t="s">
        <v>67</v>
      </c>
      <c r="F5" s="65" t="s">
        <v>158</v>
      </c>
      <c r="H5" s="73" t="s">
        <v>67</v>
      </c>
      <c r="I5" s="69">
        <f t="shared" si="0"/>
        <v>1048.0999999999999</v>
      </c>
      <c r="J5" s="69">
        <f t="shared" si="1"/>
        <v>1121.03</v>
      </c>
      <c r="K5" s="74">
        <f t="shared" si="2"/>
        <v>2169.13</v>
      </c>
    </row>
    <row r="6" spans="1:11">
      <c r="B6" s="66">
        <v>1119.75</v>
      </c>
      <c r="C6" s="65">
        <v>-40.5</v>
      </c>
      <c r="E6" s="66">
        <v>1121.03</v>
      </c>
      <c r="F6" s="65">
        <v>-0.99</v>
      </c>
      <c r="H6" s="73" t="s">
        <v>73</v>
      </c>
      <c r="I6" s="69">
        <f t="shared" si="0"/>
        <v>34.61</v>
      </c>
      <c r="J6" s="69">
        <f t="shared" si="1"/>
        <v>34.61</v>
      </c>
      <c r="K6" s="74">
        <f t="shared" si="2"/>
        <v>69.22</v>
      </c>
    </row>
    <row r="7" spans="1:11">
      <c r="B7" s="64" t="s">
        <v>156</v>
      </c>
      <c r="C7" s="65" t="s">
        <v>159</v>
      </c>
      <c r="E7" s="64" t="s">
        <v>156</v>
      </c>
      <c r="F7" s="65" t="s">
        <v>159</v>
      </c>
      <c r="H7" s="73" t="s">
        <v>66</v>
      </c>
      <c r="I7" s="69">
        <f t="shared" si="0"/>
        <v>880.81</v>
      </c>
      <c r="J7" s="69">
        <f t="shared" si="1"/>
        <v>917.55</v>
      </c>
      <c r="K7" s="74">
        <f t="shared" si="2"/>
        <v>1798.36</v>
      </c>
    </row>
    <row r="8" spans="1:11">
      <c r="B8" s="64" t="s">
        <v>65</v>
      </c>
      <c r="C8" s="65" t="s">
        <v>158</v>
      </c>
      <c r="E8" s="64" t="s">
        <v>65</v>
      </c>
      <c r="F8" s="65" t="s">
        <v>158</v>
      </c>
      <c r="H8" s="73" t="s">
        <v>68</v>
      </c>
      <c r="I8" s="69">
        <f t="shared" si="0"/>
        <v>778.55</v>
      </c>
      <c r="J8" s="69">
        <f t="shared" si="1"/>
        <v>764.99</v>
      </c>
      <c r="K8" s="74">
        <f t="shared" si="2"/>
        <v>1543.54</v>
      </c>
    </row>
    <row r="9" spans="1:11">
      <c r="B9" s="66">
        <v>1100.0999999999999</v>
      </c>
      <c r="C9" s="65">
        <v>1.6</v>
      </c>
      <c r="E9" s="66">
        <v>1075.94</v>
      </c>
      <c r="F9" s="65">
        <v>4.3099999999999996</v>
      </c>
      <c r="H9" s="73" t="s">
        <v>125</v>
      </c>
      <c r="I9" s="69">
        <f t="shared" si="0"/>
        <v>1119.75</v>
      </c>
      <c r="J9" s="69">
        <f t="shared" si="1"/>
        <v>1071.81</v>
      </c>
      <c r="K9" s="74">
        <f t="shared" si="2"/>
        <v>2191.56</v>
      </c>
    </row>
    <row r="10" spans="1:11">
      <c r="B10" s="64" t="s">
        <v>156</v>
      </c>
      <c r="C10" s="65" t="s">
        <v>159</v>
      </c>
      <c r="E10" s="64" t="s">
        <v>156</v>
      </c>
      <c r="F10" s="65" t="s">
        <v>159</v>
      </c>
      <c r="H10" s="73" t="s">
        <v>69</v>
      </c>
      <c r="I10" s="69">
        <f t="shared" si="0"/>
        <v>210.62</v>
      </c>
      <c r="J10" s="69">
        <f t="shared" si="1"/>
        <v>198.92</v>
      </c>
      <c r="K10" s="74">
        <f t="shared" si="2"/>
        <v>409.53999999999996</v>
      </c>
    </row>
    <row r="11" spans="1:11">
      <c r="B11" s="64" t="s">
        <v>67</v>
      </c>
      <c r="C11" s="65" t="s">
        <v>160</v>
      </c>
      <c r="E11" s="64" t="s">
        <v>125</v>
      </c>
      <c r="F11" s="65" t="s">
        <v>158</v>
      </c>
      <c r="H11" s="73" t="s">
        <v>70</v>
      </c>
      <c r="I11" s="69">
        <f t="shared" si="0"/>
        <v>160.43</v>
      </c>
      <c r="J11" s="69">
        <f t="shared" si="1"/>
        <v>160.43</v>
      </c>
      <c r="K11" s="74">
        <f t="shared" si="2"/>
        <v>320.86</v>
      </c>
    </row>
    <row r="12" spans="1:11">
      <c r="B12" s="66">
        <v>1048.0999999999999</v>
      </c>
      <c r="C12" s="65">
        <v>1.83</v>
      </c>
      <c r="E12" s="66">
        <v>1071.81</v>
      </c>
      <c r="F12" s="65">
        <v>-33.450000000000003</v>
      </c>
      <c r="H12" s="73" t="s">
        <v>155</v>
      </c>
      <c r="I12" s="69">
        <f t="shared" si="0"/>
        <v>66.040000000000006</v>
      </c>
      <c r="J12" s="69">
        <f t="shared" si="1"/>
        <v>98.8</v>
      </c>
      <c r="K12" s="74">
        <f t="shared" si="2"/>
        <v>164.84</v>
      </c>
    </row>
    <row r="13" spans="1:11" ht="14.4" thickBot="1">
      <c r="B13" s="64" t="s">
        <v>156</v>
      </c>
      <c r="C13" s="65" t="s">
        <v>159</v>
      </c>
      <c r="E13" s="64" t="s">
        <v>156</v>
      </c>
      <c r="F13" s="65" t="s">
        <v>159</v>
      </c>
      <c r="H13" s="75" t="s">
        <v>65</v>
      </c>
      <c r="I13" s="76">
        <f t="shared" si="0"/>
        <v>1100.0999999999999</v>
      </c>
      <c r="J13" s="76">
        <f t="shared" si="1"/>
        <v>1075.94</v>
      </c>
      <c r="K13" s="77">
        <f t="shared" si="2"/>
        <v>2176.04</v>
      </c>
    </row>
    <row r="14" spans="1:11">
      <c r="B14" s="64" t="s">
        <v>66</v>
      </c>
      <c r="C14" s="65" t="s">
        <v>161</v>
      </c>
      <c r="E14" s="64" t="s">
        <v>66</v>
      </c>
      <c r="F14" s="65" t="s">
        <v>158</v>
      </c>
    </row>
    <row r="15" spans="1:11">
      <c r="B15" s="64">
        <v>880.81</v>
      </c>
      <c r="C15" s="65">
        <v>-10.32</v>
      </c>
      <c r="E15" s="64">
        <v>917.55</v>
      </c>
      <c r="F15" s="65">
        <v>-8.74</v>
      </c>
      <c r="H15" s="78" t="s">
        <v>170</v>
      </c>
      <c r="I15" s="79">
        <f>B4+E4</f>
        <v>12157.45</v>
      </c>
    </row>
    <row r="16" spans="1:11">
      <c r="B16" s="64" t="s">
        <v>156</v>
      </c>
      <c r="C16" s="65" t="s">
        <v>159</v>
      </c>
      <c r="E16" s="64" t="s">
        <v>156</v>
      </c>
      <c r="F16" s="65" t="s">
        <v>159</v>
      </c>
      <c r="H16" s="78" t="s">
        <v>171</v>
      </c>
      <c r="I16" s="44">
        <f>C4+F4</f>
        <v>-85.13</v>
      </c>
    </row>
    <row r="17" spans="2:6">
      <c r="B17" s="64" t="s">
        <v>68</v>
      </c>
      <c r="C17" s="65" t="s">
        <v>158</v>
      </c>
      <c r="E17" s="64" t="s">
        <v>68</v>
      </c>
      <c r="F17" s="65" t="s">
        <v>158</v>
      </c>
    </row>
    <row r="18" spans="2:6">
      <c r="B18" s="64">
        <v>778.55</v>
      </c>
      <c r="C18" s="65">
        <v>3.96</v>
      </c>
      <c r="E18" s="64">
        <v>764.99</v>
      </c>
      <c r="F18" s="65">
        <v>3.47</v>
      </c>
    </row>
    <row r="19" spans="2:6">
      <c r="B19" s="64" t="s">
        <v>156</v>
      </c>
      <c r="C19" s="65" t="s">
        <v>159</v>
      </c>
      <c r="E19" s="64" t="s">
        <v>156</v>
      </c>
      <c r="F19" s="65" t="s">
        <v>159</v>
      </c>
    </row>
    <row r="20" spans="2:6">
      <c r="B20" s="64" t="s">
        <v>72</v>
      </c>
      <c r="C20" s="65" t="s">
        <v>158</v>
      </c>
      <c r="E20" s="64" t="s">
        <v>72</v>
      </c>
      <c r="F20" s="65" t="s">
        <v>158</v>
      </c>
    </row>
    <row r="21" spans="2:6">
      <c r="B21" s="64">
        <v>488.95</v>
      </c>
      <c r="C21" s="65">
        <v>-3.69</v>
      </c>
      <c r="E21" s="64">
        <v>560.98</v>
      </c>
      <c r="F21" s="65">
        <v>-5.49</v>
      </c>
    </row>
    <row r="22" spans="2:6">
      <c r="B22" s="64" t="s">
        <v>156</v>
      </c>
      <c r="C22" s="65" t="s">
        <v>159</v>
      </c>
      <c r="E22" s="64" t="s">
        <v>156</v>
      </c>
      <c r="F22" s="65" t="s">
        <v>159</v>
      </c>
    </row>
    <row r="23" spans="2:6">
      <c r="B23" s="64" t="s">
        <v>69</v>
      </c>
      <c r="C23" s="65" t="s">
        <v>161</v>
      </c>
      <c r="E23" s="64" t="s">
        <v>69</v>
      </c>
      <c r="F23" s="65" t="s">
        <v>158</v>
      </c>
    </row>
    <row r="24" spans="2:6">
      <c r="B24" s="64">
        <v>210.62</v>
      </c>
      <c r="C24" s="65">
        <v>-12.89</v>
      </c>
      <c r="E24" s="64">
        <v>198.92</v>
      </c>
      <c r="F24" s="65">
        <v>-12.3</v>
      </c>
    </row>
    <row r="25" spans="2:6">
      <c r="B25" s="64" t="s">
        <v>156</v>
      </c>
      <c r="C25" s="65" t="s">
        <v>159</v>
      </c>
      <c r="E25" s="64" t="s">
        <v>156</v>
      </c>
      <c r="F25" s="65" t="s">
        <v>159</v>
      </c>
    </row>
    <row r="26" spans="2:6">
      <c r="B26" s="64" t="s">
        <v>71</v>
      </c>
      <c r="C26" s="65" t="s">
        <v>160</v>
      </c>
      <c r="E26" s="64" t="s">
        <v>70</v>
      </c>
      <c r="F26" s="65" t="s">
        <v>158</v>
      </c>
    </row>
    <row r="27" spans="2:6">
      <c r="B27" s="64">
        <v>184.02</v>
      </c>
      <c r="C27" s="65">
        <v>1.57</v>
      </c>
      <c r="E27" s="64">
        <v>160.43</v>
      </c>
      <c r="F27" s="65">
        <v>17.73</v>
      </c>
    </row>
    <row r="28" spans="2:6">
      <c r="B28" s="64" t="s">
        <v>156</v>
      </c>
      <c r="C28" s="65" t="s">
        <v>159</v>
      </c>
      <c r="E28" s="64" t="s">
        <v>156</v>
      </c>
      <c r="F28" s="65" t="s">
        <v>159</v>
      </c>
    </row>
    <row r="29" spans="2:6">
      <c r="B29" s="64" t="s">
        <v>70</v>
      </c>
      <c r="C29" s="65" t="s">
        <v>158</v>
      </c>
      <c r="E29" s="64" t="s">
        <v>155</v>
      </c>
      <c r="F29" s="65" t="s">
        <v>158</v>
      </c>
    </row>
    <row r="30" spans="2:6">
      <c r="B30" s="64">
        <v>160.43</v>
      </c>
      <c r="C30" s="65">
        <v>17.73</v>
      </c>
      <c r="E30" s="64">
        <v>98.8</v>
      </c>
      <c r="F30" s="65">
        <v>-2.73</v>
      </c>
    </row>
    <row r="31" spans="2:6">
      <c r="B31" s="64" t="s">
        <v>157</v>
      </c>
      <c r="C31" s="65" t="s">
        <v>159</v>
      </c>
      <c r="E31" s="64" t="s">
        <v>156</v>
      </c>
      <c r="F31" s="65" t="s">
        <v>159</v>
      </c>
    </row>
    <row r="32" spans="2:6">
      <c r="B32" s="64" t="s">
        <v>155</v>
      </c>
      <c r="C32" s="65" t="s">
        <v>158</v>
      </c>
      <c r="E32" s="64" t="s">
        <v>71</v>
      </c>
      <c r="F32" s="65" t="s">
        <v>158</v>
      </c>
    </row>
    <row r="33" spans="2:6">
      <c r="B33" s="64">
        <v>66.040000000000006</v>
      </c>
      <c r="C33" s="65">
        <v>-1.66</v>
      </c>
      <c r="E33" s="64">
        <v>80.41</v>
      </c>
      <c r="F33" s="65">
        <v>0.37</v>
      </c>
    </row>
    <row r="34" spans="2:6">
      <c r="B34" s="64" t="s">
        <v>156</v>
      </c>
      <c r="C34" s="65" t="s">
        <v>159</v>
      </c>
      <c r="E34" s="64" t="s">
        <v>156</v>
      </c>
      <c r="F34" s="65" t="s">
        <v>159</v>
      </c>
    </row>
    <row r="35" spans="2:6">
      <c r="B35" s="64" t="s">
        <v>73</v>
      </c>
      <c r="C35" s="65" t="s">
        <v>158</v>
      </c>
      <c r="E35" s="64" t="s">
        <v>73</v>
      </c>
      <c r="F35" s="65" t="s">
        <v>158</v>
      </c>
    </row>
    <row r="36" spans="2:6">
      <c r="B36" s="64">
        <v>34.61</v>
      </c>
      <c r="C36" s="65">
        <v>-2.4700000000000002</v>
      </c>
      <c r="E36" s="64">
        <v>34.61</v>
      </c>
      <c r="F36" s="65">
        <v>-2.4700000000000002</v>
      </c>
    </row>
    <row r="37" spans="2:6" ht="14.4" thickBot="1">
      <c r="B37" s="67" t="s">
        <v>156</v>
      </c>
      <c r="C37" s="68" t="s">
        <v>159</v>
      </c>
      <c r="E37" s="67" t="s">
        <v>156</v>
      </c>
      <c r="F37" s="68" t="s">
        <v>159</v>
      </c>
    </row>
  </sheetData>
  <mergeCells count="2">
    <mergeCell ref="B2:C2"/>
    <mergeCell ref="E2:F2"/>
  </mergeCells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9DECB-F06F-40A7-BDC5-792900BEB875}">
  <sheetPr codeName="Sheet3"/>
  <dimension ref="A1:H30"/>
  <sheetViews>
    <sheetView workbookViewId="0">
      <selection activeCell="E35" sqref="E35"/>
    </sheetView>
  </sheetViews>
  <sheetFormatPr defaultColWidth="8.88671875" defaultRowHeight="13.8"/>
  <cols>
    <col min="2" max="2" width="27.6640625" bestFit="1" customWidth="1"/>
    <col min="6" max="7" width="10.44140625" bestFit="1" customWidth="1"/>
    <col min="8" max="8" width="19" bestFit="1" customWidth="1"/>
  </cols>
  <sheetData>
    <row r="1" spans="1:8">
      <c r="A1" t="s">
        <v>78</v>
      </c>
      <c r="B1" t="s">
        <v>79</v>
      </c>
      <c r="C1" t="s">
        <v>80</v>
      </c>
      <c r="D1" t="s">
        <v>81</v>
      </c>
      <c r="E1" t="s">
        <v>82</v>
      </c>
      <c r="F1" t="s">
        <v>83</v>
      </c>
      <c r="G1" t="s">
        <v>84</v>
      </c>
      <c r="H1" t="s">
        <v>85</v>
      </c>
    </row>
    <row r="2" spans="1:8">
      <c r="A2">
        <v>482002</v>
      </c>
      <c r="B2" t="s">
        <v>86</v>
      </c>
      <c r="C2" t="s">
        <v>87</v>
      </c>
      <c r="D2" s="55">
        <v>43738</v>
      </c>
      <c r="E2">
        <v>1</v>
      </c>
      <c r="F2">
        <v>4721.5600000000004</v>
      </c>
      <c r="G2" s="54">
        <v>4721.5600000000004</v>
      </c>
      <c r="H2" t="s">
        <v>88</v>
      </c>
    </row>
    <row r="3" spans="1:8">
      <c r="A3">
        <v>360003</v>
      </c>
      <c r="B3" t="s">
        <v>89</v>
      </c>
      <c r="C3" t="s">
        <v>87</v>
      </c>
      <c r="D3" s="55">
        <v>43738</v>
      </c>
      <c r="E3">
        <v>1</v>
      </c>
      <c r="F3">
        <v>2318.1999999999998</v>
      </c>
      <c r="G3" s="54">
        <v>2318.1999999999998</v>
      </c>
      <c r="H3" t="s">
        <v>88</v>
      </c>
    </row>
    <row r="4" spans="1:8">
      <c r="A4">
        <v>3474</v>
      </c>
      <c r="B4" t="s">
        <v>90</v>
      </c>
      <c r="C4" t="s">
        <v>87</v>
      </c>
      <c r="D4" s="55">
        <v>43738</v>
      </c>
      <c r="E4">
        <v>1</v>
      </c>
      <c r="F4">
        <v>615809.94999999995</v>
      </c>
      <c r="G4" s="54">
        <v>615809.94999999995</v>
      </c>
      <c r="H4" t="s">
        <v>88</v>
      </c>
    </row>
    <row r="5" spans="1:8">
      <c r="A5">
        <v>600</v>
      </c>
      <c r="B5" t="s">
        <v>91</v>
      </c>
      <c r="C5" t="s">
        <v>87</v>
      </c>
      <c r="D5" s="55">
        <v>43738</v>
      </c>
      <c r="E5">
        <v>1</v>
      </c>
      <c r="F5">
        <v>402.77</v>
      </c>
      <c r="G5" s="54">
        <v>402.77</v>
      </c>
      <c r="H5" t="s">
        <v>88</v>
      </c>
    </row>
    <row r="6" spans="1:8">
      <c r="A6">
        <v>638</v>
      </c>
      <c r="B6" t="s">
        <v>92</v>
      </c>
      <c r="C6" t="s">
        <v>87</v>
      </c>
      <c r="D6" s="55">
        <v>43738</v>
      </c>
      <c r="E6">
        <v>1</v>
      </c>
      <c r="F6">
        <v>7.0000000000000007E-2</v>
      </c>
      <c r="G6" s="54">
        <v>7.0000000000000007E-2</v>
      </c>
      <c r="H6" t="s">
        <v>88</v>
      </c>
    </row>
    <row r="7" spans="1:8">
      <c r="A7">
        <v>51</v>
      </c>
      <c r="B7" t="s">
        <v>93</v>
      </c>
      <c r="C7" t="s">
        <v>94</v>
      </c>
      <c r="D7" s="55">
        <v>43738</v>
      </c>
      <c r="E7">
        <v>1.28</v>
      </c>
      <c r="F7">
        <v>325.61</v>
      </c>
      <c r="G7" s="54">
        <v>416.78</v>
      </c>
      <c r="H7" t="s">
        <v>95</v>
      </c>
    </row>
    <row r="8" spans="1:8">
      <c r="A8">
        <v>968</v>
      </c>
      <c r="B8" t="s">
        <v>96</v>
      </c>
      <c r="C8" t="s">
        <v>94</v>
      </c>
      <c r="D8" s="55">
        <v>43738</v>
      </c>
      <c r="E8">
        <v>0.9425</v>
      </c>
      <c r="F8">
        <v>6096.21</v>
      </c>
      <c r="G8" s="54">
        <v>5745.67</v>
      </c>
      <c r="H8" t="s">
        <v>95</v>
      </c>
    </row>
    <row r="9" spans="1:8">
      <c r="A9">
        <v>110026</v>
      </c>
      <c r="B9" t="s">
        <v>97</v>
      </c>
      <c r="C9" t="s">
        <v>94</v>
      </c>
      <c r="D9" s="55">
        <v>43738</v>
      </c>
      <c r="E9">
        <v>1.6890000000000001</v>
      </c>
      <c r="F9">
        <v>1213.0899999999999</v>
      </c>
      <c r="G9" s="54">
        <v>2048.9</v>
      </c>
      <c r="H9" t="s">
        <v>95</v>
      </c>
    </row>
    <row r="10" spans="1:8">
      <c r="A10">
        <v>164906</v>
      </c>
      <c r="B10" t="s">
        <v>98</v>
      </c>
      <c r="C10" t="s">
        <v>99</v>
      </c>
      <c r="D10" s="55">
        <v>43735</v>
      </c>
      <c r="E10">
        <v>1.1619999999999999</v>
      </c>
      <c r="F10">
        <v>1407.29</v>
      </c>
      <c r="G10" s="54">
        <v>1635.27</v>
      </c>
      <c r="H10" t="s">
        <v>95</v>
      </c>
    </row>
    <row r="11" spans="1:8">
      <c r="A11">
        <v>71</v>
      </c>
      <c r="B11" t="s">
        <v>100</v>
      </c>
      <c r="C11" t="s">
        <v>99</v>
      </c>
      <c r="D11" s="55">
        <v>43738</v>
      </c>
      <c r="E11">
        <v>1.4693000000000001</v>
      </c>
      <c r="F11">
        <v>275.49</v>
      </c>
      <c r="G11" s="54">
        <v>404.77</v>
      </c>
      <c r="H11" t="s">
        <v>101</v>
      </c>
    </row>
    <row r="12" spans="1:8">
      <c r="A12">
        <v>216</v>
      </c>
      <c r="B12" t="s">
        <v>102</v>
      </c>
      <c r="C12" t="s">
        <v>94</v>
      </c>
      <c r="D12" s="55">
        <v>43738</v>
      </c>
      <c r="E12">
        <v>1.2613000000000001</v>
      </c>
      <c r="F12">
        <v>733.79</v>
      </c>
      <c r="G12" s="54">
        <v>925.52</v>
      </c>
      <c r="H12" t="s">
        <v>101</v>
      </c>
    </row>
    <row r="13" spans="1:8">
      <c r="A13">
        <v>614</v>
      </c>
      <c r="B13" t="s">
        <v>103</v>
      </c>
      <c r="C13" t="s">
        <v>99</v>
      </c>
      <c r="D13" s="55">
        <v>43734</v>
      </c>
      <c r="E13">
        <v>1.1299999999999999</v>
      </c>
      <c r="F13">
        <v>1884.74</v>
      </c>
      <c r="G13" s="54">
        <v>2129.75</v>
      </c>
      <c r="H13" t="s">
        <v>101</v>
      </c>
    </row>
    <row r="14" spans="1:8">
      <c r="A14">
        <v>1051</v>
      </c>
      <c r="B14" t="s">
        <v>104</v>
      </c>
      <c r="C14" t="s">
        <v>94</v>
      </c>
      <c r="D14" s="55">
        <v>43738</v>
      </c>
      <c r="E14">
        <v>0.995</v>
      </c>
      <c r="F14">
        <v>1338.46</v>
      </c>
      <c r="G14" s="54">
        <v>1331.76</v>
      </c>
      <c r="H14" t="s">
        <v>101</v>
      </c>
    </row>
    <row r="15" spans="1:8">
      <c r="A15">
        <v>1064</v>
      </c>
      <c r="B15" t="s">
        <v>105</v>
      </c>
      <c r="C15" t="s">
        <v>94</v>
      </c>
      <c r="D15" s="55">
        <v>43738</v>
      </c>
      <c r="E15">
        <v>0.54730000000000001</v>
      </c>
      <c r="F15">
        <v>5949.77</v>
      </c>
      <c r="G15" s="54">
        <v>3256.3</v>
      </c>
      <c r="H15" t="s">
        <v>101</v>
      </c>
    </row>
    <row r="16" spans="1:8">
      <c r="A16">
        <v>1180</v>
      </c>
      <c r="B16" t="s">
        <v>106</v>
      </c>
      <c r="C16" t="s">
        <v>94</v>
      </c>
      <c r="D16" s="55">
        <v>43738</v>
      </c>
      <c r="E16">
        <v>0.82010000000000005</v>
      </c>
      <c r="F16">
        <v>6750.28</v>
      </c>
      <c r="G16" s="54">
        <v>5535.9</v>
      </c>
      <c r="H16" t="s">
        <v>101</v>
      </c>
    </row>
    <row r="17" spans="1:8">
      <c r="A17">
        <v>1469</v>
      </c>
      <c r="B17" t="s">
        <v>107</v>
      </c>
      <c r="C17" t="s">
        <v>94</v>
      </c>
      <c r="D17" s="55">
        <v>43738</v>
      </c>
      <c r="E17">
        <v>1.0722</v>
      </c>
      <c r="F17">
        <v>900.35</v>
      </c>
      <c r="G17" s="54">
        <v>965.35</v>
      </c>
      <c r="H17" t="s">
        <v>101</v>
      </c>
    </row>
    <row r="18" spans="1:8">
      <c r="A18">
        <v>2903</v>
      </c>
      <c r="B18" t="s">
        <v>108</v>
      </c>
      <c r="C18" t="s">
        <v>94</v>
      </c>
      <c r="D18" s="55">
        <v>43738</v>
      </c>
      <c r="E18">
        <v>0.86799999999999999</v>
      </c>
      <c r="F18">
        <v>275.95999999999998</v>
      </c>
      <c r="G18" s="54">
        <v>239.53</v>
      </c>
      <c r="H18" t="s">
        <v>101</v>
      </c>
    </row>
    <row r="19" spans="1:8">
      <c r="A19">
        <v>3765</v>
      </c>
      <c r="B19" t="s">
        <v>109</v>
      </c>
      <c r="C19" t="s">
        <v>94</v>
      </c>
      <c r="D19" s="55">
        <v>43738</v>
      </c>
      <c r="E19">
        <v>0.92020000000000002</v>
      </c>
      <c r="F19">
        <v>492.57</v>
      </c>
      <c r="G19" s="54">
        <v>453.26</v>
      </c>
      <c r="H19" t="s">
        <v>101</v>
      </c>
    </row>
    <row r="20" spans="1:8">
      <c r="A20">
        <v>4752</v>
      </c>
      <c r="B20" t="s">
        <v>110</v>
      </c>
      <c r="C20" t="s">
        <v>94</v>
      </c>
      <c r="D20" s="55">
        <v>43738</v>
      </c>
      <c r="E20">
        <v>0.75449999999999995</v>
      </c>
      <c r="F20">
        <v>4423.4799999999996</v>
      </c>
      <c r="G20" s="54">
        <v>3337.51</v>
      </c>
      <c r="H20" t="s">
        <v>101</v>
      </c>
    </row>
    <row r="21" spans="1:8">
      <c r="A21">
        <v>100032</v>
      </c>
      <c r="B21" t="s">
        <v>111</v>
      </c>
      <c r="C21" t="s">
        <v>94</v>
      </c>
      <c r="D21" s="55">
        <v>43738</v>
      </c>
      <c r="E21">
        <v>1.091</v>
      </c>
      <c r="F21">
        <v>8318.43</v>
      </c>
      <c r="G21" s="54">
        <v>9075.4</v>
      </c>
      <c r="H21" t="s">
        <v>101</v>
      </c>
    </row>
    <row r="22" spans="1:8">
      <c r="A22">
        <v>100038</v>
      </c>
      <c r="B22" t="s">
        <v>112</v>
      </c>
      <c r="C22" t="s">
        <v>94</v>
      </c>
      <c r="D22" s="55">
        <v>43738</v>
      </c>
      <c r="E22">
        <v>1.5960000000000001</v>
      </c>
      <c r="F22">
        <v>2760.12</v>
      </c>
      <c r="G22" s="54">
        <v>4405.1499999999996</v>
      </c>
      <c r="H22" t="s">
        <v>101</v>
      </c>
    </row>
    <row r="23" spans="1:8">
      <c r="A23">
        <v>110027</v>
      </c>
      <c r="B23" t="s">
        <v>113</v>
      </c>
      <c r="C23" t="s">
        <v>114</v>
      </c>
      <c r="D23" s="55">
        <v>43738</v>
      </c>
      <c r="E23">
        <v>1.66</v>
      </c>
      <c r="F23">
        <v>1743.65</v>
      </c>
      <c r="G23" s="54">
        <v>2894.45</v>
      </c>
      <c r="H23" t="s">
        <v>101</v>
      </c>
    </row>
    <row r="24" spans="1:8">
      <c r="A24">
        <v>161017</v>
      </c>
      <c r="B24" t="s">
        <v>115</v>
      </c>
      <c r="C24" t="s">
        <v>94</v>
      </c>
      <c r="D24" s="55">
        <v>43738</v>
      </c>
      <c r="E24">
        <v>1.5940000000000001</v>
      </c>
      <c r="F24">
        <v>2046.97</v>
      </c>
      <c r="G24" s="54">
        <v>3262.87</v>
      </c>
      <c r="H24" t="s">
        <v>101</v>
      </c>
    </row>
    <row r="25" spans="1:8">
      <c r="A25">
        <v>162411</v>
      </c>
      <c r="B25" t="s">
        <v>116</v>
      </c>
      <c r="C25" t="s">
        <v>99</v>
      </c>
      <c r="D25" s="55">
        <v>43735</v>
      </c>
      <c r="E25">
        <v>0.40300000000000002</v>
      </c>
      <c r="F25">
        <v>2329.2199999999998</v>
      </c>
      <c r="G25" s="54">
        <v>938.67</v>
      </c>
      <c r="H25" t="s">
        <v>101</v>
      </c>
    </row>
    <row r="26" spans="1:8">
      <c r="A26">
        <v>162413</v>
      </c>
      <c r="B26" t="s">
        <v>117</v>
      </c>
      <c r="C26" t="s">
        <v>94</v>
      </c>
      <c r="D26" s="55">
        <v>43738</v>
      </c>
      <c r="E26">
        <v>0.80210000000000004</v>
      </c>
      <c r="F26">
        <v>1495.03</v>
      </c>
      <c r="G26" s="54">
        <v>1199.1600000000001</v>
      </c>
      <c r="H26" t="s">
        <v>101</v>
      </c>
    </row>
    <row r="27" spans="1:8">
      <c r="A27">
        <v>162711</v>
      </c>
      <c r="B27" t="s">
        <v>118</v>
      </c>
      <c r="C27" t="s">
        <v>94</v>
      </c>
      <c r="D27" s="55">
        <v>43738</v>
      </c>
      <c r="E27">
        <v>1.0861000000000001</v>
      </c>
      <c r="F27">
        <v>9331.14</v>
      </c>
      <c r="G27" s="54">
        <v>10134.549999999999</v>
      </c>
      <c r="H27" t="s">
        <v>101</v>
      </c>
    </row>
    <row r="28" spans="1:8">
      <c r="A28">
        <v>340001</v>
      </c>
      <c r="B28" t="s">
        <v>119</v>
      </c>
      <c r="C28" t="s">
        <v>120</v>
      </c>
      <c r="D28" s="55">
        <v>43738</v>
      </c>
      <c r="E28">
        <v>1.1351</v>
      </c>
      <c r="F28">
        <v>1630.08</v>
      </c>
      <c r="G28" s="54">
        <v>1850.3</v>
      </c>
      <c r="H28" t="s">
        <v>101</v>
      </c>
    </row>
    <row r="29" spans="1:8">
      <c r="A29">
        <v>502010</v>
      </c>
      <c r="B29" t="s">
        <v>121</v>
      </c>
      <c r="C29" t="s">
        <v>94</v>
      </c>
      <c r="D29" s="55">
        <v>43738</v>
      </c>
      <c r="E29">
        <v>1.0057</v>
      </c>
      <c r="F29">
        <v>496.13</v>
      </c>
      <c r="G29" s="54">
        <v>498.95</v>
      </c>
      <c r="H29" t="s">
        <v>101</v>
      </c>
    </row>
    <row r="30" spans="1:8">
      <c r="A30">
        <v>519977</v>
      </c>
      <c r="B30" t="s">
        <v>122</v>
      </c>
      <c r="C30" t="s">
        <v>114</v>
      </c>
      <c r="D30" s="55">
        <v>43738</v>
      </c>
      <c r="E30">
        <v>1.3379000000000001</v>
      </c>
      <c r="F30">
        <v>333.04</v>
      </c>
      <c r="G30" s="54">
        <v>445.57</v>
      </c>
      <c r="H30" t="s">
        <v>101</v>
      </c>
    </row>
  </sheetData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31D4C-62FA-4C34-9719-B8D4E616594B}">
  <sheetPr codeName="Sheet4"/>
  <dimension ref="A1:C29"/>
  <sheetViews>
    <sheetView workbookViewId="0">
      <selection activeCell="B22" sqref="B22"/>
    </sheetView>
  </sheetViews>
  <sheetFormatPr defaultColWidth="8.88671875" defaultRowHeight="13.8"/>
  <cols>
    <col min="2" max="2" width="27.6640625" bestFit="1" customWidth="1"/>
    <col min="3" max="3" width="10.33203125" bestFit="1" customWidth="1"/>
    <col min="5" max="5" width="26.109375" bestFit="1" customWidth="1"/>
  </cols>
  <sheetData>
    <row r="1" spans="1:3">
      <c r="A1" s="57">
        <v>482002</v>
      </c>
      <c r="B1" s="56" t="s">
        <v>126</v>
      </c>
      <c r="C1" s="61">
        <v>4721.5600000000004</v>
      </c>
    </row>
    <row r="2" spans="1:3">
      <c r="A2" s="57">
        <v>360003</v>
      </c>
      <c r="B2" s="56" t="s">
        <v>127</v>
      </c>
      <c r="C2" s="61">
        <v>2318.1999999999998</v>
      </c>
    </row>
    <row r="3" spans="1:3">
      <c r="A3" s="57">
        <v>3474</v>
      </c>
      <c r="B3" s="56" t="s">
        <v>128</v>
      </c>
      <c r="C3" s="61">
        <v>615809.94999999995</v>
      </c>
    </row>
    <row r="4" spans="1:3">
      <c r="A4" s="57">
        <v>600</v>
      </c>
      <c r="B4" s="56" t="s">
        <v>129</v>
      </c>
      <c r="C4" s="61">
        <v>402.77</v>
      </c>
    </row>
    <row r="5" spans="1:3">
      <c r="A5" s="57">
        <v>638</v>
      </c>
      <c r="B5" s="56" t="s">
        <v>130</v>
      </c>
      <c r="C5" s="61">
        <v>7.0000000000000007E-2</v>
      </c>
    </row>
    <row r="6" spans="1:3">
      <c r="A6" s="57">
        <v>51</v>
      </c>
      <c r="B6" s="56" t="s">
        <v>131</v>
      </c>
      <c r="C6" s="61">
        <v>416.78</v>
      </c>
    </row>
    <row r="7" spans="1:3">
      <c r="A7" s="57">
        <v>968</v>
      </c>
      <c r="B7" s="56" t="s">
        <v>132</v>
      </c>
      <c r="C7" s="61">
        <v>5745.67</v>
      </c>
    </row>
    <row r="8" spans="1:3">
      <c r="A8" s="57">
        <v>110026</v>
      </c>
      <c r="B8" s="56" t="s">
        <v>133</v>
      </c>
      <c r="C8" s="61">
        <v>2048.9</v>
      </c>
    </row>
    <row r="9" spans="1:3">
      <c r="A9" s="57">
        <v>164906</v>
      </c>
      <c r="B9" s="56" t="s">
        <v>134</v>
      </c>
      <c r="C9" s="61">
        <v>1635.27</v>
      </c>
    </row>
    <row r="10" spans="1:3">
      <c r="A10" s="57">
        <v>71</v>
      </c>
      <c r="B10" s="56" t="s">
        <v>135</v>
      </c>
      <c r="C10" s="61">
        <v>404.77</v>
      </c>
    </row>
    <row r="11" spans="1:3">
      <c r="A11" s="57">
        <v>216</v>
      </c>
      <c r="B11" s="56" t="s">
        <v>136</v>
      </c>
      <c r="C11" s="61">
        <v>925.52</v>
      </c>
    </row>
    <row r="12" spans="1:3">
      <c r="A12" s="57">
        <v>614</v>
      </c>
      <c r="B12" s="56" t="s">
        <v>137</v>
      </c>
      <c r="C12" s="61">
        <v>2129.75</v>
      </c>
    </row>
    <row r="13" spans="1:3">
      <c r="A13" s="57">
        <v>1051</v>
      </c>
      <c r="B13" s="56" t="s">
        <v>138</v>
      </c>
      <c r="C13" s="61">
        <v>1331.76</v>
      </c>
    </row>
    <row r="14" spans="1:3">
      <c r="A14" s="57">
        <v>1064</v>
      </c>
      <c r="B14" s="56" t="s">
        <v>139</v>
      </c>
      <c r="C14" s="61">
        <v>3256.3</v>
      </c>
    </row>
    <row r="15" spans="1:3">
      <c r="A15" s="57">
        <v>1180</v>
      </c>
      <c r="B15" s="56" t="s">
        <v>140</v>
      </c>
      <c r="C15" s="61">
        <v>5535.9</v>
      </c>
    </row>
    <row r="16" spans="1:3">
      <c r="A16" s="57">
        <v>1469</v>
      </c>
      <c r="B16" s="56" t="s">
        <v>141</v>
      </c>
      <c r="C16" s="61">
        <v>965.35</v>
      </c>
    </row>
    <row r="17" spans="1:3">
      <c r="A17" s="57">
        <v>2903</v>
      </c>
      <c r="B17" s="56" t="s">
        <v>142</v>
      </c>
      <c r="C17" s="61">
        <v>239.53</v>
      </c>
    </row>
    <row r="18" spans="1:3">
      <c r="A18" s="57">
        <v>3765</v>
      </c>
      <c r="B18" s="56" t="s">
        <v>143</v>
      </c>
      <c r="C18" s="61">
        <v>453.26</v>
      </c>
    </row>
    <row r="19" spans="1:3">
      <c r="A19" s="57">
        <v>4752</v>
      </c>
      <c r="B19" s="56" t="s">
        <v>144</v>
      </c>
      <c r="C19" s="61">
        <v>3337.51</v>
      </c>
    </row>
    <row r="20" spans="1:3">
      <c r="A20" s="57">
        <v>100032</v>
      </c>
      <c r="B20" s="56" t="s">
        <v>145</v>
      </c>
      <c r="C20" s="61">
        <v>9075.4</v>
      </c>
    </row>
    <row r="21" spans="1:3">
      <c r="A21" s="57">
        <v>100038</v>
      </c>
      <c r="B21" s="56" t="s">
        <v>146</v>
      </c>
      <c r="C21" s="61">
        <v>4405.1499999999996</v>
      </c>
    </row>
    <row r="22" spans="1:3">
      <c r="A22" s="57">
        <v>110027</v>
      </c>
      <c r="B22" s="56" t="s">
        <v>147</v>
      </c>
      <c r="C22" s="61">
        <v>2894.45</v>
      </c>
    </row>
    <row r="23" spans="1:3">
      <c r="A23" s="57">
        <v>161017</v>
      </c>
      <c r="B23" s="56" t="s">
        <v>148</v>
      </c>
      <c r="C23" s="61">
        <v>3262.87</v>
      </c>
    </row>
    <row r="24" spans="1:3">
      <c r="A24" s="57">
        <v>162411</v>
      </c>
      <c r="B24" s="56" t="s">
        <v>149</v>
      </c>
      <c r="C24" s="61">
        <v>938.67</v>
      </c>
    </row>
    <row r="25" spans="1:3">
      <c r="A25" s="57">
        <v>162413</v>
      </c>
      <c r="B25" s="56" t="s">
        <v>150</v>
      </c>
      <c r="C25" s="61">
        <v>1199.1600000000001</v>
      </c>
    </row>
    <row r="26" spans="1:3">
      <c r="A26" s="57">
        <v>162711</v>
      </c>
      <c r="B26" s="56" t="s">
        <v>151</v>
      </c>
      <c r="C26" s="61">
        <v>10134.549999999999</v>
      </c>
    </row>
    <row r="27" spans="1:3">
      <c r="A27" s="57">
        <v>340001</v>
      </c>
      <c r="B27" s="56" t="s">
        <v>152</v>
      </c>
      <c r="C27" s="61">
        <v>1850.3</v>
      </c>
    </row>
    <row r="28" spans="1:3">
      <c r="A28" s="57">
        <v>502010</v>
      </c>
      <c r="B28" s="56" t="s">
        <v>153</v>
      </c>
      <c r="C28" s="61">
        <v>498.95</v>
      </c>
    </row>
    <row r="29" spans="1:3">
      <c r="A29" s="57">
        <v>519977</v>
      </c>
      <c r="B29" s="56" t="s">
        <v>154</v>
      </c>
      <c r="C29" s="61">
        <v>445.57</v>
      </c>
    </row>
  </sheetData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P102"/>
  <sheetViews>
    <sheetView zoomScaleNormal="100" workbookViewId="0">
      <pane ySplit="1" topLeftCell="A2" activePane="bottomLeft" state="frozen"/>
      <selection pane="bottomLeft" activeCell="C2" sqref="C2:C38"/>
    </sheetView>
  </sheetViews>
  <sheetFormatPr defaultColWidth="21.109375" defaultRowHeight="13.8"/>
  <cols>
    <col min="1" max="1" width="15.109375" style="9" bestFit="1" customWidth="1"/>
    <col min="2" max="3" width="17.33203125" style="9" bestFit="1" customWidth="1"/>
    <col min="4" max="4" width="24" style="9" customWidth="1"/>
    <col min="5" max="5" width="9" style="9" bestFit="1" customWidth="1"/>
    <col min="6" max="6" width="8.88671875" style="9" bestFit="1" customWidth="1"/>
    <col min="7" max="7" width="9.33203125" style="9" bestFit="1" customWidth="1"/>
    <col min="8" max="9" width="9" style="9" bestFit="1" customWidth="1"/>
    <col min="10" max="10" width="21.109375" style="9"/>
    <col min="11" max="11" width="15.109375" style="9" bestFit="1" customWidth="1"/>
    <col min="12" max="12" width="11" style="9" bestFit="1" customWidth="1"/>
    <col min="13" max="16384" width="21.109375" style="9"/>
  </cols>
  <sheetData>
    <row r="1" spans="1:15">
      <c r="A1" s="8" t="s">
        <v>0</v>
      </c>
      <c r="B1" s="8" t="s">
        <v>1</v>
      </c>
      <c r="C1" s="8" t="s">
        <v>2</v>
      </c>
      <c r="D1" s="8" t="s">
        <v>8</v>
      </c>
      <c r="E1" s="8" t="s">
        <v>6</v>
      </c>
      <c r="F1" s="8" t="s">
        <v>4</v>
      </c>
      <c r="G1" s="18" t="s">
        <v>3</v>
      </c>
      <c r="H1" s="8" t="s">
        <v>77</v>
      </c>
      <c r="I1" s="8" t="s">
        <v>123</v>
      </c>
      <c r="K1" s="18" t="s">
        <v>35</v>
      </c>
      <c r="L1" s="18" t="s">
        <v>36</v>
      </c>
      <c r="M1" s="17"/>
      <c r="N1" s="8"/>
    </row>
    <row r="2" spans="1:15">
      <c r="A2" s="82" t="str">
        <f>"A股"&amp;" , "&amp;TEXT(SUM(E2:E28),"0.00%")</f>
        <v>A股 , 71.39%</v>
      </c>
      <c r="B2" s="82" t="str">
        <f>"大盘股"&amp;" , "&amp;TEXT(SUM(E2:E4),"0.00%")</f>
        <v>大盘股 , 7.10%</v>
      </c>
      <c r="C2" s="20" t="str">
        <f>"上证50"&amp;" , "&amp;TEXT(SUM(E2:E2),"0.00%")</f>
        <v>上证50 , 1.54%</v>
      </c>
      <c r="D2" s="10" t="s">
        <v>22</v>
      </c>
      <c r="E2" s="11">
        <f t="shared" ref="E2:E29" si="0">F2/$F$39</f>
        <v>1.536253995470464E-2</v>
      </c>
      <c r="F2" s="2">
        <f>SUM(G2:H2)</f>
        <v>1331.76</v>
      </c>
      <c r="G2" s="60">
        <v>1331.76</v>
      </c>
      <c r="H2" s="2"/>
      <c r="I2" s="58">
        <v>1051</v>
      </c>
      <c r="K2" s="18">
        <f>K4+K6</f>
        <v>84157.45</v>
      </c>
      <c r="L2" s="18">
        <f>$K$4+$K$6+$K$8+$K$10</f>
        <v>859257.32000000007</v>
      </c>
      <c r="M2" s="17"/>
      <c r="N2" s="8"/>
    </row>
    <row r="3" spans="1:15">
      <c r="A3" s="82"/>
      <c r="B3" s="82"/>
      <c r="C3" s="82" t="str">
        <f>"沪深300"&amp;" , "&amp;TEXT(SUM(E3:E4),"0.00%")</f>
        <v>沪深300 , 5.56%</v>
      </c>
      <c r="D3" s="10" t="s">
        <v>24</v>
      </c>
      <c r="E3" s="11">
        <f t="shared" si="0"/>
        <v>5.0815682166056302E-2</v>
      </c>
      <c r="F3" s="2">
        <f t="shared" ref="F3:F38" si="1">SUM(G3:H3)</f>
        <v>4405.1499999999996</v>
      </c>
      <c r="G3" s="60">
        <v>4405.1499999999996</v>
      </c>
      <c r="I3" s="58">
        <v>100038</v>
      </c>
      <c r="K3" s="18" t="s">
        <v>23</v>
      </c>
      <c r="L3" s="18" t="s">
        <v>76</v>
      </c>
      <c r="M3" s="8"/>
      <c r="N3" s="1"/>
    </row>
    <row r="4" spans="1:15">
      <c r="A4" s="82"/>
      <c r="B4" s="82"/>
      <c r="C4" s="82"/>
      <c r="D4" s="21" t="s">
        <v>42</v>
      </c>
      <c r="E4" s="11">
        <f t="shared" si="0"/>
        <v>4.8077727235551447E-3</v>
      </c>
      <c r="F4" s="2">
        <f t="shared" si="1"/>
        <v>416.78</v>
      </c>
      <c r="G4" s="60">
        <v>416.78</v>
      </c>
      <c r="I4" s="58">
        <v>51</v>
      </c>
      <c r="K4" s="18">
        <v>72000</v>
      </c>
      <c r="L4" s="5">
        <f>F39-SUM(F19:F29)-K4</f>
        <v>2531.3399999999965</v>
      </c>
      <c r="M4" s="8"/>
      <c r="N4" s="1"/>
    </row>
    <row r="5" spans="1:15">
      <c r="A5" s="82"/>
      <c r="B5" s="82" t="str">
        <f>"中小盘股"&amp;" , "&amp;TEXT(SUM(E5:E10),"0.00%")</f>
        <v>中小盘股 , 20.00%</v>
      </c>
      <c r="C5" s="82" t="str">
        <f>"中证500"&amp;" , "&amp;TEXT(SUM(E5:E7),"0.00%")</f>
        <v>中证500 , 15.73%</v>
      </c>
      <c r="D5" s="10" t="s">
        <v>44</v>
      </c>
      <c r="E5" s="11">
        <f t="shared" si="0"/>
        <v>0.11690727255507892</v>
      </c>
      <c r="F5" s="2">
        <f t="shared" si="1"/>
        <v>10134.549999999999</v>
      </c>
      <c r="G5" s="60">
        <v>10134.549999999999</v>
      </c>
      <c r="H5" s="2"/>
      <c r="I5" s="58">
        <v>162711</v>
      </c>
      <c r="K5" s="18" t="s">
        <v>74</v>
      </c>
      <c r="L5" s="18" t="s">
        <v>75</v>
      </c>
    </row>
    <row r="6" spans="1:15">
      <c r="A6" s="82"/>
      <c r="B6" s="82"/>
      <c r="C6" s="82"/>
      <c r="D6" s="22" t="s">
        <v>43</v>
      </c>
      <c r="E6" s="11">
        <f t="shared" si="0"/>
        <v>2.7631023572944093E-3</v>
      </c>
      <c r="F6" s="2">
        <f t="shared" si="1"/>
        <v>239.53</v>
      </c>
      <c r="G6" s="60">
        <v>239.53</v>
      </c>
      <c r="H6" s="2"/>
      <c r="I6" s="58">
        <v>2903</v>
      </c>
      <c r="K6" s="2">
        <f>螺丝钉计划!I15</f>
        <v>12157.45</v>
      </c>
      <c r="L6" s="18">
        <f>螺丝钉计划!I16</f>
        <v>-85.13</v>
      </c>
      <c r="N6" s="12"/>
      <c r="O6" s="12"/>
    </row>
    <row r="7" spans="1:15">
      <c r="A7" s="82"/>
      <c r="B7" s="82"/>
      <c r="C7" s="82"/>
      <c r="D7" s="10" t="s">
        <v>25</v>
      </c>
      <c r="E7" s="11">
        <f t="shared" si="0"/>
        <v>3.7638891949005174E-2</v>
      </c>
      <c r="F7" s="2">
        <f t="shared" si="1"/>
        <v>3262.87</v>
      </c>
      <c r="G7" s="60">
        <v>3262.87</v>
      </c>
      <c r="H7" s="2"/>
      <c r="I7" s="58">
        <v>161017</v>
      </c>
      <c r="K7" s="18" t="s">
        <v>32</v>
      </c>
      <c r="L7" s="18" t="s">
        <v>34</v>
      </c>
      <c r="O7" s="13"/>
    </row>
    <row r="8" spans="1:15">
      <c r="A8" s="82"/>
      <c r="B8" s="82"/>
      <c r="C8" s="20" t="str">
        <f>"中证1000"&amp;" , "&amp;TEXT(SUM(E8:E8),"0.00%")</f>
        <v>中证1000 , 1.38%</v>
      </c>
      <c r="D8" s="10" t="s">
        <v>26</v>
      </c>
      <c r="E8" s="11">
        <f t="shared" si="0"/>
        <v>1.3832930416954719E-2</v>
      </c>
      <c r="F8" s="2">
        <f t="shared" si="1"/>
        <v>1199.1600000000001</v>
      </c>
      <c r="G8" s="60">
        <v>1199.1600000000001</v>
      </c>
      <c r="I8" s="58">
        <v>162413</v>
      </c>
      <c r="K8" s="18">
        <v>623252.55000000005</v>
      </c>
      <c r="L8" s="24">
        <v>27153.05</v>
      </c>
      <c r="N8" s="12"/>
      <c r="O8" s="12"/>
    </row>
    <row r="9" spans="1:15">
      <c r="A9" s="82"/>
      <c r="B9" s="82"/>
      <c r="C9" s="82" t="str">
        <f>"创业板"&amp;" , "&amp;TEXT(SUM(E9:E10),"0.00%")</f>
        <v>创业板 , 2.89%</v>
      </c>
      <c r="D9" s="10" t="s">
        <v>27</v>
      </c>
      <c r="E9" s="11">
        <f t="shared" si="0"/>
        <v>5.2285883791895124E-3</v>
      </c>
      <c r="F9" s="2">
        <f t="shared" si="1"/>
        <v>453.26</v>
      </c>
      <c r="G9" s="60">
        <v>453.26</v>
      </c>
      <c r="H9" s="14"/>
      <c r="I9" s="58">
        <v>3765</v>
      </c>
      <c r="K9" s="18" t="s">
        <v>33</v>
      </c>
      <c r="L9" s="18" t="s">
        <v>34</v>
      </c>
      <c r="O9" s="13"/>
    </row>
    <row r="10" spans="1:15">
      <c r="A10" s="82"/>
      <c r="B10" s="82"/>
      <c r="C10" s="82"/>
      <c r="D10" s="10" t="s">
        <v>9</v>
      </c>
      <c r="E10" s="11">
        <f t="shared" si="0"/>
        <v>2.3635120527117755E-2</v>
      </c>
      <c r="F10" s="2">
        <f t="shared" si="1"/>
        <v>2048.9</v>
      </c>
      <c r="G10" s="60">
        <v>2048.9</v>
      </c>
      <c r="H10" s="2"/>
      <c r="I10" s="58">
        <v>110026</v>
      </c>
      <c r="K10" s="18">
        <v>151847.32</v>
      </c>
      <c r="L10" s="24">
        <v>4484.99</v>
      </c>
      <c r="N10" s="12"/>
      <c r="O10" s="12"/>
    </row>
    <row r="11" spans="1:15">
      <c r="A11" s="82"/>
      <c r="B11" s="22" t="str">
        <f>"红利价值"&amp;" , "&amp;TEXT(SUM(E11:E11),"0.00%")</f>
        <v>红利价值 , 10.47%</v>
      </c>
      <c r="C11" s="20" t="str">
        <f>"中证红利"&amp;" , "&amp;TEXT(SUM(E11:E11),"0.00%")</f>
        <v>中证红利 , 10.47%</v>
      </c>
      <c r="D11" s="10" t="s">
        <v>10</v>
      </c>
      <c r="E11" s="11">
        <f t="shared" si="0"/>
        <v>0.10468942985592486</v>
      </c>
      <c r="F11" s="2">
        <f t="shared" si="1"/>
        <v>9075.4</v>
      </c>
      <c r="G11" s="60">
        <v>9075.4</v>
      </c>
      <c r="H11" s="2"/>
      <c r="I11" s="58">
        <v>100032</v>
      </c>
      <c r="K11" s="18" t="s">
        <v>41</v>
      </c>
      <c r="L11" s="18" t="s">
        <v>40</v>
      </c>
      <c r="O11" s="13"/>
    </row>
    <row r="12" spans="1:15">
      <c r="A12" s="82"/>
      <c r="B12" s="82" t="str">
        <f>"行业股"&amp;" , "&amp;TEXT(SUM(E12:E18),"0.00%")</f>
        <v>行业股 , 22.31%</v>
      </c>
      <c r="C12" s="20" t="str">
        <f>"养老产业"&amp;" , "&amp;TEXT(SUM(E12:E12),"0.00%")</f>
        <v>养老产业 , 6.63%</v>
      </c>
      <c r="D12" s="10" t="s">
        <v>11</v>
      </c>
      <c r="E12" s="11">
        <f t="shared" si="0"/>
        <v>6.62792732485942E-2</v>
      </c>
      <c r="F12" s="2">
        <f t="shared" si="1"/>
        <v>5745.67</v>
      </c>
      <c r="G12" s="60">
        <v>5745.67</v>
      </c>
      <c r="I12" s="58">
        <v>968</v>
      </c>
      <c r="K12" s="18" t="s">
        <v>37</v>
      </c>
      <c r="L12" s="1">
        <f>SUM($F$2:$F$34)/($K$2+$K$8+K$10)</f>
        <v>8.1580300066573755E-2</v>
      </c>
      <c r="N12" s="12"/>
      <c r="O12" s="12"/>
    </row>
    <row r="13" spans="1:15">
      <c r="A13" s="82"/>
      <c r="B13" s="82"/>
      <c r="C13" s="20" t="str">
        <f>"全指医药"&amp;" , "&amp;TEXT(SUM(E13:E13),"0.00%")</f>
        <v>全指医药 , 6.39%</v>
      </c>
      <c r="D13" s="20" t="s">
        <v>7</v>
      </c>
      <c r="E13" s="11">
        <f t="shared" si="0"/>
        <v>6.3859467873527823E-2</v>
      </c>
      <c r="F13" s="2">
        <f t="shared" si="1"/>
        <v>5535.9</v>
      </c>
      <c r="G13" s="60">
        <v>5535.9</v>
      </c>
      <c r="H13" s="2"/>
      <c r="I13" s="58">
        <v>1180</v>
      </c>
      <c r="K13" s="18" t="s">
        <v>39</v>
      </c>
      <c r="L13" s="1">
        <f>SUM($F$35:$F$37)/($K$2+$K$8+K$10)</f>
        <v>6.0404722534106543E-3</v>
      </c>
      <c r="O13" s="13"/>
    </row>
    <row r="14" spans="1:15">
      <c r="A14" s="82"/>
      <c r="B14" s="82"/>
      <c r="C14" s="20" t="str">
        <f>"中证传媒"&amp;" , "&amp;TEXT(SUM(E14:E14),"0.00%")</f>
        <v>中证传媒 , 3.85%</v>
      </c>
      <c r="D14" s="10" t="s">
        <v>28</v>
      </c>
      <c r="E14" s="11">
        <f t="shared" si="0"/>
        <v>3.8499902928625492E-2</v>
      </c>
      <c r="F14" s="2">
        <f t="shared" si="1"/>
        <v>3337.51</v>
      </c>
      <c r="G14" s="60">
        <v>3337.51</v>
      </c>
      <c r="H14" s="2"/>
      <c r="I14" s="58">
        <v>4752</v>
      </c>
      <c r="K14" s="18" t="s">
        <v>38</v>
      </c>
      <c r="L14" s="1">
        <f>(F38+SUM($K$8:$K$10))/($K$2+$K$8+K$10)</f>
        <v>0.91532519036323146</v>
      </c>
      <c r="N14" s="12"/>
      <c r="O14" s="12"/>
    </row>
    <row r="15" spans="1:15">
      <c r="A15" s="82"/>
      <c r="B15" s="82"/>
      <c r="C15" s="20" t="str">
        <f>"中证环保"&amp;" , "&amp;TEXT(SUM(E15:E15),"0.00%")</f>
        <v>中证环保 , 3.76%</v>
      </c>
      <c r="D15" s="10" t="s">
        <v>29</v>
      </c>
      <c r="E15" s="11">
        <f t="shared" si="0"/>
        <v>3.7563103603130234E-2</v>
      </c>
      <c r="F15" s="2">
        <f t="shared" si="1"/>
        <v>3256.3</v>
      </c>
      <c r="G15" s="60">
        <v>3256.3</v>
      </c>
      <c r="I15" s="58">
        <v>1064</v>
      </c>
      <c r="K15" s="19"/>
      <c r="L15" s="19"/>
      <c r="O15" s="13"/>
    </row>
    <row r="16" spans="1:15">
      <c r="A16" s="82"/>
      <c r="B16" s="82"/>
      <c r="C16" s="20" t="str">
        <f>"全指消费"&amp;" , "&amp;TEXT(SUM(E16:E16),"0.00%")</f>
        <v>全指消费 , 0.00%</v>
      </c>
      <c r="D16" s="10" t="s">
        <v>12</v>
      </c>
      <c r="E16" s="11">
        <f t="shared" si="0"/>
        <v>0</v>
      </c>
      <c r="F16" s="2">
        <f t="shared" si="1"/>
        <v>0</v>
      </c>
      <c r="G16" s="60">
        <v>0</v>
      </c>
      <c r="H16" s="2"/>
      <c r="I16" s="59">
        <v>110027</v>
      </c>
      <c r="K16" s="19"/>
      <c r="L16" s="19"/>
      <c r="M16" s="2"/>
      <c r="N16" s="12"/>
      <c r="O16" s="12"/>
    </row>
    <row r="17" spans="1:15" s="19" customFormat="1">
      <c r="A17" s="82"/>
      <c r="B17" s="82"/>
      <c r="C17" s="20" t="str">
        <f>"金融地产"&amp;" , "&amp;TEXT(SUM(E17:E17),"0.00%")</f>
        <v>金融地产 , 1.11%</v>
      </c>
      <c r="D17" s="10" t="s">
        <v>13</v>
      </c>
      <c r="E17" s="11">
        <f t="shared" si="0"/>
        <v>1.11358112161907E-2</v>
      </c>
      <c r="F17" s="2">
        <f t="shared" si="1"/>
        <v>965.35</v>
      </c>
      <c r="G17" s="60">
        <v>965.35</v>
      </c>
      <c r="H17" s="14"/>
      <c r="I17" s="58">
        <v>1469</v>
      </c>
      <c r="M17" s="9"/>
      <c r="N17" s="12"/>
      <c r="O17" s="12"/>
    </row>
    <row r="18" spans="1:15">
      <c r="A18" s="82"/>
      <c r="B18" s="82"/>
      <c r="C18" s="20" t="str">
        <f>"证券公司"&amp;" , "&amp;TEXT(SUM(E18:E18),"0.00%")</f>
        <v>证券公司 , 0.58%</v>
      </c>
      <c r="D18" s="10" t="s">
        <v>30</v>
      </c>
      <c r="E18" s="11">
        <f t="shared" si="0"/>
        <v>5.7556461452513063E-3</v>
      </c>
      <c r="F18" s="2">
        <f t="shared" si="1"/>
        <v>498.95</v>
      </c>
      <c r="G18" s="60">
        <v>498.95</v>
      </c>
      <c r="H18" s="19"/>
      <c r="I18" s="58">
        <v>502010</v>
      </c>
      <c r="K18" s="19"/>
      <c r="L18" s="19"/>
      <c r="N18" s="12"/>
      <c r="O18" s="13"/>
    </row>
    <row r="19" spans="1:15">
      <c r="A19" s="82"/>
      <c r="B19" s="82" t="str">
        <f>"螺丝钉定投"&amp;" , "&amp;TEXT(SUM(E19:E28),"0.00%")</f>
        <v>螺丝钉定投 , 11.51%</v>
      </c>
      <c r="C19" s="82" t="str">
        <f>"大盘股"&amp;" , "&amp;TEXT(SUM(E19:E22),"0.00%")</f>
        <v>大盘股 , 4.10%</v>
      </c>
      <c r="D19" s="20" t="s">
        <v>71</v>
      </c>
      <c r="E19" s="11">
        <f t="shared" si="0"/>
        <v>3.0503367275053674E-3</v>
      </c>
      <c r="F19" s="2">
        <f t="shared" si="1"/>
        <v>264.43</v>
      </c>
      <c r="G19" s="2">
        <v>0</v>
      </c>
      <c r="H19" s="2">
        <f>螺丝钉计划!K3</f>
        <v>264.43</v>
      </c>
      <c r="I19" s="58">
        <v>0</v>
      </c>
      <c r="K19" s="19"/>
      <c r="L19" s="19"/>
      <c r="M19" s="19"/>
      <c r="N19" s="12"/>
    </row>
    <row r="20" spans="1:15" ht="27.6">
      <c r="A20" s="82"/>
      <c r="B20" s="82"/>
      <c r="C20" s="82"/>
      <c r="D20" s="20" t="s">
        <v>72</v>
      </c>
      <c r="E20" s="11">
        <f t="shared" si="0"/>
        <v>1.2111485233557881E-2</v>
      </c>
      <c r="F20" s="2">
        <f t="shared" si="1"/>
        <v>1049.93</v>
      </c>
      <c r="G20" s="2">
        <v>0</v>
      </c>
      <c r="H20" s="2">
        <f>螺丝钉计划!K4</f>
        <v>1049.93</v>
      </c>
      <c r="I20" s="58">
        <v>0</v>
      </c>
      <c r="K20" s="20"/>
      <c r="L20" s="2"/>
      <c r="N20" s="12"/>
      <c r="O20" s="13"/>
    </row>
    <row r="21" spans="1:15">
      <c r="A21" s="82"/>
      <c r="B21" s="82"/>
      <c r="C21" s="82"/>
      <c r="D21" s="20" t="s">
        <v>67</v>
      </c>
      <c r="E21" s="11">
        <f t="shared" si="0"/>
        <v>2.5022035721112272E-2</v>
      </c>
      <c r="F21" s="2">
        <f t="shared" si="1"/>
        <v>2169.13</v>
      </c>
      <c r="G21" s="2">
        <v>0</v>
      </c>
      <c r="H21" s="2">
        <f>螺丝钉计划!K5</f>
        <v>2169.13</v>
      </c>
      <c r="I21" s="58">
        <v>0</v>
      </c>
      <c r="N21" s="12"/>
    </row>
    <row r="22" spans="1:15">
      <c r="A22" s="82"/>
      <c r="B22" s="82"/>
      <c r="C22" s="82"/>
      <c r="D22" s="21" t="s">
        <v>73</v>
      </c>
      <c r="E22" s="11">
        <f t="shared" si="0"/>
        <v>7.9848847815271163E-4</v>
      </c>
      <c r="F22" s="2">
        <f t="shared" si="1"/>
        <v>69.22</v>
      </c>
      <c r="G22" s="2">
        <v>0</v>
      </c>
      <c r="H22" s="2">
        <f>螺丝钉计划!K6</f>
        <v>69.22</v>
      </c>
      <c r="I22" s="58">
        <v>0</v>
      </c>
      <c r="O22" s="13"/>
    </row>
    <row r="23" spans="1:15">
      <c r="A23" s="82"/>
      <c r="B23" s="82"/>
      <c r="C23" s="82" t="str">
        <f>"中盘股"&amp;" , "&amp;TEXT(SUM(E23:E24),"0.00%")</f>
        <v>中盘股 , 3.86%</v>
      </c>
      <c r="D23" s="20" t="s">
        <v>66</v>
      </c>
      <c r="E23" s="11">
        <f t="shared" si="0"/>
        <v>2.0745012129019219E-2</v>
      </c>
      <c r="F23" s="2">
        <f t="shared" si="1"/>
        <v>1798.36</v>
      </c>
      <c r="G23" s="2">
        <v>0</v>
      </c>
      <c r="H23" s="2">
        <f>螺丝钉计划!K7</f>
        <v>1798.36</v>
      </c>
      <c r="I23" s="58">
        <v>0</v>
      </c>
      <c r="M23" s="2"/>
      <c r="N23" s="12"/>
      <c r="O23" s="12"/>
    </row>
    <row r="24" spans="1:15">
      <c r="A24" s="82"/>
      <c r="B24" s="82"/>
      <c r="C24" s="82"/>
      <c r="D24" s="20" t="s">
        <v>68</v>
      </c>
      <c r="E24" s="11">
        <f t="shared" si="0"/>
        <v>1.7805531718691658E-2</v>
      </c>
      <c r="F24" s="2">
        <f t="shared" si="1"/>
        <v>1543.54</v>
      </c>
      <c r="G24" s="2">
        <v>0</v>
      </c>
      <c r="H24" s="2">
        <f>螺丝钉计划!K8</f>
        <v>1543.54</v>
      </c>
      <c r="I24" s="58">
        <v>0</v>
      </c>
      <c r="O24" s="13"/>
    </row>
    <row r="25" spans="1:15">
      <c r="A25" s="82"/>
      <c r="B25" s="82"/>
      <c r="C25" s="82" t="str">
        <f>"螺丝钉红利"&amp;" , "&amp;TEXT(SUM(E25:E26),"0.00%")</f>
        <v>螺丝钉红利 , 3.00%</v>
      </c>
      <c r="D25" s="20" t="s">
        <v>125</v>
      </c>
      <c r="E25" s="11">
        <f t="shared" si="0"/>
        <v>2.5280777364639649E-2</v>
      </c>
      <c r="F25" s="2">
        <f t="shared" si="1"/>
        <v>2191.56</v>
      </c>
      <c r="G25" s="2">
        <v>0</v>
      </c>
      <c r="H25" s="2">
        <f>螺丝钉计划!K9</f>
        <v>2191.56</v>
      </c>
      <c r="I25" s="58">
        <v>0</v>
      </c>
      <c r="N25" s="12"/>
      <c r="O25" s="12"/>
    </row>
    <row r="26" spans="1:15">
      <c r="A26" s="82"/>
      <c r="B26" s="82"/>
      <c r="C26" s="82"/>
      <c r="D26" s="20" t="s">
        <v>69</v>
      </c>
      <c r="E26" s="11">
        <f t="shared" si="0"/>
        <v>4.7242555813733237E-3</v>
      </c>
      <c r="F26" s="2">
        <f t="shared" si="1"/>
        <v>409.53999999999996</v>
      </c>
      <c r="G26" s="2">
        <v>0</v>
      </c>
      <c r="H26" s="2">
        <f>螺丝钉计划!K10</f>
        <v>409.53999999999996</v>
      </c>
      <c r="I26" s="58">
        <v>0</v>
      </c>
      <c r="O26" s="13"/>
    </row>
    <row r="27" spans="1:15">
      <c r="A27" s="82"/>
      <c r="B27" s="82"/>
      <c r="C27" s="82" t="str">
        <f>"医药养老"&amp;" , "&amp;TEXT(SUM(E27:E28),"0.00%")</f>
        <v>医药养老 , 0.56%</v>
      </c>
      <c r="D27" s="23" t="s">
        <v>70</v>
      </c>
      <c r="E27" s="11">
        <f t="shared" si="0"/>
        <v>3.7012859448147797E-3</v>
      </c>
      <c r="F27" s="2">
        <f t="shared" si="1"/>
        <v>320.86</v>
      </c>
      <c r="G27" s="2">
        <v>0</v>
      </c>
      <c r="H27" s="2">
        <f>螺丝钉计划!K11</f>
        <v>320.86</v>
      </c>
      <c r="I27" s="58">
        <v>0</v>
      </c>
      <c r="J27" s="11"/>
      <c r="N27" s="12"/>
      <c r="O27" s="12"/>
    </row>
    <row r="28" spans="1:15">
      <c r="A28" s="82"/>
      <c r="B28" s="82"/>
      <c r="C28" s="82"/>
      <c r="D28" s="20" t="s">
        <v>155</v>
      </c>
      <c r="E28" s="11">
        <f t="shared" si="0"/>
        <v>1.9015146018302946E-3</v>
      </c>
      <c r="F28" s="2">
        <f t="shared" si="1"/>
        <v>164.84</v>
      </c>
      <c r="G28" s="2">
        <v>0</v>
      </c>
      <c r="H28" s="2">
        <f>螺丝钉计划!K12</f>
        <v>164.84</v>
      </c>
      <c r="I28" s="58">
        <v>0</v>
      </c>
      <c r="J28" s="11"/>
      <c r="O28" s="13"/>
    </row>
    <row r="29" spans="1:15">
      <c r="A29" s="82"/>
      <c r="B29" s="82"/>
      <c r="C29" s="62" t="str">
        <f>"海外新兴"&amp;" , "&amp;TEXT(E29,"0.00%")</f>
        <v>海外新兴 , 2.51%</v>
      </c>
      <c r="D29" s="62" t="s">
        <v>65</v>
      </c>
      <c r="E29" s="11">
        <f t="shared" si="0"/>
        <v>2.5101746142725031E-2</v>
      </c>
      <c r="F29" s="2">
        <f t="shared" si="1"/>
        <v>2176.04</v>
      </c>
      <c r="G29" s="2">
        <v>0</v>
      </c>
      <c r="H29" s="2">
        <f>螺丝钉计划!K13</f>
        <v>2176.04</v>
      </c>
      <c r="I29" s="58">
        <v>0</v>
      </c>
      <c r="N29" s="12"/>
      <c r="O29" s="12"/>
    </row>
    <row r="30" spans="1:15">
      <c r="A30" s="82" t="str">
        <f>"海外新兴"&amp;" , "&amp;TEXT(SUM(E30:E31),"0.00%")</f>
        <v>海外新兴 , 2.35%</v>
      </c>
      <c r="B30" s="20" t="str">
        <f>"香港"&amp;" , "&amp;TEXT(SUM(E30:E30),"0.00%")</f>
        <v>香港 , 0.47%</v>
      </c>
      <c r="C30" s="20" t="str">
        <f>"恒生"&amp;" , "&amp;TEXT(SUM(E30:E30),"0.00%")</f>
        <v>恒生 , 0.47%</v>
      </c>
      <c r="D30" s="10" t="s">
        <v>14</v>
      </c>
      <c r="E30" s="11">
        <f t="shared" ref="E30:E38" si="2">F30/$F$39</f>
        <v>4.6692311658750804E-3</v>
      </c>
      <c r="F30" s="2">
        <f t="shared" si="1"/>
        <v>404.77</v>
      </c>
      <c r="G30" s="60">
        <v>404.77</v>
      </c>
      <c r="H30" s="14"/>
      <c r="I30" s="58">
        <v>71</v>
      </c>
      <c r="J30" s="19"/>
      <c r="K30" s="13"/>
      <c r="L30" s="19"/>
      <c r="M30" s="19"/>
      <c r="O30" s="13"/>
    </row>
    <row r="31" spans="1:15">
      <c r="A31" s="82"/>
      <c r="B31" s="20" t="str">
        <f>"海外互联"&amp;" , "&amp;TEXT(SUM(E31:E31),"0.00%")</f>
        <v>海外互联 , 1.89%</v>
      </c>
      <c r="C31" s="20" t="str">
        <f>"海外互联网"&amp;" , "&amp;TEXT(SUM(E31:E31),"0.00%")</f>
        <v>海外互联网 , 1.89%</v>
      </c>
      <c r="D31" s="10" t="s">
        <v>15</v>
      </c>
      <c r="E31" s="11">
        <f t="shared" si="2"/>
        <v>1.8863684681721823E-2</v>
      </c>
      <c r="F31" s="2">
        <f t="shared" si="1"/>
        <v>1635.27</v>
      </c>
      <c r="G31" s="60">
        <v>1635.27</v>
      </c>
      <c r="H31" s="14"/>
      <c r="I31" s="58">
        <v>164906</v>
      </c>
      <c r="J31" s="12"/>
      <c r="K31" s="12"/>
      <c r="L31" s="19"/>
      <c r="M31" s="19"/>
      <c r="N31" s="12"/>
      <c r="O31" s="12"/>
    </row>
    <row r="32" spans="1:15">
      <c r="A32" s="62" t="str">
        <f>"海外成熟"&amp;" , "&amp;TEXT(SUM(E32:E32),"0.00%")</f>
        <v>海外成熟 , 2.46%</v>
      </c>
      <c r="B32" s="62" t="str">
        <f>"海外成熟"&amp;" , "&amp;TEXT(SUM(E32:E32),"0.00%")</f>
        <v>海外成熟 , 2.46%</v>
      </c>
      <c r="C32" s="20" t="str">
        <f>"德国30"&amp;" , "&amp;TEXT(SUM(E32:E32),"0.00%")</f>
        <v>德国30 , 2.46%</v>
      </c>
      <c r="D32" s="10" t="s">
        <v>16</v>
      </c>
      <c r="E32" s="11">
        <f t="shared" si="2"/>
        <v>2.4567767066537672E-2</v>
      </c>
      <c r="F32" s="2">
        <f t="shared" si="1"/>
        <v>2129.75</v>
      </c>
      <c r="G32" s="60">
        <v>2129.75</v>
      </c>
      <c r="H32" s="14"/>
      <c r="I32" s="58">
        <v>614</v>
      </c>
      <c r="J32" s="19"/>
      <c r="K32" s="12"/>
      <c r="L32" s="12"/>
      <c r="M32" s="19"/>
      <c r="N32" s="19"/>
      <c r="O32" s="13"/>
    </row>
    <row r="33" spans="1:16">
      <c r="A33" s="82" t="str">
        <f>"商品"&amp;" , "&amp;TEXT(SUM(E33:E34),"0.00%")</f>
        <v>商品 , 2.15%</v>
      </c>
      <c r="B33" s="62" t="str">
        <f>"原油"&amp;" , "&amp;TEXT(SUM(E33:E33),"0.00%")</f>
        <v>原油 , 1.08%</v>
      </c>
      <c r="C33" s="20" t="str">
        <f>"原油"&amp;" , "&amp;TEXT(SUM(E33:E33),"0.00%")</f>
        <v>原油 , 1.08%</v>
      </c>
      <c r="D33" s="10" t="s">
        <v>17</v>
      </c>
      <c r="E33" s="11">
        <f t="shared" si="2"/>
        <v>1.0828043625940562E-2</v>
      </c>
      <c r="F33" s="2">
        <f t="shared" si="1"/>
        <v>938.67</v>
      </c>
      <c r="G33" s="60">
        <v>938.67</v>
      </c>
      <c r="H33" s="14"/>
      <c r="I33" s="58">
        <v>162411</v>
      </c>
      <c r="J33" s="12"/>
      <c r="K33" s="19"/>
      <c r="L33" s="13"/>
      <c r="M33" s="19"/>
      <c r="N33" s="19"/>
      <c r="O33" s="12"/>
    </row>
    <row r="34" spans="1:16">
      <c r="A34" s="82"/>
      <c r="B34" s="62" t="str">
        <f>"黄金"&amp;" , "&amp;TEXT(SUM(E34:E34),"0.00%")</f>
        <v>黄金 , 1.07%</v>
      </c>
      <c r="C34" s="20" t="str">
        <f>"黄金"&amp;" , "&amp;TEXT(SUM(E34:E34),"0.00%")</f>
        <v>黄金 , 1.07%</v>
      </c>
      <c r="D34" s="10" t="s">
        <v>31</v>
      </c>
      <c r="E34" s="11">
        <f t="shared" si="2"/>
        <v>1.0676351579021925E-2</v>
      </c>
      <c r="F34" s="2">
        <f t="shared" si="1"/>
        <v>925.52</v>
      </c>
      <c r="G34" s="60">
        <v>925.52</v>
      </c>
      <c r="H34" s="2"/>
      <c r="I34" s="58">
        <v>216</v>
      </c>
      <c r="J34" s="19"/>
      <c r="K34" s="12"/>
      <c r="L34" s="12"/>
      <c r="M34" s="19"/>
      <c r="N34" s="19"/>
      <c r="O34" s="13"/>
    </row>
    <row r="35" spans="1:16">
      <c r="A35" s="82" t="str">
        <f>"债券"&amp;" , "&amp;TEXT(SUM(E35:E37),"0.00%")</f>
        <v>债券 , 5.99%</v>
      </c>
      <c r="B35" s="82" t="str">
        <f>"国内债券"&amp;" , "&amp;TEXT(SUM(E35:E37),"0.00%")</f>
        <v>国内债券 , 5.99%</v>
      </c>
      <c r="C35" s="82" t="str">
        <f>"可转债"&amp;" , "&amp;TEXT(SUM(E35:E37),"0.00%")</f>
        <v>可转债 , 5.99%</v>
      </c>
      <c r="D35" s="10" t="s">
        <v>18</v>
      </c>
      <c r="E35" s="11">
        <f t="shared" si="2"/>
        <v>2.1344166875555654E-2</v>
      </c>
      <c r="F35" s="2">
        <f t="shared" si="1"/>
        <v>1850.3</v>
      </c>
      <c r="G35" s="60">
        <v>1850.3</v>
      </c>
      <c r="H35" s="2"/>
      <c r="I35" s="58">
        <v>340001</v>
      </c>
      <c r="J35" s="12"/>
      <c r="K35" s="19"/>
      <c r="L35" s="13"/>
      <c r="M35" s="19"/>
      <c r="N35" s="19"/>
      <c r="O35" s="12"/>
    </row>
    <row r="36" spans="1:16">
      <c r="A36" s="82"/>
      <c r="B36" s="82"/>
      <c r="C36" s="82"/>
      <c r="D36" s="10" t="s">
        <v>19</v>
      </c>
      <c r="E36" s="11">
        <f t="shared" si="2"/>
        <v>5.1398802544135175E-3</v>
      </c>
      <c r="F36" s="2">
        <f t="shared" si="1"/>
        <v>445.57</v>
      </c>
      <c r="G36" s="60">
        <v>445.57</v>
      </c>
      <c r="H36" s="2"/>
      <c r="I36" s="58">
        <v>519977</v>
      </c>
      <c r="J36" s="19"/>
      <c r="K36" s="12"/>
      <c r="L36" s="12"/>
      <c r="M36" s="19"/>
      <c r="N36" s="19"/>
      <c r="P36" s="13"/>
    </row>
    <row r="37" spans="1:16">
      <c r="A37" s="82"/>
      <c r="B37" s="82"/>
      <c r="C37" s="82"/>
      <c r="D37" s="10" t="s">
        <v>20</v>
      </c>
      <c r="E37" s="11">
        <f t="shared" si="2"/>
        <v>3.3388976821570583E-2</v>
      </c>
      <c r="F37" s="2">
        <f t="shared" si="1"/>
        <v>2894.45</v>
      </c>
      <c r="G37" s="60">
        <v>2894.45</v>
      </c>
      <c r="H37" s="8"/>
      <c r="I37" s="58">
        <v>110027</v>
      </c>
      <c r="J37" s="12"/>
      <c r="K37" s="19"/>
      <c r="L37" s="13"/>
      <c r="M37" s="19"/>
      <c r="N37" s="19"/>
      <c r="O37" s="12"/>
    </row>
    <row r="38" spans="1:16" ht="27.6">
      <c r="A38" s="22" t="str">
        <f>"现金"&amp;" , "&amp;TEXT(SUM(E38:E38),"0.00%")</f>
        <v>现金 , 13.15%</v>
      </c>
      <c r="B38" s="10" t="str">
        <f>"低风险理财"&amp;" , "&amp;TEXT(SUM(E38:E38),"0.00%")</f>
        <v>低风险理财 , 13.15%</v>
      </c>
      <c r="C38" s="20" t="str">
        <f>"货币基金"&amp;" , "&amp;TEXT(SUM(E38:E38),"0.00%")</f>
        <v>货币基金 , 13.15%</v>
      </c>
      <c r="D38" s="10" t="s">
        <v>21</v>
      </c>
      <c r="E38" s="11">
        <f t="shared" si="2"/>
        <v>0.13150489238573984</v>
      </c>
      <c r="F38" s="2">
        <f t="shared" si="1"/>
        <v>11400</v>
      </c>
      <c r="G38" s="2">
        <f>养老金计划!W35</f>
        <v>11400</v>
      </c>
      <c r="H38" s="8"/>
      <c r="I38" s="8"/>
      <c r="J38" s="19"/>
      <c r="K38" s="12"/>
      <c r="L38" s="12"/>
      <c r="M38" s="19"/>
      <c r="N38" s="19"/>
      <c r="P38" s="13"/>
    </row>
    <row r="39" spans="1:16">
      <c r="D39" s="8" t="s">
        <v>4</v>
      </c>
      <c r="E39" s="13">
        <f>SUM(E2:E38)</f>
        <v>0.99999999999999967</v>
      </c>
      <c r="F39" s="2">
        <f>SUM(F2:F38)</f>
        <v>86688.79</v>
      </c>
      <c r="I39" s="8"/>
      <c r="J39" s="19"/>
      <c r="K39" s="12"/>
      <c r="L39" s="12"/>
      <c r="M39" s="19"/>
      <c r="N39" s="19"/>
      <c r="O39" s="12"/>
    </row>
    <row r="40" spans="1:16">
      <c r="D40" s="8" t="s">
        <v>5</v>
      </c>
      <c r="E40" s="15">
        <f>F39/$K$2-1</f>
        <v>3.0078620490521013E-2</v>
      </c>
      <c r="J40" s="19"/>
      <c r="K40" s="12"/>
      <c r="L40" s="13"/>
      <c r="M40" s="19"/>
      <c r="N40" s="19"/>
      <c r="P40" s="13"/>
    </row>
    <row r="41" spans="1:16">
      <c r="A41" s="16"/>
      <c r="B41" s="8"/>
      <c r="C41" s="2"/>
      <c r="J41" s="19"/>
      <c r="K41" s="12"/>
      <c r="L41" s="19"/>
      <c r="M41" s="19"/>
      <c r="N41" s="19"/>
    </row>
    <row r="42" spans="1:16">
      <c r="C42" s="2"/>
      <c r="J42" s="19"/>
      <c r="K42" s="12"/>
      <c r="L42" s="13"/>
      <c r="M42" s="19"/>
      <c r="N42" s="19"/>
    </row>
    <row r="43" spans="1:16">
      <c r="C43" s="2"/>
      <c r="D43" s="8"/>
      <c r="E43" s="8"/>
      <c r="F43" s="8"/>
      <c r="J43" s="19"/>
      <c r="K43" s="12"/>
      <c r="L43" s="19"/>
      <c r="M43" s="19"/>
      <c r="N43" s="19"/>
    </row>
    <row r="44" spans="1:16">
      <c r="C44" s="2"/>
      <c r="D44" s="1"/>
      <c r="E44" s="1"/>
      <c r="F44" s="1"/>
      <c r="J44" s="19"/>
      <c r="K44" s="19"/>
      <c r="L44" s="13"/>
      <c r="M44" s="19"/>
      <c r="N44" s="19"/>
    </row>
    <row r="45" spans="1:16">
      <c r="A45" s="8"/>
      <c r="B45" s="2"/>
      <c r="C45" s="2"/>
      <c r="D45" s="1"/>
      <c r="J45" s="19"/>
      <c r="K45" s="12"/>
      <c r="L45" s="12"/>
      <c r="M45" s="19"/>
      <c r="N45" s="19"/>
    </row>
    <row r="46" spans="1:16">
      <c r="A46" s="8"/>
      <c r="B46" s="2"/>
      <c r="C46" s="2"/>
      <c r="D46" s="1"/>
      <c r="E46" s="1"/>
      <c r="F46" s="1"/>
      <c r="J46" s="19"/>
      <c r="K46" s="19"/>
      <c r="L46" s="13"/>
      <c r="M46" s="19"/>
      <c r="N46" s="19"/>
    </row>
    <row r="47" spans="1:16">
      <c r="A47" s="8"/>
      <c r="B47" s="2"/>
      <c r="C47" s="2"/>
      <c r="D47" s="1"/>
      <c r="E47" s="25"/>
      <c r="F47" s="1"/>
      <c r="J47" s="19"/>
      <c r="K47" s="12"/>
      <c r="L47" s="12"/>
      <c r="M47" s="19"/>
      <c r="N47" s="19"/>
    </row>
    <row r="48" spans="1:16">
      <c r="A48" s="8"/>
      <c r="B48" s="2"/>
      <c r="C48" s="2"/>
      <c r="D48" s="1"/>
      <c r="E48" s="25"/>
      <c r="F48" s="1"/>
      <c r="J48" s="19"/>
      <c r="K48" s="19"/>
      <c r="L48" s="13"/>
      <c r="M48" s="19"/>
      <c r="N48" s="19"/>
    </row>
    <row r="49" spans="1:14">
      <c r="A49" s="8"/>
      <c r="B49" s="2"/>
      <c r="C49" s="2"/>
      <c r="D49" s="1"/>
      <c r="E49" s="1"/>
      <c r="F49" s="1"/>
      <c r="J49" s="19"/>
      <c r="K49" s="12"/>
      <c r="L49" s="12"/>
      <c r="M49" s="19"/>
      <c r="N49" s="19"/>
    </row>
    <row r="50" spans="1:14">
      <c r="A50" s="8"/>
      <c r="B50" s="2"/>
      <c r="C50" s="2"/>
      <c r="D50" s="1"/>
      <c r="E50" s="1"/>
      <c r="F50" s="1"/>
      <c r="J50" s="19"/>
      <c r="K50" s="19"/>
      <c r="L50" s="13"/>
      <c r="M50" s="19"/>
      <c r="N50" s="19"/>
    </row>
    <row r="51" spans="1:14">
      <c r="A51" s="8"/>
      <c r="B51" s="2"/>
      <c r="C51" s="2"/>
      <c r="D51" s="1"/>
      <c r="E51" s="1"/>
      <c r="F51" s="1"/>
      <c r="J51" s="19"/>
      <c r="K51" s="12"/>
      <c r="L51" s="12"/>
      <c r="M51" s="19"/>
      <c r="N51" s="19"/>
    </row>
    <row r="52" spans="1:14">
      <c r="A52" s="8"/>
      <c r="B52" s="2"/>
      <c r="C52" s="2"/>
      <c r="D52" s="1"/>
      <c r="E52" s="1"/>
      <c r="F52" s="1"/>
      <c r="J52" s="19"/>
      <c r="K52" s="19"/>
      <c r="L52" s="13"/>
      <c r="M52" s="19"/>
      <c r="N52" s="19"/>
    </row>
    <row r="53" spans="1:14">
      <c r="A53" s="8"/>
      <c r="B53" s="2"/>
      <c r="C53" s="2"/>
      <c r="D53" s="1"/>
      <c r="E53" s="1"/>
      <c r="F53" s="1"/>
      <c r="J53" s="19"/>
      <c r="K53" s="12"/>
      <c r="L53" s="12"/>
      <c r="M53" s="19"/>
      <c r="N53" s="19"/>
    </row>
    <row r="54" spans="1:14">
      <c r="A54" s="8"/>
      <c r="B54" s="2"/>
      <c r="C54" s="2"/>
      <c r="D54" s="1"/>
      <c r="E54" s="1"/>
      <c r="F54" s="1"/>
      <c r="J54" s="19"/>
      <c r="K54" s="19"/>
      <c r="L54" s="13"/>
      <c r="M54" s="19"/>
      <c r="N54" s="19"/>
    </row>
    <row r="55" spans="1:14">
      <c r="A55" s="8"/>
      <c r="B55" s="2"/>
      <c r="C55" s="2"/>
      <c r="D55" s="1"/>
      <c r="E55" s="1"/>
      <c r="F55" s="1"/>
      <c r="J55" s="19"/>
      <c r="K55" s="12"/>
      <c r="L55" s="12"/>
      <c r="M55" s="19"/>
      <c r="N55" s="19"/>
    </row>
    <row r="56" spans="1:14">
      <c r="A56" s="8"/>
      <c r="B56" s="2"/>
      <c r="C56" s="2"/>
      <c r="D56" s="1"/>
      <c r="E56" s="1"/>
      <c r="F56" s="1"/>
      <c r="J56" s="19"/>
      <c r="K56" s="19"/>
      <c r="L56" s="13"/>
      <c r="M56" s="19"/>
      <c r="N56" s="19"/>
    </row>
    <row r="57" spans="1:14">
      <c r="A57" s="8"/>
      <c r="B57" s="2"/>
      <c r="C57" s="2"/>
      <c r="D57" s="1"/>
      <c r="E57" s="1"/>
      <c r="F57" s="1"/>
      <c r="J57" s="19"/>
      <c r="K57" s="12"/>
      <c r="L57" s="12"/>
      <c r="M57" s="19"/>
      <c r="N57" s="19"/>
    </row>
    <row r="58" spans="1:14">
      <c r="A58" s="8"/>
      <c r="B58" s="2"/>
      <c r="C58" s="2"/>
      <c r="D58" s="1"/>
      <c r="E58" s="1"/>
      <c r="F58" s="1"/>
      <c r="J58" s="19"/>
      <c r="K58" s="19"/>
      <c r="L58" s="19"/>
      <c r="M58" s="13"/>
      <c r="N58" s="19"/>
    </row>
    <row r="59" spans="1:14">
      <c r="A59" s="8"/>
      <c r="B59" s="2"/>
      <c r="C59" s="2"/>
      <c r="D59" s="1"/>
      <c r="E59" s="1"/>
      <c r="F59" s="1"/>
      <c r="J59" s="19"/>
      <c r="K59" s="19"/>
      <c r="L59" s="12"/>
      <c r="M59" s="19"/>
      <c r="N59" s="19"/>
    </row>
    <row r="60" spans="1:14">
      <c r="A60" s="8"/>
      <c r="B60" s="2"/>
      <c r="C60" s="2"/>
      <c r="D60" s="1"/>
      <c r="E60" s="1"/>
      <c r="F60" s="1"/>
      <c r="J60" s="19"/>
      <c r="K60" s="19"/>
      <c r="L60" s="19"/>
      <c r="M60" s="19"/>
    </row>
    <row r="61" spans="1:14">
      <c r="A61" s="8"/>
      <c r="B61" s="2"/>
      <c r="C61" s="4"/>
      <c r="D61" s="1"/>
      <c r="E61" s="1"/>
      <c r="F61" s="1"/>
      <c r="J61" s="19"/>
      <c r="K61" s="19"/>
      <c r="L61" s="19"/>
      <c r="M61" s="19"/>
    </row>
    <row r="62" spans="1:14">
      <c r="A62" s="8"/>
      <c r="B62" s="2"/>
      <c r="D62" s="1"/>
      <c r="E62" s="1"/>
      <c r="F62" s="1"/>
      <c r="J62" s="19"/>
      <c r="K62" s="19"/>
      <c r="L62" s="19"/>
      <c r="M62" s="19"/>
    </row>
    <row r="63" spans="1:14">
      <c r="A63" s="8"/>
      <c r="B63" s="7"/>
      <c r="D63" s="1"/>
      <c r="E63" s="1"/>
      <c r="F63" s="1"/>
      <c r="J63" s="19"/>
      <c r="K63" s="19"/>
      <c r="L63" s="19"/>
      <c r="M63" s="19"/>
    </row>
    <row r="64" spans="1:14">
      <c r="A64" s="8"/>
      <c r="B64" s="8"/>
      <c r="D64" s="1"/>
      <c r="E64" s="1"/>
      <c r="F64" s="1"/>
      <c r="J64" s="19"/>
      <c r="K64" s="19"/>
      <c r="L64" s="19"/>
      <c r="M64" s="19"/>
    </row>
    <row r="65" spans="1:6">
      <c r="A65" s="8"/>
      <c r="B65" s="8"/>
      <c r="C65" s="8"/>
      <c r="D65" s="1"/>
      <c r="E65" s="1"/>
      <c r="F65" s="1"/>
    </row>
    <row r="66" spans="1:6">
      <c r="A66" s="8"/>
      <c r="B66" s="8"/>
      <c r="C66" s="2"/>
      <c r="D66" s="1"/>
      <c r="E66" s="1"/>
      <c r="F66" s="1"/>
    </row>
    <row r="67" spans="1:6">
      <c r="A67" s="8"/>
      <c r="C67" s="2"/>
      <c r="D67" s="1"/>
      <c r="E67" s="1"/>
      <c r="F67" s="1"/>
    </row>
    <row r="68" spans="1:6">
      <c r="C68" s="2"/>
      <c r="D68" s="3"/>
      <c r="E68" s="8"/>
    </row>
    <row r="69" spans="1:6">
      <c r="C69" s="2"/>
    </row>
    <row r="70" spans="1:6">
      <c r="B70" s="8"/>
      <c r="C70" s="2"/>
    </row>
    <row r="71" spans="1:6">
      <c r="A71" s="8"/>
      <c r="B71" s="8"/>
      <c r="C71" s="2"/>
    </row>
    <row r="72" spans="1:6">
      <c r="A72" s="8"/>
      <c r="B72" s="8"/>
      <c r="C72" s="2"/>
      <c r="D72" s="8"/>
    </row>
    <row r="73" spans="1:6">
      <c r="A73" s="8"/>
      <c r="B73" s="8"/>
      <c r="C73" s="2"/>
      <c r="D73" s="1"/>
    </row>
    <row r="74" spans="1:6">
      <c r="A74" s="8"/>
      <c r="B74" s="8"/>
      <c r="C74" s="2"/>
      <c r="D74" s="1"/>
    </row>
    <row r="75" spans="1:6">
      <c r="A75" s="8"/>
      <c r="B75" s="8"/>
      <c r="C75" s="2"/>
      <c r="D75" s="1"/>
    </row>
    <row r="76" spans="1:6">
      <c r="A76" s="8"/>
      <c r="B76" s="8"/>
      <c r="C76" s="2"/>
      <c r="D76" s="1"/>
    </row>
    <row r="77" spans="1:6">
      <c r="A77" s="8"/>
      <c r="B77" s="8"/>
      <c r="C77" s="2"/>
      <c r="D77" s="1"/>
    </row>
    <row r="78" spans="1:6">
      <c r="A78" s="8"/>
      <c r="B78" s="8"/>
      <c r="C78" s="2"/>
      <c r="D78" s="1"/>
    </row>
    <row r="79" spans="1:6">
      <c r="A79" s="8"/>
      <c r="B79" s="8"/>
      <c r="C79" s="2"/>
      <c r="D79" s="1"/>
    </row>
    <row r="80" spans="1:6">
      <c r="A80" s="8"/>
      <c r="B80" s="8"/>
      <c r="C80" s="2"/>
      <c r="D80" s="1"/>
    </row>
    <row r="81" spans="1:4">
      <c r="A81" s="8"/>
      <c r="B81" s="8"/>
      <c r="C81" s="5"/>
      <c r="D81" s="1"/>
    </row>
    <row r="82" spans="1:4">
      <c r="A82" s="8"/>
      <c r="B82" s="8"/>
      <c r="C82" s="2"/>
      <c r="D82" s="1"/>
    </row>
    <row r="83" spans="1:4">
      <c r="A83" s="8"/>
      <c r="B83" s="8"/>
      <c r="C83" s="2"/>
      <c r="D83" s="1"/>
    </row>
    <row r="84" spans="1:4">
      <c r="A84" s="8"/>
      <c r="B84" s="17"/>
      <c r="C84" s="2"/>
      <c r="D84" s="1"/>
    </row>
    <row r="85" spans="1:4">
      <c r="A85" s="17"/>
      <c r="B85" s="8"/>
      <c r="C85" s="2"/>
      <c r="D85" s="1"/>
    </row>
    <row r="86" spans="1:4">
      <c r="A86" s="8"/>
      <c r="B86" s="8"/>
      <c r="C86" s="2"/>
      <c r="D86" s="1"/>
    </row>
    <row r="87" spans="1:4">
      <c r="A87" s="8"/>
      <c r="B87" s="8"/>
      <c r="C87" s="2"/>
      <c r="D87" s="1"/>
    </row>
    <row r="88" spans="1:4">
      <c r="A88" s="8"/>
      <c r="B88" s="8"/>
      <c r="C88" s="2"/>
      <c r="D88" s="1"/>
    </row>
    <row r="89" spans="1:4">
      <c r="A89" s="8"/>
      <c r="B89" s="8"/>
      <c r="C89" s="2"/>
      <c r="D89" s="1"/>
    </row>
    <row r="90" spans="1:4">
      <c r="A90" s="8"/>
      <c r="B90" s="8"/>
      <c r="C90" s="2"/>
      <c r="D90" s="1"/>
    </row>
    <row r="91" spans="1:4">
      <c r="A91" s="8"/>
      <c r="B91" s="8"/>
      <c r="C91" s="2"/>
      <c r="D91" s="1"/>
    </row>
    <row r="92" spans="1:4">
      <c r="A92" s="8"/>
      <c r="B92" s="8"/>
      <c r="C92" s="2"/>
      <c r="D92" s="1"/>
    </row>
    <row r="93" spans="1:4">
      <c r="A93" s="8"/>
      <c r="B93" s="8"/>
      <c r="C93" s="2"/>
      <c r="D93" s="1"/>
    </row>
    <row r="94" spans="1:4">
      <c r="A94" s="8"/>
      <c r="B94" s="8"/>
      <c r="C94" s="2"/>
      <c r="D94" s="1"/>
    </row>
    <row r="95" spans="1:4">
      <c r="A95" s="8"/>
      <c r="B95" s="8"/>
      <c r="C95" s="2"/>
      <c r="D95" s="1"/>
    </row>
    <row r="96" spans="1:4">
      <c r="A96" s="8"/>
      <c r="B96" s="8"/>
      <c r="D96" s="1"/>
    </row>
    <row r="97" spans="1:4">
      <c r="A97" s="8"/>
      <c r="B97" s="8"/>
      <c r="D97" s="1"/>
    </row>
    <row r="98" spans="1:4">
      <c r="A98" s="8"/>
      <c r="B98" s="8"/>
      <c r="D98" s="1"/>
    </row>
    <row r="99" spans="1:4">
      <c r="A99" s="8"/>
      <c r="B99" s="8"/>
      <c r="D99" s="1"/>
    </row>
    <row r="100" spans="1:4">
      <c r="A100" s="8"/>
      <c r="D100" s="1"/>
    </row>
    <row r="101" spans="1:4">
      <c r="D101" s="1"/>
    </row>
    <row r="102" spans="1:4">
      <c r="D102" s="6"/>
    </row>
  </sheetData>
  <mergeCells count="17">
    <mergeCell ref="A35:A37"/>
    <mergeCell ref="B35:B37"/>
    <mergeCell ref="A30:A31"/>
    <mergeCell ref="A33:A34"/>
    <mergeCell ref="C23:C24"/>
    <mergeCell ref="C27:C28"/>
    <mergeCell ref="B19:B29"/>
    <mergeCell ref="A2:A29"/>
    <mergeCell ref="C19:C22"/>
    <mergeCell ref="B2:B4"/>
    <mergeCell ref="C3:C4"/>
    <mergeCell ref="C5:C7"/>
    <mergeCell ref="B5:B10"/>
    <mergeCell ref="B12:B18"/>
    <mergeCell ref="C35:C37"/>
    <mergeCell ref="C9:C10"/>
    <mergeCell ref="C25:C26"/>
  </mergeCells>
  <phoneticPr fontId="2" type="noConversion"/>
  <conditionalFormatting sqref="F46:F67 F4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">
      <colorScale>
        <cfvo type="min"/>
        <cfvo type="max"/>
        <color rgb="FFFFC000"/>
        <color rgb="FFFF6600"/>
      </colorScale>
    </cfRule>
  </conditionalFormatting>
  <conditionalFormatting sqref="E46 E44 E49:E6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养老金计划</vt:lpstr>
      <vt:lpstr>螺丝钉计划</vt:lpstr>
      <vt:lpstr>天天基金网</vt:lpstr>
      <vt:lpstr>持仓市值汇总</vt:lpstr>
      <vt:lpstr>资产配置情况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lishuyun</dc:creator>
  <cp:lastModifiedBy>lishuyun</cp:lastModifiedBy>
  <dcterms:created xsi:type="dcterms:W3CDTF">2018-05-19T08:29:27Z</dcterms:created>
  <dcterms:modified xsi:type="dcterms:W3CDTF">2019-11-02T10:41:29Z</dcterms:modified>
</cp:coreProperties>
</file>