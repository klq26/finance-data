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CD8F24C0-DDE4-4B03-898E-2CC3C6B934D9}" xr6:coauthVersionLast="44" xr6:coauthVersionMax="44" xr10:uidLastSave="{00000000-0000-0000-0000-000000000000}"/>
  <bookViews>
    <workbookView xWindow="-120" yWindow="-120" windowWidth="38640" windowHeight="21240" activeTab="1" xr2:uid="{1ACA027F-FE03-6443-8AFD-87B5306B9B50}"/>
  </bookViews>
  <sheets>
    <sheet name="工资定投计划" sheetId="1" r:id="rId1"/>
    <sheet name="螺丝钉计划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46" i="2" l="1"/>
  <c r="C133" i="2"/>
  <c r="C120" i="2"/>
  <c r="C107" i="2"/>
  <c r="C94" i="2"/>
  <c r="C81" i="2"/>
  <c r="C68" i="2"/>
  <c r="C55" i="2"/>
  <c r="C42" i="2"/>
  <c r="C29" i="2"/>
  <c r="C16" i="2"/>
  <c r="K15" i="2"/>
  <c r="K14" i="2"/>
  <c r="K13" i="2"/>
  <c r="K12" i="2"/>
  <c r="K11" i="2"/>
  <c r="K10" i="2"/>
  <c r="K9" i="2"/>
  <c r="K8" i="2"/>
  <c r="K7" i="2"/>
  <c r="K6" i="2"/>
  <c r="K5" i="2"/>
  <c r="D18" i="1" l="1"/>
  <c r="D17" i="1"/>
  <c r="E23" i="1" l="1"/>
  <c r="F18" i="1" l="1"/>
  <c r="J18" i="1" s="1"/>
  <c r="F17" i="1"/>
  <c r="E10" i="1"/>
  <c r="D13" i="1" l="1"/>
  <c r="D19" i="1"/>
  <c r="F10" i="1" l="1"/>
  <c r="D14" i="1"/>
  <c r="E8" i="1"/>
  <c r="F12" i="1" l="1"/>
  <c r="F19" i="1"/>
  <c r="F13" i="1"/>
  <c r="F8" i="1"/>
  <c r="D12" i="1"/>
  <c r="D15" i="1"/>
  <c r="D16" i="1"/>
  <c r="J14" i="1"/>
  <c r="F16" i="1"/>
  <c r="J16" i="1" s="1"/>
  <c r="B23" i="1"/>
  <c r="E24" i="1" s="1"/>
  <c r="F15" i="1"/>
  <c r="F14" i="1"/>
  <c r="J8" i="1" s="1"/>
  <c r="E9" i="1"/>
  <c r="F9" i="1" s="1"/>
  <c r="E2" i="1"/>
  <c r="F2" i="1" s="1"/>
  <c r="J2" i="1" s="1"/>
  <c r="E6" i="1"/>
  <c r="F6" i="1" s="1"/>
  <c r="E5" i="1"/>
  <c r="F5" i="1" s="1"/>
  <c r="J10" i="1" s="1"/>
  <c r="E7" i="1"/>
  <c r="F7" i="1" s="1"/>
  <c r="E4" i="1"/>
  <c r="F4" i="1" s="1"/>
  <c r="J17" i="1" s="1"/>
  <c r="E3" i="1"/>
  <c r="F3" i="1" s="1"/>
  <c r="J13" i="1" s="1"/>
  <c r="E11" i="1"/>
  <c r="F11" i="1" s="1"/>
  <c r="J15" i="1" l="1"/>
  <c r="J19" i="1"/>
  <c r="J12" i="1"/>
  <c r="J9" i="1"/>
  <c r="J11" i="1"/>
  <c r="J5" i="1"/>
  <c r="J3" i="1"/>
  <c r="J6" i="1"/>
  <c r="J7" i="1"/>
  <c r="J4" i="1"/>
</calcChain>
</file>

<file path=xl/sharedStrings.xml><?xml version="1.0" encoding="utf-8"?>
<sst xmlns="http://schemas.openxmlformats.org/spreadsheetml/2006/main" count="139" uniqueCount="64">
  <si>
    <t>华宝香港中小</t>
    <phoneticPr fontId="2" type="noConversion"/>
  </si>
  <si>
    <t>持有收益（元）</t>
    <phoneticPr fontId="2" type="noConversion"/>
  </si>
  <si>
    <t>持有收益率</t>
    <phoneticPr fontId="2" type="noConversion"/>
  </si>
  <si>
    <t>景顺长城中证500低波动</t>
    <phoneticPr fontId="2" type="noConversion"/>
  </si>
  <si>
    <t>大成中证红利指数</t>
    <phoneticPr fontId="2" type="noConversion"/>
  </si>
  <si>
    <t>华宝红利基金</t>
    <phoneticPr fontId="2" type="noConversion"/>
  </si>
  <si>
    <t>银河沪深300价值指数</t>
    <phoneticPr fontId="2" type="noConversion"/>
  </si>
  <si>
    <t>嘉实深证基本面120联接</t>
    <phoneticPr fontId="2" type="noConversion"/>
  </si>
  <si>
    <t>华夏上证50AH优选指数</t>
    <phoneticPr fontId="2" type="noConversion"/>
  </si>
  <si>
    <t>天弘中证医药100A</t>
    <phoneticPr fontId="2" type="noConversion"/>
  </si>
  <si>
    <t>申万菱信沪深300价值指数</t>
    <phoneticPr fontId="2" type="noConversion"/>
  </si>
  <si>
    <t>品种</t>
    <phoneticPr fontId="2" type="noConversion"/>
  </si>
  <si>
    <t>个人顺序</t>
    <phoneticPr fontId="2" type="noConversion"/>
  </si>
  <si>
    <t>品种分类</t>
    <phoneticPr fontId="2" type="noConversion"/>
  </si>
  <si>
    <t>持仓市值</t>
    <phoneticPr fontId="2" type="noConversion"/>
  </si>
  <si>
    <t>海外新兴</t>
    <phoneticPr fontId="2" type="noConversion"/>
  </si>
  <si>
    <t>中盘股</t>
    <phoneticPr fontId="2" type="noConversion"/>
  </si>
  <si>
    <t>红利价值</t>
    <phoneticPr fontId="2" type="noConversion"/>
  </si>
  <si>
    <t>大盘股</t>
    <phoneticPr fontId="2" type="noConversion"/>
  </si>
  <si>
    <t>行业股</t>
    <phoneticPr fontId="2" type="noConversion"/>
  </si>
  <si>
    <t>网站顺序</t>
    <phoneticPr fontId="2" type="noConversion"/>
  </si>
  <si>
    <t>上证50</t>
    <phoneticPr fontId="2" type="noConversion"/>
  </si>
  <si>
    <t>中证传媒</t>
    <phoneticPr fontId="2" type="noConversion"/>
  </si>
  <si>
    <t>德国DAX</t>
    <phoneticPr fontId="2" type="noConversion"/>
  </si>
  <si>
    <t>黄金</t>
    <phoneticPr fontId="2" type="noConversion"/>
  </si>
  <si>
    <t>蛋卷总计</t>
    <phoneticPr fontId="2" type="noConversion"/>
  </si>
  <si>
    <t>且慢总计</t>
    <phoneticPr fontId="2" type="noConversion"/>
  </si>
  <si>
    <t>海外成熟</t>
    <phoneticPr fontId="2" type="noConversion"/>
  </si>
  <si>
    <t>商品</t>
    <phoneticPr fontId="2" type="noConversion"/>
  </si>
  <si>
    <t>网站配比</t>
    <phoneticPr fontId="2" type="noConversion"/>
  </si>
  <si>
    <t>定投组合配比</t>
    <phoneticPr fontId="2" type="noConversion"/>
  </si>
  <si>
    <t>定投总计</t>
    <phoneticPr fontId="2" type="noConversion"/>
  </si>
  <si>
    <t>大类占比</t>
    <phoneticPr fontId="2" type="noConversion"/>
  </si>
  <si>
    <t>说明：</t>
    <phoneticPr fontId="2" type="noConversion"/>
  </si>
  <si>
    <t>有边框的是从网站抄录的数据。没有边框的为公式计算数据，以及个人定义的顺序辅助列。</t>
    <phoneticPr fontId="2" type="noConversion"/>
  </si>
  <si>
    <t>个人顺序是按照大盘，中盘，小盘，红利，行业，海内外新兴成熟来划分的索引 ID 辅助列，方便排序观测使用。</t>
    <phoneticPr fontId="2" type="noConversion"/>
  </si>
  <si>
    <t>网站顺序是为了更新数据方便，从上至下排列好，就可以从网站按顺序抄写数据。101中，100 表示第一个网站，1 表示一号。200 表示第二个网站，也是方便筛选排序。</t>
    <phoneticPr fontId="2" type="noConversion"/>
  </si>
  <si>
    <t>建信500</t>
    <phoneticPr fontId="2" type="noConversion"/>
  </si>
  <si>
    <t>华宝油气</t>
    <phoneticPr fontId="2" type="noConversion"/>
  </si>
  <si>
    <t>定投收益率</t>
    <phoneticPr fontId="2" type="noConversion"/>
  </si>
  <si>
    <t>建信深证基本面60ETF联接A</t>
    <phoneticPr fontId="2" type="noConversion"/>
  </si>
  <si>
    <t>中证红利</t>
    <phoneticPr fontId="2" type="noConversion"/>
  </si>
  <si>
    <t>中国海外互联网</t>
    <phoneticPr fontId="2" type="noConversion"/>
  </si>
  <si>
    <t>海外互联网</t>
    <phoneticPr fontId="2" type="noConversion"/>
  </si>
  <si>
    <t>总金额</t>
    <phoneticPr fontId="2" type="noConversion"/>
  </si>
  <si>
    <t>持有收益</t>
    <phoneticPr fontId="2" type="noConversion"/>
  </si>
  <si>
    <t>景顺长城中证500低波动</t>
  </si>
  <si>
    <t>持有收益(元)</t>
  </si>
  <si>
    <t>持有收益率</t>
  </si>
  <si>
    <t>持仓份额(份)</t>
  </si>
  <si>
    <t>持仓配比</t>
  </si>
  <si>
    <t>华宝香港中小</t>
  </si>
  <si>
    <t>大成中证红利指数A</t>
  </si>
  <si>
    <t>银河沪深300价值指数</t>
  </si>
  <si>
    <t>嘉实深证基本面120联接</t>
  </si>
  <si>
    <t>华宝红利基金</t>
  </si>
  <si>
    <t>天弘中证医药100A</t>
  </si>
  <si>
    <t>建信深证基本面60ETF联接A</t>
  </si>
  <si>
    <t>华夏上证50AH优选指数</t>
  </si>
  <si>
    <t>广发中证养老</t>
  </si>
  <si>
    <t>申万菱信沪深300价值指数</t>
  </si>
  <si>
    <t>大成景安短融债券E</t>
  </si>
  <si>
    <t>大成中证红利指数A</t>
    <phoneticPr fontId="2" type="noConversion"/>
  </si>
  <si>
    <t>广发中证养老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</si>
</sst>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.00_);_(* \(#,##0.00\);_(* &quot;-&quot;??_);_(@_)"/>
    <numFmt numFmtId="177" formatCode="0.00_);[Red]\(0.00\)"/>
  </numFmts>
  <fonts count="4" x14ac:knownFonts="1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rgb="FFFF0000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0" fontId="0" fillId="3" borderId="0" xfId="2" applyNumberFormat="1" applyFont="1" applyFill="1">
      <alignment vertical="center"/>
    </xf>
    <xf numFmtId="10" fontId="0" fillId="0" borderId="0" xfId="2" applyNumberFormat="1" applyFont="1">
      <alignment vertical="center"/>
    </xf>
    <xf numFmtId="2" fontId="0" fillId="2" borderId="1" xfId="1" applyNumberFormat="1" applyFont="1" applyFill="1" applyBorder="1">
      <alignment vertical="center"/>
    </xf>
    <xf numFmtId="10" fontId="0" fillId="2" borderId="1" xfId="0" applyNumberFormat="1" applyFill="1" applyBorder="1">
      <alignment vertical="center"/>
    </xf>
    <xf numFmtId="10" fontId="0" fillId="3" borderId="1" xfId="0" applyNumberFormat="1" applyFill="1" applyBorder="1">
      <alignment vertical="center"/>
    </xf>
    <xf numFmtId="2" fontId="0" fillId="2" borderId="0" xfId="0" applyNumberFormat="1" applyFill="1">
      <alignment vertical="center"/>
    </xf>
    <xf numFmtId="10" fontId="0" fillId="3" borderId="0" xfId="2" applyNumberFormat="1" applyFont="1" applyFill="1" applyBorder="1">
      <alignment vertical="center"/>
    </xf>
    <xf numFmtId="2" fontId="0" fillId="2" borderId="0" xfId="0" applyNumberFormat="1" applyFill="1" applyBorder="1">
      <alignment vertical="center"/>
    </xf>
    <xf numFmtId="2" fontId="0" fillId="0" borderId="1" xfId="0" applyNumberFormat="1" applyBorder="1">
      <alignment vertical="center"/>
    </xf>
    <xf numFmtId="2" fontId="0" fillId="3" borderId="1" xfId="0" applyNumberFormat="1" applyFill="1" applyBorder="1">
      <alignment vertical="center"/>
    </xf>
    <xf numFmtId="10" fontId="3" fillId="0" borderId="0" xfId="2" applyNumberFormat="1" applyFont="1">
      <alignment vertical="center"/>
    </xf>
    <xf numFmtId="10" fontId="0" fillId="0" borderId="0" xfId="0" applyNumberFormat="1">
      <alignment vertical="center"/>
    </xf>
    <xf numFmtId="4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0" fillId="0" borderId="0" xfId="2" applyNumberFormat="1" applyFont="1">
      <alignment vertical="center"/>
    </xf>
    <xf numFmtId="0" fontId="0" fillId="4" borderId="1" xfId="0" applyFill="1" applyBorder="1">
      <alignment vertic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5057-ABA2-6443-8DEB-5A99A111B077}">
  <sheetPr codeName="Sheet1"/>
  <dimension ref="A1:J29"/>
  <sheetViews>
    <sheetView workbookViewId="0">
      <selection activeCell="G36" sqref="G36"/>
    </sheetView>
  </sheetViews>
  <sheetFormatPr defaultColWidth="11" defaultRowHeight="15.75" x14ac:dyDescent="0.25"/>
  <cols>
    <col min="1" max="1" width="26.625" bestFit="1" customWidth="1"/>
    <col min="2" max="2" width="16.375" bestFit="1" customWidth="1"/>
    <col min="5" max="5" width="12.125" bestFit="1" customWidth="1"/>
    <col min="6" max="6" width="14.125" bestFit="1" customWidth="1"/>
  </cols>
  <sheetData>
    <row r="1" spans="1:10" x14ac:dyDescent="0.25">
      <c r="A1" s="1" t="s">
        <v>11</v>
      </c>
      <c r="B1" s="1" t="s">
        <v>1</v>
      </c>
      <c r="C1" s="1" t="s">
        <v>2</v>
      </c>
      <c r="D1" s="1" t="s">
        <v>29</v>
      </c>
      <c r="E1" s="1" t="s">
        <v>14</v>
      </c>
      <c r="F1" s="1" t="s">
        <v>30</v>
      </c>
      <c r="G1" s="1" t="s">
        <v>12</v>
      </c>
      <c r="H1" s="1" t="s">
        <v>20</v>
      </c>
      <c r="I1" s="1" t="s">
        <v>13</v>
      </c>
      <c r="J1" s="1" t="s">
        <v>32</v>
      </c>
    </row>
    <row r="2" spans="1:10" x14ac:dyDescent="0.25">
      <c r="A2" s="3" t="s">
        <v>0</v>
      </c>
      <c r="B2" s="7">
        <v>5.13</v>
      </c>
      <c r="C2" s="8">
        <v>6.7999999999999996E-3</v>
      </c>
      <c r="D2" s="8">
        <v>0.1832</v>
      </c>
      <c r="E2" s="12">
        <f t="shared" ref="E2:E11" si="0">D2*$E$21</f>
        <v>2253.523048</v>
      </c>
      <c r="F2" s="6">
        <f t="shared" ref="F2:F19" si="1">E2/$E$23</f>
        <v>9.9963805266199982E-2</v>
      </c>
      <c r="G2">
        <v>6</v>
      </c>
      <c r="H2">
        <v>101</v>
      </c>
      <c r="I2" t="s">
        <v>15</v>
      </c>
      <c r="J2" s="6">
        <f>SUMIF(G:G,"=6",F:F)</f>
        <v>9.9963805266199982E-2</v>
      </c>
    </row>
    <row r="3" spans="1:10" x14ac:dyDescent="0.25">
      <c r="A3" s="3" t="s">
        <v>3</v>
      </c>
      <c r="B3" s="7">
        <v>-13.95</v>
      </c>
      <c r="C3" s="8">
        <v>-7.7999999999999996E-3</v>
      </c>
      <c r="D3" s="8">
        <v>0.14480000000000001</v>
      </c>
      <c r="E3" s="10">
        <f t="shared" si="0"/>
        <v>1781.168872</v>
      </c>
      <c r="F3" s="6">
        <f t="shared" si="1"/>
        <v>7.9010693245337105E-2</v>
      </c>
      <c r="G3">
        <v>3</v>
      </c>
      <c r="H3">
        <v>102</v>
      </c>
      <c r="I3" t="s">
        <v>16</v>
      </c>
      <c r="J3" s="6">
        <f>SUMIF(G:G,"=3",F:F)</f>
        <v>0.2456345369086016</v>
      </c>
    </row>
    <row r="4" spans="1:10" x14ac:dyDescent="0.25">
      <c r="A4" s="3" t="s">
        <v>4</v>
      </c>
      <c r="B4" s="7">
        <v>-64.010000000000005</v>
      </c>
      <c r="C4" s="8">
        <v>-2.7799999999999998E-2</v>
      </c>
      <c r="D4" s="8">
        <v>0.18179999999999999</v>
      </c>
      <c r="E4" s="10">
        <f t="shared" si="0"/>
        <v>2236.301802</v>
      </c>
      <c r="F4" s="6">
        <f t="shared" si="1"/>
        <v>9.9199889723772694E-2</v>
      </c>
      <c r="G4">
        <v>4</v>
      </c>
      <c r="H4">
        <v>103</v>
      </c>
      <c r="I4" t="s">
        <v>17</v>
      </c>
      <c r="J4" s="6">
        <f>SUMIF(G:G,"=4",F:F)</f>
        <v>0.16672817584223137</v>
      </c>
    </row>
    <row r="5" spans="1:10" x14ac:dyDescent="0.25">
      <c r="A5" s="3" t="s">
        <v>6</v>
      </c>
      <c r="B5" s="7">
        <v>25.51</v>
      </c>
      <c r="C5" s="8">
        <v>1.21E-2</v>
      </c>
      <c r="D5" s="8">
        <v>0.1729</v>
      </c>
      <c r="E5" s="10">
        <f t="shared" si="0"/>
        <v>2126.8238809999998</v>
      </c>
      <c r="F5" s="6">
        <f t="shared" si="1"/>
        <v>9.4343569489770615E-2</v>
      </c>
      <c r="G5">
        <v>2</v>
      </c>
      <c r="H5">
        <v>104</v>
      </c>
      <c r="I5" t="s">
        <v>18</v>
      </c>
      <c r="J5" s="6">
        <f>SUMIF(G:G,"=2",F:F)</f>
        <v>0.1357041395726197</v>
      </c>
    </row>
    <row r="6" spans="1:10" x14ac:dyDescent="0.25">
      <c r="A6" s="3" t="s">
        <v>7</v>
      </c>
      <c r="B6" s="7">
        <v>12.02</v>
      </c>
      <c r="C6" s="8">
        <v>6.8999999999999999E-3</v>
      </c>
      <c r="D6" s="8">
        <v>0.1419</v>
      </c>
      <c r="E6" s="10">
        <f t="shared" si="0"/>
        <v>1745.4962909999999</v>
      </c>
      <c r="F6" s="6">
        <f t="shared" si="1"/>
        <v>7.7428296764594853E-2</v>
      </c>
      <c r="G6">
        <v>3</v>
      </c>
      <c r="H6">
        <v>105</v>
      </c>
      <c r="I6" t="s">
        <v>16</v>
      </c>
      <c r="J6" s="6">
        <f>SUMIF(G:G,"=3",F:F)</f>
        <v>0.2456345369086016</v>
      </c>
    </row>
    <row r="7" spans="1:10" x14ac:dyDescent="0.25">
      <c r="A7" s="3" t="s">
        <v>5</v>
      </c>
      <c r="B7" s="7">
        <v>-36.590000000000003</v>
      </c>
      <c r="C7" s="8">
        <v>-6.7599999999999993E-2</v>
      </c>
      <c r="D7" s="8">
        <v>4.1000000000000002E-2</v>
      </c>
      <c r="E7" s="10">
        <f t="shared" si="0"/>
        <v>504.33648999999997</v>
      </c>
      <c r="F7" s="6">
        <f t="shared" si="1"/>
        <v>2.2371812313942134E-2</v>
      </c>
      <c r="G7">
        <v>4</v>
      </c>
      <c r="H7">
        <v>106</v>
      </c>
      <c r="I7" t="s">
        <v>17</v>
      </c>
      <c r="J7" s="6">
        <f>SUMIF(G:G,"=4",F:F)</f>
        <v>0.16672817584223137</v>
      </c>
    </row>
    <row r="8" spans="1:10" x14ac:dyDescent="0.25">
      <c r="A8" s="3" t="s">
        <v>9</v>
      </c>
      <c r="B8" s="7">
        <v>45.51</v>
      </c>
      <c r="C8" s="8">
        <v>0.12759999999999999</v>
      </c>
      <c r="D8" s="8">
        <v>3.27E-2</v>
      </c>
      <c r="E8" s="12">
        <f t="shared" si="0"/>
        <v>402.239103</v>
      </c>
      <c r="F8" s="6">
        <f t="shared" si="1"/>
        <v>1.7842884455266047E-2</v>
      </c>
      <c r="G8">
        <v>5</v>
      </c>
      <c r="H8">
        <v>107</v>
      </c>
      <c r="I8" t="s">
        <v>19</v>
      </c>
      <c r="J8" s="6">
        <f>SUMIF(G:G,"=5",F:F)</f>
        <v>5.768560553670056E-2</v>
      </c>
    </row>
    <row r="9" spans="1:10" x14ac:dyDescent="0.25">
      <c r="A9" s="3" t="s">
        <v>8</v>
      </c>
      <c r="B9" s="7">
        <v>5.76</v>
      </c>
      <c r="C9" s="8">
        <v>1.84E-2</v>
      </c>
      <c r="D9" s="8">
        <v>2.5899999999999999E-2</v>
      </c>
      <c r="E9" s="10">
        <f t="shared" si="0"/>
        <v>318.593051</v>
      </c>
      <c r="F9" s="6">
        <f t="shared" si="1"/>
        <v>1.413243753490491E-2</v>
      </c>
      <c r="G9">
        <v>1</v>
      </c>
      <c r="H9">
        <v>108</v>
      </c>
      <c r="I9" t="s">
        <v>18</v>
      </c>
      <c r="J9" s="6">
        <f>SUMIF(G:G,"=1",F:F)</f>
        <v>6.1116054462084013E-2</v>
      </c>
    </row>
    <row r="10" spans="1:10" x14ac:dyDescent="0.25">
      <c r="A10" s="3" t="s">
        <v>40</v>
      </c>
      <c r="B10" s="7">
        <v>-2.23</v>
      </c>
      <c r="C10" s="8">
        <v>-2.5999999999999999E-3</v>
      </c>
      <c r="D10" s="8">
        <v>6.8699999999999997E-2</v>
      </c>
      <c r="E10" s="10">
        <f t="shared" si="0"/>
        <v>845.07114299999989</v>
      </c>
      <c r="F10" s="6">
        <f t="shared" si="1"/>
        <v>3.7486426974824988E-2</v>
      </c>
      <c r="G10">
        <v>2</v>
      </c>
      <c r="H10">
        <v>109</v>
      </c>
      <c r="I10" t="s">
        <v>18</v>
      </c>
      <c r="J10" s="6">
        <f>SUMIF(G:G,"=2",F:F)</f>
        <v>0.1357041395726197</v>
      </c>
    </row>
    <row r="11" spans="1:10" x14ac:dyDescent="0.25">
      <c r="A11" s="3" t="s">
        <v>10</v>
      </c>
      <c r="B11" s="7">
        <v>-5.38</v>
      </c>
      <c r="C11" s="8">
        <v>-5.4100000000000002E-2</v>
      </c>
      <c r="D11" s="8">
        <v>7.1000000000000004E-3</v>
      </c>
      <c r="E11" s="10">
        <f t="shared" si="0"/>
        <v>87.336319000000003</v>
      </c>
      <c r="F11" s="6">
        <f t="shared" si="1"/>
        <v>3.8741431080241261E-3</v>
      </c>
      <c r="G11">
        <v>2</v>
      </c>
      <c r="H11">
        <v>110</v>
      </c>
      <c r="I11" t="s">
        <v>18</v>
      </c>
      <c r="J11" s="6">
        <f>SUMIF(G:G,"=2",F:F)</f>
        <v>0.1357041395726197</v>
      </c>
    </row>
    <row r="12" spans="1:10" x14ac:dyDescent="0.25">
      <c r="A12" s="4" t="s">
        <v>21</v>
      </c>
      <c r="B12" s="14">
        <v>59.17</v>
      </c>
      <c r="C12" s="9">
        <v>1.32E-2</v>
      </c>
      <c r="D12" s="11">
        <f t="shared" ref="D12:D19" si="2">E12/$E$22</f>
        <v>0.10340932389553333</v>
      </c>
      <c r="E12" s="14">
        <v>1059.17</v>
      </c>
      <c r="F12" s="6">
        <f t="shared" si="1"/>
        <v>4.6983616927179103E-2</v>
      </c>
      <c r="G12">
        <v>1</v>
      </c>
      <c r="H12">
        <v>201</v>
      </c>
      <c r="I12" t="s">
        <v>18</v>
      </c>
      <c r="J12" s="6">
        <f>SUMIF(G:G,"=1",F:F)</f>
        <v>6.1116054462084013E-2</v>
      </c>
    </row>
    <row r="13" spans="1:10" x14ac:dyDescent="0.25">
      <c r="A13" s="4" t="s">
        <v>37</v>
      </c>
      <c r="B13" s="14">
        <v>10.77</v>
      </c>
      <c r="C13" s="9">
        <v>5.4000000000000003E-3</v>
      </c>
      <c r="D13" s="11">
        <f t="shared" si="2"/>
        <v>0.19631632902123505</v>
      </c>
      <c r="E13" s="14">
        <v>2010.77</v>
      </c>
      <c r="F13" s="6">
        <f t="shared" si="1"/>
        <v>8.9195546898669639E-2</v>
      </c>
      <c r="G13">
        <v>3</v>
      </c>
      <c r="H13">
        <v>202</v>
      </c>
      <c r="I13" t="s">
        <v>16</v>
      </c>
      <c r="J13" s="6">
        <f>SUMIF(G:G,"=3",F:F)</f>
        <v>0.2456345369086016</v>
      </c>
    </row>
    <row r="14" spans="1:10" x14ac:dyDescent="0.25">
      <c r="A14" s="4" t="s">
        <v>22</v>
      </c>
      <c r="B14" s="14">
        <v>-101.81</v>
      </c>
      <c r="C14" s="9">
        <v>-0.1018</v>
      </c>
      <c r="D14" s="5">
        <f t="shared" si="2"/>
        <v>8.7692457896021481E-2</v>
      </c>
      <c r="E14" s="14">
        <v>898.19</v>
      </c>
      <c r="F14" s="6">
        <f t="shared" si="1"/>
        <v>3.9842721081434516E-2</v>
      </c>
      <c r="G14">
        <v>5</v>
      </c>
      <c r="H14">
        <v>203</v>
      </c>
      <c r="I14" t="s">
        <v>19</v>
      </c>
      <c r="J14" s="6">
        <f>SUMIF(G:G,"=5",F:F)</f>
        <v>5.768560553670056E-2</v>
      </c>
    </row>
    <row r="15" spans="1:10" x14ac:dyDescent="0.25">
      <c r="A15" s="4" t="s">
        <v>24</v>
      </c>
      <c r="B15" s="14">
        <v>304.27999999999997</v>
      </c>
      <c r="C15" s="9">
        <v>0.15210000000000001</v>
      </c>
      <c r="D15" s="5">
        <f t="shared" si="2"/>
        <v>0.22497241884305591</v>
      </c>
      <c r="E15" s="14">
        <v>2304.2800000000002</v>
      </c>
      <c r="F15" s="6">
        <f t="shared" si="1"/>
        <v>0.10221532786328943</v>
      </c>
      <c r="G15">
        <v>8</v>
      </c>
      <c r="H15">
        <v>204</v>
      </c>
      <c r="I15" t="s">
        <v>28</v>
      </c>
      <c r="J15" s="6">
        <f>SUMIF(G:G,"=8",F:F)</f>
        <v>0.14073881523586296</v>
      </c>
    </row>
    <row r="16" spans="1:10" x14ac:dyDescent="0.25">
      <c r="A16" s="4" t="s">
        <v>23</v>
      </c>
      <c r="B16" s="14">
        <v>40.770000000000003</v>
      </c>
      <c r="C16" s="9">
        <v>4.0800000000000003E-2</v>
      </c>
      <c r="D16" s="5">
        <f t="shared" si="2"/>
        <v>0.1016128874786429</v>
      </c>
      <c r="E16" s="14">
        <v>1040.77</v>
      </c>
      <c r="F16" s="6">
        <f t="shared" si="1"/>
        <v>4.6167413153035103E-2</v>
      </c>
      <c r="G16">
        <v>7</v>
      </c>
      <c r="H16">
        <v>205</v>
      </c>
      <c r="I16" t="s">
        <v>27</v>
      </c>
      <c r="J16" s="6">
        <f>SUMIF(G:G,"=7",F:F)</f>
        <v>4.6167413153035103E-2</v>
      </c>
    </row>
    <row r="17" spans="1:10" x14ac:dyDescent="0.25">
      <c r="A17" s="4" t="s">
        <v>41</v>
      </c>
      <c r="B17" s="14">
        <v>17.98</v>
      </c>
      <c r="C17" s="9">
        <v>1.7999999999999999E-2</v>
      </c>
      <c r="D17" s="5">
        <f t="shared" si="2"/>
        <v>9.9387844764461802E-2</v>
      </c>
      <c r="E17" s="14">
        <v>1017.98</v>
      </c>
      <c r="F17" s="6">
        <f t="shared" si="1"/>
        <v>4.5156473804516539E-2</v>
      </c>
      <c r="G17">
        <v>4</v>
      </c>
      <c r="H17">
        <v>206</v>
      </c>
      <c r="I17" t="s">
        <v>17</v>
      </c>
      <c r="J17" s="6">
        <f>SUMIF(G:G,"=4",F:F)</f>
        <v>0.16672817584223137</v>
      </c>
    </row>
    <row r="18" spans="1:10" x14ac:dyDescent="0.25">
      <c r="A18" s="4" t="s">
        <v>42</v>
      </c>
      <c r="B18" s="14">
        <v>42.89</v>
      </c>
      <c r="C18" s="9">
        <v>4.2900000000000001E-2</v>
      </c>
      <c r="D18" s="5">
        <f t="shared" si="2"/>
        <v>0.10181986819624116</v>
      </c>
      <c r="E18" s="14">
        <v>1042.8900000000001</v>
      </c>
      <c r="F18" s="6">
        <f t="shared" si="1"/>
        <v>4.6261454022664746E-2</v>
      </c>
      <c r="G18">
        <v>9</v>
      </c>
      <c r="H18">
        <v>207</v>
      </c>
      <c r="I18" t="s">
        <v>43</v>
      </c>
      <c r="J18" s="6">
        <f>SUMIF(G:G,"=9",F:F)</f>
        <v>4.6261454022664746E-2</v>
      </c>
    </row>
    <row r="19" spans="1:10" x14ac:dyDescent="0.25">
      <c r="A19" s="4" t="s">
        <v>38</v>
      </c>
      <c r="B19" s="14">
        <v>-131.55000000000001</v>
      </c>
      <c r="C19" s="9">
        <v>-0.13150000000000001</v>
      </c>
      <c r="D19" s="5">
        <f t="shared" si="2"/>
        <v>8.4788869904808398E-2</v>
      </c>
      <c r="E19" s="14">
        <v>868.45</v>
      </c>
      <c r="F19" s="6">
        <f t="shared" si="1"/>
        <v>3.8523487372573516E-2</v>
      </c>
      <c r="G19">
        <v>8</v>
      </c>
      <c r="H19">
        <v>206</v>
      </c>
      <c r="I19" t="s">
        <v>28</v>
      </c>
      <c r="J19" s="6">
        <f>SUMIF(G:G,"=8",F:F)</f>
        <v>0.14073881523586296</v>
      </c>
    </row>
    <row r="21" spans="1:10" x14ac:dyDescent="0.25">
      <c r="A21" t="s">
        <v>25</v>
      </c>
      <c r="B21" s="2">
        <v>-17.350000000000001</v>
      </c>
      <c r="E21" s="13">
        <v>12300.89</v>
      </c>
    </row>
    <row r="22" spans="1:10" x14ac:dyDescent="0.25">
      <c r="A22" t="s">
        <v>26</v>
      </c>
      <c r="B22" s="2">
        <v>-25.15</v>
      </c>
      <c r="E22" s="13">
        <v>10242.5</v>
      </c>
    </row>
    <row r="23" spans="1:10" x14ac:dyDescent="0.25">
      <c r="A23" t="s">
        <v>31</v>
      </c>
      <c r="B23" s="2">
        <f>SUM(B21:B22)</f>
        <v>-42.5</v>
      </c>
      <c r="E23" s="2">
        <f>SUM(E21:E22)</f>
        <v>22543.39</v>
      </c>
    </row>
    <row r="24" spans="1:10" x14ac:dyDescent="0.25">
      <c r="A24" t="s">
        <v>39</v>
      </c>
      <c r="B24" s="2"/>
      <c r="E24" s="15">
        <f>B23/E23</f>
        <v>-1.8852532826695541E-3</v>
      </c>
    </row>
    <row r="26" spans="1:10" x14ac:dyDescent="0.25">
      <c r="A26" t="s">
        <v>33</v>
      </c>
    </row>
    <row r="27" spans="1:10" x14ac:dyDescent="0.25">
      <c r="A27" t="s">
        <v>34</v>
      </c>
    </row>
    <row r="28" spans="1:10" x14ac:dyDescent="0.25">
      <c r="A28" t="s">
        <v>35</v>
      </c>
    </row>
    <row r="29" spans="1:10" x14ac:dyDescent="0.25">
      <c r="A29" t="s">
        <v>36</v>
      </c>
    </row>
  </sheetData>
  <sortState ref="A2:J19">
    <sortCondition ref="H2"/>
  </sortState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C1146-C043-4A6A-8071-440C5CEAFDF5}">
  <sheetPr codeName="Sheet2"/>
  <dimension ref="A4:K159"/>
  <sheetViews>
    <sheetView tabSelected="1" workbookViewId="0">
      <selection activeCell="E38" sqref="E38"/>
    </sheetView>
  </sheetViews>
  <sheetFormatPr defaultRowHeight="15.75" x14ac:dyDescent="0.25"/>
  <cols>
    <col min="2" max="2" width="27.5" bestFit="1" customWidth="1"/>
    <col min="10" max="10" width="27.5" bestFit="1" customWidth="1"/>
    <col min="11" max="11" width="8" bestFit="1" customWidth="1"/>
  </cols>
  <sheetData>
    <row r="4" spans="1:11" x14ac:dyDescent="0.25">
      <c r="A4" t="s">
        <v>44</v>
      </c>
    </row>
    <row r="5" spans="1:11" x14ac:dyDescent="0.25">
      <c r="A5" s="20">
        <v>13988.7</v>
      </c>
      <c r="B5" t="s">
        <v>46</v>
      </c>
      <c r="J5" t="s">
        <v>8</v>
      </c>
      <c r="K5" s="18">
        <f>VLOOKUP(J5,$J$20:$N$30,2,FALSE) + VLOOKUP(J5,$J$20:$N$30,5,FALSE)</f>
        <v>328.73445000000004</v>
      </c>
    </row>
    <row r="6" spans="1:11" x14ac:dyDescent="0.25">
      <c r="A6" t="s">
        <v>45</v>
      </c>
      <c r="B6" t="s">
        <v>47</v>
      </c>
      <c r="J6" t="s">
        <v>40</v>
      </c>
      <c r="K6" s="18">
        <f t="shared" ref="K6:K15" si="0">VLOOKUP(J6,$J$20:$N$30,2,FALSE) + VLOOKUP(J6,$J$20:$N$30,5,FALSE)</f>
        <v>1079.9276400000001</v>
      </c>
    </row>
    <row r="7" spans="1:11" x14ac:dyDescent="0.25">
      <c r="A7" s="20">
        <v>390.56</v>
      </c>
      <c r="B7">
        <v>55.61</v>
      </c>
      <c r="C7" s="2"/>
      <c r="J7" t="s">
        <v>6</v>
      </c>
      <c r="K7" s="18">
        <f t="shared" si="0"/>
        <v>2425.6405800000002</v>
      </c>
    </row>
    <row r="8" spans="1:11" x14ac:dyDescent="0.25">
      <c r="J8" t="s">
        <v>10</v>
      </c>
      <c r="K8" s="18">
        <f t="shared" si="0"/>
        <v>89.527680000000004</v>
      </c>
    </row>
    <row r="9" spans="1:11" x14ac:dyDescent="0.25">
      <c r="B9" t="s">
        <v>48</v>
      </c>
      <c r="J9" t="s">
        <v>3</v>
      </c>
      <c r="K9" s="18">
        <f t="shared" si="0"/>
        <v>2067.5298600000001</v>
      </c>
    </row>
    <row r="10" spans="1:11" x14ac:dyDescent="0.25">
      <c r="B10" s="16">
        <v>2.76E-2</v>
      </c>
      <c r="J10" t="s">
        <v>7</v>
      </c>
      <c r="K10" s="18">
        <f t="shared" si="0"/>
        <v>1915.05303</v>
      </c>
    </row>
    <row r="11" spans="1:11" x14ac:dyDescent="0.25">
      <c r="J11" t="s">
        <v>62</v>
      </c>
      <c r="K11" s="18">
        <f t="shared" si="0"/>
        <v>2551.5388800000001</v>
      </c>
    </row>
    <row r="12" spans="1:11" x14ac:dyDescent="0.25">
      <c r="B12" t="s">
        <v>49</v>
      </c>
      <c r="J12" t="s">
        <v>5</v>
      </c>
      <c r="K12" s="18">
        <f t="shared" si="0"/>
        <v>521.77850999999998</v>
      </c>
    </row>
    <row r="13" spans="1:11" x14ac:dyDescent="0.25">
      <c r="B13" s="17">
        <v>2159.11</v>
      </c>
      <c r="J13" t="s">
        <v>9</v>
      </c>
      <c r="K13" s="18">
        <f t="shared" si="0"/>
        <v>409.86891000000003</v>
      </c>
    </row>
    <row r="14" spans="1:11" x14ac:dyDescent="0.25">
      <c r="J14" t="s">
        <v>63</v>
      </c>
      <c r="K14" s="18">
        <f t="shared" si="0"/>
        <v>85.331070000000011</v>
      </c>
    </row>
    <row r="15" spans="1:11" x14ac:dyDescent="0.25">
      <c r="B15" t="s">
        <v>50</v>
      </c>
      <c r="J15" t="s">
        <v>0</v>
      </c>
      <c r="K15" s="18">
        <f t="shared" si="0"/>
        <v>2513.7693899999999</v>
      </c>
    </row>
    <row r="16" spans="1:11" x14ac:dyDescent="0.25">
      <c r="B16" s="16">
        <v>0.14779999999999999</v>
      </c>
      <c r="C16" s="19">
        <f>$A$5*B16</f>
        <v>2067.5298600000001</v>
      </c>
    </row>
    <row r="18" spans="2:11" x14ac:dyDescent="0.25">
      <c r="B18" t="s">
        <v>51</v>
      </c>
    </row>
    <row r="19" spans="2:11" x14ac:dyDescent="0.25">
      <c r="B19" t="s">
        <v>47</v>
      </c>
    </row>
    <row r="20" spans="2:11" x14ac:dyDescent="0.25">
      <c r="B20">
        <v>83.32</v>
      </c>
      <c r="C20" s="2"/>
      <c r="J20" t="s">
        <v>46</v>
      </c>
      <c r="K20" s="2">
        <v>2067.5298600000001</v>
      </c>
    </row>
    <row r="21" spans="2:11" x14ac:dyDescent="0.25">
      <c r="J21" t="s">
        <v>51</v>
      </c>
      <c r="K21" s="2">
        <v>2513.7693899999999</v>
      </c>
    </row>
    <row r="22" spans="2:11" x14ac:dyDescent="0.25">
      <c r="B22" t="s">
        <v>48</v>
      </c>
      <c r="J22" t="s">
        <v>52</v>
      </c>
      <c r="K22" s="2">
        <v>2551.5388800000001</v>
      </c>
    </row>
    <row r="23" spans="2:11" x14ac:dyDescent="0.25">
      <c r="B23" s="16">
        <v>3.4299999999999997E-2</v>
      </c>
      <c r="J23" t="s">
        <v>53</v>
      </c>
      <c r="K23" s="2">
        <v>2425.6405800000002</v>
      </c>
    </row>
    <row r="24" spans="2:11" x14ac:dyDescent="0.25">
      <c r="J24" t="s">
        <v>54</v>
      </c>
      <c r="K24" s="2">
        <v>1915.05303</v>
      </c>
    </row>
    <row r="25" spans="2:11" x14ac:dyDescent="0.25">
      <c r="B25" t="s">
        <v>49</v>
      </c>
      <c r="J25" t="s">
        <v>55</v>
      </c>
      <c r="K25" s="2">
        <v>521.77850999999998</v>
      </c>
    </row>
    <row r="26" spans="2:11" x14ac:dyDescent="0.25">
      <c r="B26" s="17">
        <v>1817.25</v>
      </c>
      <c r="J26" t="s">
        <v>56</v>
      </c>
      <c r="K26" s="2">
        <v>409.86891000000003</v>
      </c>
    </row>
    <row r="27" spans="2:11" x14ac:dyDescent="0.25">
      <c r="J27" t="s">
        <v>57</v>
      </c>
      <c r="K27" s="2">
        <v>1079.9276400000001</v>
      </c>
    </row>
    <row r="28" spans="2:11" x14ac:dyDescent="0.25">
      <c r="B28" t="s">
        <v>50</v>
      </c>
      <c r="J28" t="s">
        <v>58</v>
      </c>
      <c r="K28" s="2">
        <v>328.73445000000004</v>
      </c>
    </row>
    <row r="29" spans="2:11" x14ac:dyDescent="0.25">
      <c r="B29" s="16">
        <v>0.1797</v>
      </c>
      <c r="C29" s="19">
        <f>$A$5*B29</f>
        <v>2513.7693899999999</v>
      </c>
      <c r="J29" t="s">
        <v>59</v>
      </c>
      <c r="K29" s="2">
        <v>85.331070000000011</v>
      </c>
    </row>
    <row r="30" spans="2:11" x14ac:dyDescent="0.25">
      <c r="J30" t="s">
        <v>60</v>
      </c>
      <c r="K30" s="2">
        <v>89.527680000000004</v>
      </c>
    </row>
    <row r="31" spans="2:11" x14ac:dyDescent="0.25">
      <c r="B31" t="s">
        <v>52</v>
      </c>
      <c r="J31" t="s">
        <v>61</v>
      </c>
      <c r="K31" s="2"/>
    </row>
    <row r="32" spans="2:11" x14ac:dyDescent="0.25">
      <c r="B32" t="s">
        <v>47</v>
      </c>
    </row>
    <row r="33" spans="2:3" x14ac:dyDescent="0.25">
      <c r="B33">
        <v>15.37</v>
      </c>
      <c r="C33" s="2"/>
    </row>
    <row r="35" spans="2:3" x14ac:dyDescent="0.25">
      <c r="B35" t="s">
        <v>48</v>
      </c>
    </row>
    <row r="36" spans="2:3" x14ac:dyDescent="0.25">
      <c r="B36" s="16">
        <v>6.1000000000000004E-3</v>
      </c>
    </row>
    <row r="38" spans="2:3" x14ac:dyDescent="0.25">
      <c r="B38" t="s">
        <v>49</v>
      </c>
    </row>
    <row r="39" spans="2:3" x14ac:dyDescent="0.25">
      <c r="B39" s="17">
        <v>1528.74</v>
      </c>
    </row>
    <row r="41" spans="2:3" x14ac:dyDescent="0.25">
      <c r="B41" t="s">
        <v>50</v>
      </c>
    </row>
    <row r="42" spans="2:3" x14ac:dyDescent="0.25">
      <c r="B42" s="16">
        <v>0.18240000000000001</v>
      </c>
      <c r="C42" s="19">
        <f>$A$5*B42</f>
        <v>2551.5388800000001</v>
      </c>
    </row>
    <row r="44" spans="2:3" x14ac:dyDescent="0.25">
      <c r="B44" t="s">
        <v>53</v>
      </c>
    </row>
    <row r="45" spans="2:3" x14ac:dyDescent="0.25">
      <c r="B45" t="s">
        <v>47</v>
      </c>
    </row>
    <row r="46" spans="2:3" x14ac:dyDescent="0.25">
      <c r="B46">
        <v>75.2</v>
      </c>
      <c r="C46" s="2"/>
    </row>
    <row r="48" spans="2:3" x14ac:dyDescent="0.25">
      <c r="B48" t="s">
        <v>48</v>
      </c>
    </row>
    <row r="49" spans="2:3" x14ac:dyDescent="0.25">
      <c r="B49" s="16">
        <v>3.2000000000000001E-2</v>
      </c>
    </row>
    <row r="51" spans="2:3" x14ac:dyDescent="0.25">
      <c r="B51" t="s">
        <v>49</v>
      </c>
    </row>
    <row r="52" spans="2:3" x14ac:dyDescent="0.25">
      <c r="B52" s="17">
        <v>1436.82</v>
      </c>
    </row>
    <row r="54" spans="2:3" x14ac:dyDescent="0.25">
      <c r="B54" t="s">
        <v>50</v>
      </c>
    </row>
    <row r="55" spans="2:3" x14ac:dyDescent="0.25">
      <c r="B55" s="16">
        <v>0.1734</v>
      </c>
      <c r="C55" s="19">
        <f>$A$5*B55</f>
        <v>2425.6405800000002</v>
      </c>
    </row>
    <row r="57" spans="2:3" x14ac:dyDescent="0.25">
      <c r="B57" t="s">
        <v>54</v>
      </c>
    </row>
    <row r="58" spans="2:3" x14ac:dyDescent="0.25">
      <c r="B58" t="s">
        <v>47</v>
      </c>
    </row>
    <row r="59" spans="2:3" x14ac:dyDescent="0.25">
      <c r="B59">
        <v>80.22</v>
      </c>
      <c r="C59" s="2"/>
    </row>
    <row r="61" spans="2:3" x14ac:dyDescent="0.25">
      <c r="B61" t="s">
        <v>48</v>
      </c>
    </row>
    <row r="62" spans="2:3" x14ac:dyDescent="0.25">
      <c r="B62" s="16">
        <v>4.3700000000000003E-2</v>
      </c>
    </row>
    <row r="64" spans="2:3" x14ac:dyDescent="0.25">
      <c r="B64" t="s">
        <v>49</v>
      </c>
    </row>
    <row r="65" spans="2:3" x14ac:dyDescent="0.25">
      <c r="B65" s="17">
        <v>1031.96</v>
      </c>
    </row>
    <row r="67" spans="2:3" x14ac:dyDescent="0.25">
      <c r="B67" t="s">
        <v>50</v>
      </c>
    </row>
    <row r="68" spans="2:3" x14ac:dyDescent="0.25">
      <c r="B68" s="16">
        <v>0.13689999999999999</v>
      </c>
      <c r="C68" s="19">
        <f>$A$5*B68</f>
        <v>1915.05303</v>
      </c>
    </row>
    <row r="70" spans="2:3" x14ac:dyDescent="0.25">
      <c r="B70" t="s">
        <v>55</v>
      </c>
    </row>
    <row r="71" spans="2:3" x14ac:dyDescent="0.25">
      <c r="B71" t="s">
        <v>47</v>
      </c>
    </row>
    <row r="72" spans="2:3" x14ac:dyDescent="0.25">
      <c r="B72">
        <v>-19.23</v>
      </c>
      <c r="C72" s="2"/>
    </row>
    <row r="74" spans="2:3" x14ac:dyDescent="0.25">
      <c r="B74" t="s">
        <v>48</v>
      </c>
    </row>
    <row r="75" spans="2:3" x14ac:dyDescent="0.25">
      <c r="B75" s="16">
        <v>-3.56E-2</v>
      </c>
    </row>
    <row r="77" spans="2:3" x14ac:dyDescent="0.25">
      <c r="B77" t="s">
        <v>49</v>
      </c>
    </row>
    <row r="78" spans="2:3" x14ac:dyDescent="0.25">
      <c r="B78">
        <v>550.4</v>
      </c>
    </row>
    <row r="80" spans="2:3" x14ac:dyDescent="0.25">
      <c r="B80" t="s">
        <v>50</v>
      </c>
    </row>
    <row r="81" spans="2:3" x14ac:dyDescent="0.25">
      <c r="B81" s="16">
        <v>3.73E-2</v>
      </c>
      <c r="C81" s="19">
        <f>$A$5*B81</f>
        <v>521.77850999999998</v>
      </c>
    </row>
    <row r="83" spans="2:3" x14ac:dyDescent="0.25">
      <c r="B83" t="s">
        <v>56</v>
      </c>
    </row>
    <row r="84" spans="2:3" x14ac:dyDescent="0.25">
      <c r="B84" t="s">
        <v>47</v>
      </c>
    </row>
    <row r="85" spans="2:3" x14ac:dyDescent="0.25">
      <c r="B85">
        <v>53.27</v>
      </c>
      <c r="C85" s="2"/>
    </row>
    <row r="87" spans="2:3" x14ac:dyDescent="0.25">
      <c r="B87" t="s">
        <v>48</v>
      </c>
    </row>
    <row r="88" spans="2:3" x14ac:dyDescent="0.25">
      <c r="B88" s="16">
        <v>0.14929999999999999</v>
      </c>
    </row>
    <row r="90" spans="2:3" x14ac:dyDescent="0.25">
      <c r="B90" t="s">
        <v>49</v>
      </c>
    </row>
    <row r="91" spans="2:3" x14ac:dyDescent="0.25">
      <c r="B91">
        <v>531.87</v>
      </c>
    </row>
    <row r="93" spans="2:3" x14ac:dyDescent="0.25">
      <c r="B93" t="s">
        <v>50</v>
      </c>
    </row>
    <row r="94" spans="2:3" x14ac:dyDescent="0.25">
      <c r="B94" s="16">
        <v>2.93E-2</v>
      </c>
      <c r="C94" s="19">
        <f>$A$5*B94</f>
        <v>409.86891000000003</v>
      </c>
    </row>
    <row r="96" spans="2:3" x14ac:dyDescent="0.25">
      <c r="B96" t="s">
        <v>57</v>
      </c>
    </row>
    <row r="97" spans="2:3" x14ac:dyDescent="0.25">
      <c r="B97" t="s">
        <v>47</v>
      </c>
    </row>
    <row r="98" spans="2:3" x14ac:dyDescent="0.25">
      <c r="B98">
        <v>33.08</v>
      </c>
      <c r="C98" s="2"/>
    </row>
    <row r="100" spans="2:3" x14ac:dyDescent="0.25">
      <c r="B100" t="s">
        <v>48</v>
      </c>
    </row>
    <row r="101" spans="2:3" x14ac:dyDescent="0.25">
      <c r="B101" s="16">
        <v>3.1600000000000003E-2</v>
      </c>
    </row>
    <row r="103" spans="2:3" x14ac:dyDescent="0.25">
      <c r="B103" t="s">
        <v>49</v>
      </c>
    </row>
    <row r="104" spans="2:3" x14ac:dyDescent="0.25">
      <c r="B104">
        <v>500.36</v>
      </c>
    </row>
    <row r="106" spans="2:3" x14ac:dyDescent="0.25">
      <c r="B106" t="s">
        <v>50</v>
      </c>
    </row>
    <row r="107" spans="2:3" x14ac:dyDescent="0.25">
      <c r="B107" s="16">
        <v>7.7200000000000005E-2</v>
      </c>
      <c r="C107" s="19">
        <f>$A$5*B107</f>
        <v>1079.9276400000001</v>
      </c>
    </row>
    <row r="109" spans="2:3" x14ac:dyDescent="0.25">
      <c r="B109" t="s">
        <v>58</v>
      </c>
    </row>
    <row r="110" spans="2:3" x14ac:dyDescent="0.25">
      <c r="B110" t="s">
        <v>47</v>
      </c>
    </row>
    <row r="111" spans="2:3" x14ac:dyDescent="0.25">
      <c r="B111">
        <v>15.17</v>
      </c>
      <c r="C111" s="2"/>
    </row>
    <row r="113" spans="2:3" x14ac:dyDescent="0.25">
      <c r="B113" t="s">
        <v>48</v>
      </c>
    </row>
    <row r="114" spans="2:3" x14ac:dyDescent="0.25">
      <c r="B114" s="16">
        <v>4.8399999999999999E-2</v>
      </c>
    </row>
    <row r="116" spans="2:3" x14ac:dyDescent="0.25">
      <c r="B116" t="s">
        <v>49</v>
      </c>
    </row>
    <row r="117" spans="2:3" x14ac:dyDescent="0.25">
      <c r="B117">
        <v>247.91</v>
      </c>
    </row>
    <row r="119" spans="2:3" x14ac:dyDescent="0.25">
      <c r="B119" t="s">
        <v>50</v>
      </c>
    </row>
    <row r="120" spans="2:3" x14ac:dyDescent="0.25">
      <c r="B120" s="16">
        <v>2.35E-2</v>
      </c>
      <c r="C120" s="19">
        <f>$A$5*B120</f>
        <v>328.73445000000004</v>
      </c>
    </row>
    <row r="122" spans="2:3" x14ac:dyDescent="0.25">
      <c r="B122" t="s">
        <v>59</v>
      </c>
    </row>
    <row r="123" spans="2:3" x14ac:dyDescent="0.25">
      <c r="B123" t="s">
        <v>47</v>
      </c>
    </row>
    <row r="124" spans="2:3" x14ac:dyDescent="0.25">
      <c r="B124">
        <v>1.32</v>
      </c>
      <c r="C124" s="2"/>
    </row>
    <row r="126" spans="2:3" x14ac:dyDescent="0.25">
      <c r="B126" t="s">
        <v>48</v>
      </c>
    </row>
    <row r="127" spans="2:3" x14ac:dyDescent="0.25">
      <c r="B127" s="16">
        <v>1.5599999999999999E-2</v>
      </c>
    </row>
    <row r="129" spans="2:3" x14ac:dyDescent="0.25">
      <c r="B129" t="s">
        <v>49</v>
      </c>
    </row>
    <row r="130" spans="2:3" x14ac:dyDescent="0.25">
      <c r="B130">
        <v>88.29</v>
      </c>
    </row>
    <row r="132" spans="2:3" x14ac:dyDescent="0.25">
      <c r="B132" t="s">
        <v>50</v>
      </c>
    </row>
    <row r="133" spans="2:3" x14ac:dyDescent="0.25">
      <c r="B133" s="16">
        <v>6.1000000000000004E-3</v>
      </c>
      <c r="C133" s="19">
        <f>$A$5*B133</f>
        <v>85.331070000000011</v>
      </c>
    </row>
    <row r="135" spans="2:3" x14ac:dyDescent="0.25">
      <c r="B135" t="s">
        <v>60</v>
      </c>
    </row>
    <row r="136" spans="2:3" x14ac:dyDescent="0.25">
      <c r="B136" t="s">
        <v>47</v>
      </c>
    </row>
    <row r="137" spans="2:3" x14ac:dyDescent="0.25">
      <c r="B137">
        <v>-3.65</v>
      </c>
    </row>
    <row r="139" spans="2:3" x14ac:dyDescent="0.25">
      <c r="B139" t="s">
        <v>48</v>
      </c>
    </row>
    <row r="140" spans="2:3" x14ac:dyDescent="0.25">
      <c r="B140" s="16">
        <v>-3.6700000000000003E-2</v>
      </c>
    </row>
    <row r="142" spans="2:3" x14ac:dyDescent="0.25">
      <c r="B142" t="s">
        <v>49</v>
      </c>
    </row>
    <row r="143" spans="2:3" x14ac:dyDescent="0.25">
      <c r="B143">
        <v>60.61</v>
      </c>
    </row>
    <row r="145" spans="2:3" x14ac:dyDescent="0.25">
      <c r="B145" t="s">
        <v>50</v>
      </c>
    </row>
    <row r="146" spans="2:3" x14ac:dyDescent="0.25">
      <c r="B146" s="16">
        <v>6.4000000000000003E-3</v>
      </c>
      <c r="C146" s="19">
        <f>$A$5*B146</f>
        <v>89.527680000000004</v>
      </c>
    </row>
    <row r="148" spans="2:3" x14ac:dyDescent="0.25">
      <c r="B148" t="s">
        <v>61</v>
      </c>
    </row>
    <row r="149" spans="2:3" x14ac:dyDescent="0.25">
      <c r="B149" t="s">
        <v>47</v>
      </c>
    </row>
    <row r="150" spans="2:3" x14ac:dyDescent="0.25">
      <c r="B150">
        <v>0.88</v>
      </c>
    </row>
    <row r="152" spans="2:3" x14ac:dyDescent="0.25">
      <c r="B152" t="s">
        <v>48</v>
      </c>
    </row>
    <row r="153" spans="2:3" x14ac:dyDescent="0.25">
      <c r="B153" s="16">
        <v>2.0999999999999999E-3</v>
      </c>
    </row>
    <row r="155" spans="2:3" x14ac:dyDescent="0.25">
      <c r="B155" t="s">
        <v>49</v>
      </c>
    </row>
    <row r="156" spans="2:3" x14ac:dyDescent="0.25">
      <c r="B156">
        <v>0</v>
      </c>
    </row>
    <row r="158" spans="2:3" x14ac:dyDescent="0.25">
      <c r="B158" t="s">
        <v>50</v>
      </c>
    </row>
    <row r="159" spans="2:3" x14ac:dyDescent="0.25">
      <c r="B159" s="16">
        <v>0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工资定投计划</vt:lpstr>
      <vt:lpstr>螺丝钉计划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kangliquan</cp:lastModifiedBy>
  <dcterms:created xsi:type="dcterms:W3CDTF">2019-06-11T08:41:19Z</dcterms:created>
  <dcterms:modified xsi:type="dcterms:W3CDTF">2019-09-08T08:49:21Z</dcterms:modified>
</cp:coreProperties>
</file>